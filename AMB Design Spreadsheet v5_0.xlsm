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7" i="7" l="1"/>
  <c r="D46" i="18" l="1"/>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Q15" i="19" l="1"/>
  <c r="Q14" i="19"/>
  <c r="P15" i="19"/>
  <c r="F16" i="19"/>
  <c r="F15" i="19"/>
  <c r="C16" i="19"/>
  <c r="C15" i="19"/>
  <c r="N11" i="7" l="1"/>
  <c r="D27" i="17"/>
  <c r="D23" i="17"/>
  <c r="C27" i="17"/>
  <c r="C23" i="17"/>
  <c r="M6" i="17"/>
  <c r="J6" i="17"/>
  <c r="E7" i="17"/>
  <c r="M14" i="7" l="1"/>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S7" i="19" l="1"/>
  <c r="DR8" i="19" s="1"/>
  <c r="DA10" i="19"/>
  <c r="DB10" i="19" s="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AU9" i="19"/>
  <c r="BP7" i="19"/>
  <c r="BO9" i="19" s="1"/>
  <c r="CY7" i="19"/>
  <c r="CX9" i="19" s="1"/>
  <c r="BK7" i="19"/>
  <c r="CI8" i="19"/>
  <c r="W7" i="19"/>
  <c r="V9" i="19" s="1"/>
  <c r="EJ11" i="19"/>
  <c r="EL10" i="19"/>
  <c r="EK10" i="19"/>
  <c r="AU10" i="19"/>
  <c r="AT10" i="19"/>
  <c r="AS11" i="19"/>
  <c r="DR9" i="19" l="1"/>
  <c r="DA11" i="19"/>
  <c r="DC11" i="19" s="1"/>
  <c r="BX10" i="19"/>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DB11" i="19" l="1"/>
  <c r="BJ11" i="19"/>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4" i="19" s="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BN14" i="19"/>
  <c r="BM15" i="19"/>
  <c r="BO14" i="19"/>
  <c r="BH15" i="19"/>
  <c r="BJ14" i="19"/>
  <c r="BI14" i="19"/>
  <c r="CH14" i="19"/>
  <c r="CG15" i="19"/>
  <c r="CI14" i="19"/>
  <c r="AD15" i="19"/>
  <c r="AF14" i="19"/>
  <c r="AE14" i="19"/>
  <c r="CV15" i="19"/>
  <c r="CX14" i="19"/>
  <c r="CW14" i="19"/>
  <c r="ET15" i="19" l="1"/>
  <c r="ET16" i="19" s="1"/>
  <c r="EU14" i="19"/>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D21" i="17" l="1"/>
  <c r="D25" i="17"/>
  <c r="G29" i="3"/>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L23" i="7" l="1"/>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<sst xmlns="http://schemas.openxmlformats.org/spreadsheetml/2006/main" count="3021" uniqueCount="362">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</sst>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3">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91">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0.3560713800284307</c:v>
                </c:pt>
                <c:pt idx="2">
                  <c:v>0.50943424732901432</c:v>
                </c:pt>
                <c:pt idx="3">
                  <c:v>0.66008860190175067</c:v>
                </c:pt>
                <c:pt idx="4">
                  <c:v>0.80803444374664024</c:v>
                </c:pt>
                <c:pt idx="5">
                  <c:v>0.95327177286368259</c:v>
                </c:pt>
                <c:pt idx="6">
                  <c:v>1.0958005892528777</c:v>
                </c:pt>
                <c:pt idx="7">
                  <c:v>1.2356208929142261</c:v>
                </c:pt>
                <c:pt idx="8">
                  <c:v>1.372732683847727</c:v>
                </c:pt>
                <c:pt idx="9">
                  <c:v>1.5071359620533809</c:v>
                </c:pt>
                <c:pt idx="10">
                  <c:v>1.6388307275311875</c:v>
                </c:pt>
                <c:pt idx="11">
                  <c:v>1.7678169802811474</c:v>
                </c:pt>
                <c:pt idx="12">
                  <c:v>1.8940947203032601</c:v>
                </c:pt>
                <c:pt idx="13">
                  <c:v>2.017663947597526</c:v>
                </c:pt>
                <c:pt idx="14">
                  <c:v>2.1385246621639449</c:v>
                </c:pt>
                <c:pt idx="15">
                  <c:v>2.2566768640025163</c:v>
                </c:pt>
                <c:pt idx="16">
                  <c:v>2.3721205531132408</c:v>
                </c:pt>
                <c:pt idx="17">
                  <c:v>2.4848557294961182</c:v>
                </c:pt>
                <c:pt idx="18">
                  <c:v>2.5948823931511487</c:v>
                </c:pt>
                <c:pt idx="19">
                  <c:v>2.7022005440783317</c:v>
                </c:pt>
                <c:pt idx="20">
                  <c:v>2.8068101822776677</c:v>
                </c:pt>
                <c:pt idx="21">
                  <c:v>2.9087113077491566</c:v>
                </c:pt>
                <c:pt idx="22">
                  <c:v>3.0079039204927991</c:v>
                </c:pt>
                <c:pt idx="23">
                  <c:v>3.1043880205085941</c:v>
                </c:pt>
                <c:pt idx="24">
                  <c:v>3.1981636077965416</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26854272"/>
        <c:axId val="126855808"/>
      </c:scatterChart>
      <c:valAx>
        <c:axId val="126854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5808"/>
        <c:crosses val="autoZero"/>
        <c:crossBetween val="midCat"/>
      </c:valAx>
      <c:valAx>
        <c:axId val="126855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54272"/>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27115264"/>
        <c:axId val="127117184"/>
      </c:scatterChart>
      <c:valAx>
        <c:axId val="1271152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7117184"/>
        <c:crosses val="autoZero"/>
        <c:crossBetween val="midCat"/>
      </c:valAx>
      <c:valAx>
        <c:axId val="127117184"/>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71152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33071616"/>
        <c:axId val="133073152"/>
      </c:scatterChart>
      <c:valAx>
        <c:axId val="133071616"/>
        <c:scaling>
          <c:orientation val="minMax"/>
        </c:scaling>
        <c:delete val="1"/>
        <c:axPos val="b"/>
        <c:numFmt formatCode="General" sourceLinked="1"/>
        <c:majorTickMark val="out"/>
        <c:minorTickMark val="none"/>
        <c:tickLblPos val="nextTo"/>
        <c:crossAx val="133073152"/>
        <c:crosses val="autoZero"/>
        <c:crossBetween val="midCat"/>
      </c:valAx>
      <c:valAx>
        <c:axId val="133073152"/>
        <c:scaling>
          <c:orientation val="minMax"/>
        </c:scaling>
        <c:delete val="1"/>
        <c:axPos val="l"/>
        <c:numFmt formatCode="General" sourceLinked="1"/>
        <c:majorTickMark val="out"/>
        <c:minorTickMark val="none"/>
        <c:tickLblPos val="nextTo"/>
        <c:crossAx val="1330716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361</v>
      </c>
    </row>
    <row r="4" spans="2:5" ht="15.6" x14ac:dyDescent="0.3">
      <c r="C4" s="81" t="s">
        <v>180</v>
      </c>
    </row>
    <row r="5" spans="2:5" x14ac:dyDescent="0.25">
      <c r="D5" s="186" t="s">
        <v>211</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202</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93" customHeight="1" x14ac:dyDescent="0.25">
      <c r="C19" s="134" t="s">
        <v>360</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331</v>
      </c>
    </row>
    <row r="26" spans="3:3" x14ac:dyDescent="0.25">
      <c r="C26" s="86"/>
    </row>
    <row r="27" spans="3:3" x14ac:dyDescent="0.25">
      <c r="C27" s="85" t="s">
        <v>188</v>
      </c>
    </row>
    <row r="28" spans="3:3" ht="90" x14ac:dyDescent="0.25">
      <c r="C28" s="134" t="s">
        <v>359</v>
      </c>
    </row>
    <row r="29" spans="3:3" x14ac:dyDescent="0.25">
      <c r="C29" s="86"/>
    </row>
    <row r="30" spans="3:3" x14ac:dyDescent="0.25">
      <c r="C30" s="85" t="s">
        <v>203</v>
      </c>
    </row>
    <row r="31" spans="3:3" ht="45" x14ac:dyDescent="0.25">
      <c r="C31" s="134" t="s">
        <v>204</v>
      </c>
    </row>
    <row r="32" spans="3:3" x14ac:dyDescent="0.25">
      <c r="C32" s="86"/>
    </row>
    <row r="33" spans="3:3" x14ac:dyDescent="0.25">
      <c r="C33" s="85" t="s">
        <v>210</v>
      </c>
    </row>
    <row r="34" spans="3:3" ht="33.75" customHeight="1" x14ac:dyDescent="0.25">
      <c r="C34" s="134" t="s">
        <v>205</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206</v>
      </c>
    </row>
    <row r="40" spans="3:3" ht="75" x14ac:dyDescent="0.25">
      <c r="C40" s="134" t="s">
        <v>207</v>
      </c>
    </row>
    <row r="41" spans="3:3" x14ac:dyDescent="0.25">
      <c r="C41" s="86"/>
    </row>
    <row r="42" spans="3:3" x14ac:dyDescent="0.25">
      <c r="C42" s="85" t="s">
        <v>320</v>
      </c>
    </row>
    <row r="43" spans="3:3" ht="47.25" customHeight="1" x14ac:dyDescent="0.25">
      <c r="C43" s="134" t="s">
        <v>358</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332</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255</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90" priority="26">
      <formula>LEN(TRIM(D9))=0</formula>
    </cfRule>
  </conditionalFormatting>
  <conditionalFormatting sqref="H18:I21">
    <cfRule type="expression" dxfId="89" priority="18">
      <formula>$I$17=1</formula>
    </cfRule>
  </conditionalFormatting>
  <conditionalFormatting sqref="D14">
    <cfRule type="cellIs" dxfId="88" priority="17" operator="greaterThan">
      <formula>12</formula>
    </cfRule>
  </conditionalFormatting>
  <conditionalFormatting sqref="P14">
    <cfRule type="cellIs" dxfId="87" priority="16" operator="greaterThan">
      <formula>$D$14</formula>
    </cfRule>
  </conditionalFormatting>
  <conditionalFormatting sqref="D15">
    <cfRule type="cellIs" dxfId="86" priority="15" operator="greaterThan">
      <formula>1</formula>
    </cfRule>
  </conditionalFormatting>
  <conditionalFormatting sqref="D13:D15 D17:D18 L9 M11 N12 O13 P14">
    <cfRule type="cellIs" dxfId="85" priority="14" operator="lessThanOrEqual">
      <formula>0</formula>
    </cfRule>
  </conditionalFormatting>
  <conditionalFormatting sqref="D13:D15 D17:D18 H18:I21 L9 M11 N12 O13 P14">
    <cfRule type="expression" dxfId="84" priority="8">
      <formula>ISTEXT(D9)</formula>
    </cfRule>
  </conditionalFormatting>
  <conditionalFormatting sqref="P7:P13">
    <cfRule type="expression" dxfId="83" priority="7">
      <formula>ISERROR($P$7)</formula>
    </cfRule>
  </conditionalFormatting>
  <conditionalFormatting sqref="O7:O12 O14">
    <cfRule type="expression" dxfId="82" priority="6">
      <formula>ISERROR($O$8)</formula>
    </cfRule>
  </conditionalFormatting>
  <conditionalFormatting sqref="N7:N11 N13:N14">
    <cfRule type="expression" dxfId="81" priority="4">
      <formula>$N$9&lt;0</formula>
    </cfRule>
  </conditionalFormatting>
  <conditionalFormatting sqref="M7:M10 M12:M14">
    <cfRule type="expression" dxfId="80" priority="3">
      <formula>ISERROR($M$7)</formula>
    </cfRule>
  </conditionalFormatting>
  <conditionalFormatting sqref="L7:L8 L10:L14">
    <cfRule type="expression" dxfId="79" priority="2">
      <formula>ISERROR($L$7)</formula>
    </cfRule>
  </conditionalFormatting>
  <conditionalFormatting sqref="H7:H14">
    <cfRule type="expression" dxfId="78"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7" priority="6">
      <formula>$J$9&lt;0</formula>
    </cfRule>
  </conditionalFormatting>
  <conditionalFormatting sqref="I9 I11:I13">
    <cfRule type="expression" dxfId="76" priority="5">
      <formula>$I$9&lt;0</formula>
    </cfRule>
  </conditionalFormatting>
  <conditionalFormatting sqref="H9 I10 I16 H15 D6:D9">
    <cfRule type="cellIs" dxfId="75" priority="4" operator="lessThan">
      <formula>0</formula>
    </cfRule>
  </conditionalFormatting>
  <conditionalFormatting sqref="J11 I10 H9 I16 H15 D6:D9 D11:D13">
    <cfRule type="containsBlanks" dxfId="74" priority="3">
      <formula>LEN(TRIM(D6))=0</formula>
    </cfRule>
  </conditionalFormatting>
  <conditionalFormatting sqref="D9">
    <cfRule type="cellIs" dxfId="73" priority="2" operator="greaterThan">
      <formula>90</formula>
    </cfRule>
  </conditionalFormatting>
  <conditionalFormatting sqref="D6:D9 H9 I10 J11 H15 I16">
    <cfRule type="expression" dxfId="7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13"/>
      <c r="E6" s="22" t="s">
        <v>30</v>
      </c>
      <c r="G6" s="88" t="s">
        <v>75</v>
      </c>
      <c r="H6" s="89" t="s">
        <v>76</v>
      </c>
      <c r="I6" s="89" t="s">
        <v>77</v>
      </c>
      <c r="J6" s="23" t="str">
        <f>"C-C dist. (" &amp; IF($B$4, "mm", "in") &amp; ")"</f>
        <v>C-C dist. (in)</v>
      </c>
      <c r="M6" s="41" t="s">
        <v>351</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352</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354</v>
      </c>
      <c r="N8" s="11">
        <v>20</v>
      </c>
    </row>
    <row r="9" spans="2:14" x14ac:dyDescent="0.25">
      <c r="C9" s="30" t="s">
        <v>3</v>
      </c>
      <c r="D9" s="33">
        <f>VLOOKUP($C$6, MotorSpecs, 4, FALSE)</f>
        <v>2.7</v>
      </c>
      <c r="E9" s="34">
        <f>D9*D13*(D14/12)</f>
        <v>10.8</v>
      </c>
      <c r="G9" s="27"/>
      <c r="H9" s="28"/>
      <c r="I9" s="28"/>
      <c r="J9" s="29" t="str">
        <f t="shared" si="0"/>
        <v/>
      </c>
      <c r="M9" s="41" t="s">
        <v>353</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355</v>
      </c>
      <c r="N11" s="43">
        <f>(N7-N6)/((N8+N9/D13)/1000)</f>
        <v>281.48148148148141</v>
      </c>
    </row>
    <row r="12" spans="2:14" ht="14.45" x14ac:dyDescent="0.3">
      <c r="G12" s="211" t="s">
        <v>78</v>
      </c>
      <c r="H12" s="212"/>
      <c r="I12" s="40">
        <f>IF(COUNTBLANK($H$7:$H$10)&lt;4, PRODUCT($H$7:$H$10), 1)/IF(COUNTBLANK($G$7:$G$10)&lt;4, PRODUCT($G$7:$G$10), 1)</f>
        <v>12.5</v>
      </c>
      <c r="M12" s="159" t="s">
        <v>356</v>
      </c>
      <c r="N12" s="40">
        <f>(E10-E9)/E8*(D19/IF($B$4,1,2.205))*9.8*D17*D21*(D20/2*IF($B$4,0.001,0.0254))/(N11-E9)</f>
        <v>9.4027671677063012</v>
      </c>
    </row>
    <row r="13" spans="2:14" ht="14.45" x14ac:dyDescent="0.3">
      <c r="C13" s="41" t="s">
        <v>80</v>
      </c>
      <c r="D13" s="11">
        <v>4</v>
      </c>
      <c r="G13" s="211" t="str">
        <f>"Adjusted Speed (" &amp; IF($B$4, "m", "ft") &amp; "/s)"</f>
        <v>Adjusted Speed (ft/s)</v>
      </c>
      <c r="H13" s="212"/>
      <c r="I13" s="42">
        <f>I14*$D$16</f>
        <v>6.6234546981483993</v>
      </c>
      <c r="M13" s="159" t="str">
        <f>"Free Speed (" &amp; IF($B$4, "m", "ft") &amp; "/s)"</f>
        <v>Free Speed (ft/s)</v>
      </c>
      <c r="N13" s="42">
        <f>($E$7/60)/N12*((D20/IF($B$4,25.4,1))*PI()/12)/IF($B$4, 3.281, 1)</f>
        <v>9.8934757685795578</v>
      </c>
    </row>
    <row r="14" spans="2:14" ht="14.45" x14ac:dyDescent="0.3">
      <c r="C14" s="41" t="s">
        <v>32</v>
      </c>
      <c r="D14" s="11">
        <v>12</v>
      </c>
      <c r="G14" s="211" t="str">
        <f>"Free Speed (" &amp; IF($B$4, "m", "ft") &amp; "/s)"</f>
        <v>Free Speed (ft/s)</v>
      </c>
      <c r="H14" s="212"/>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1" t="s">
        <v>79</v>
      </c>
      <c r="H15" s="212"/>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4" t="s">
        <v>78</v>
      </c>
      <c r="K17" s="215"/>
      <c r="L17" s="40">
        <f>IF(COUNTBLANK($H$7:$H$10)&lt;4, PRODUCT($H$7:$H$10), 1)*IF(ISBLANK(H18), 1, H18) / (IF(COUNTBLANK($G$7:$G$10)&lt;4, PRODUCT($G$7:$G$10), 1)*IF(ISBLANK(G18), 1, G18))</f>
        <v>15.625</v>
      </c>
    </row>
    <row r="18" spans="3:12" ht="14.45" x14ac:dyDescent="0.3">
      <c r="D18" s="5"/>
      <c r="E18" s="3"/>
      <c r="G18" s="46">
        <v>12</v>
      </c>
      <c r="H18" s="47">
        <v>15</v>
      </c>
      <c r="J18" s="214" t="str">
        <f>"Adjusted Speed (" &amp; IF($B$4, "m", "ft") &amp; "/s)"</f>
        <v>Adjusted Speed (ft/s)</v>
      </c>
      <c r="K18" s="215"/>
      <c r="L18" s="42">
        <f>L19*$D$16</f>
        <v>5.2987637585187191</v>
      </c>
    </row>
    <row r="19" spans="3:12" ht="14.45" x14ac:dyDescent="0.3">
      <c r="C19" s="41" t="str">
        <f>"Robot Weight  (" &amp; IF($B$4, "kg", "lbs") &amp; ")"</f>
        <v>Robot Weight  (lbs)</v>
      </c>
      <c r="D19" s="48">
        <v>154</v>
      </c>
      <c r="G19" s="49" t="s">
        <v>77</v>
      </c>
      <c r="H19" s="50"/>
      <c r="J19" s="214" t="str">
        <f>"Free Speed (" &amp; IF($B$4, "m", "ft") &amp; "/s)"</f>
        <v>Free Speed (ft/s)</v>
      </c>
      <c r="K19" s="215"/>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4" t="s">
        <v>79</v>
      </c>
      <c r="K20" s="215"/>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09" t="s">
        <v>78</v>
      </c>
      <c r="K22" s="210"/>
      <c r="L22" s="40">
        <f>IF(COUNTBLANK($H$7:$H$10)&lt;4, PRODUCT($H$7:$H$10), 1)*IF(ISBLANK(H23), 1, H23) / (IF(COUNTBLANK($G$7:$G$10)&lt;4, PRODUCT($G$7:$G$10), 1)*IF(ISBLANK(G23), 1, G23))</f>
        <v>25</v>
      </c>
    </row>
    <row r="23" spans="3:12" ht="14.45" x14ac:dyDescent="0.3">
      <c r="C23" s="54" t="s">
        <v>74</v>
      </c>
      <c r="D23" s="8" t="b">
        <v>0</v>
      </c>
      <c r="G23" s="46"/>
      <c r="H23" s="47">
        <v>2</v>
      </c>
      <c r="J23" s="209" t="str">
        <f>"Adjusted Speed (" &amp; IF($B$4, "m", "ft") &amp; "/s)"</f>
        <v>Adjusted Speed (ft/s)</v>
      </c>
      <c r="K23" s="210"/>
      <c r="L23" s="42">
        <f>L24*$D$16</f>
        <v>3.3117273490741996</v>
      </c>
    </row>
    <row r="24" spans="3:12" ht="14.45" x14ac:dyDescent="0.3">
      <c r="C24" s="54" t="s">
        <v>213</v>
      </c>
      <c r="D24" s="8" t="b">
        <v>0</v>
      </c>
      <c r="G24" s="49" t="s">
        <v>77</v>
      </c>
      <c r="H24" s="50"/>
      <c r="J24" s="209" t="str">
        <f>"Free Speed (" &amp; IF($B$4, "m", "ft") &amp; "/s)"</f>
        <v>Free Speed (ft/s)</v>
      </c>
      <c r="K24" s="210"/>
      <c r="L24" s="42">
        <f>($E$7/60)/L22*((IF(D24,D26,D20)/IF($B$4,25.4,1))*PI()/12)/IF($B$4, 3.281, 1)</f>
        <v>3.7210419652519096</v>
      </c>
    </row>
    <row r="25" spans="3:12" ht="14.45" x14ac:dyDescent="0.3">
      <c r="G25" s="52" t="str">
        <f>"C-C (" &amp; IF($B$4, "mm", "in") &amp; ")"</f>
        <v>C-C (in)</v>
      </c>
      <c r="H25" s="53" t="str">
        <f>IF(COUNTBLANK(G23:H24)&gt;0, "", ((G23+H23)/(2*H24)+0.003)*IF($B$4, 25.4, 1))</f>
        <v/>
      </c>
      <c r="J25" s="209" t="s">
        <v>79</v>
      </c>
      <c r="K25" s="210"/>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209" t="str">
        <f>"Shifting Speed (" &amp; IF($B$4, "m", "ft") &amp; "/s)"</f>
        <v>Shifting Speed (ft/s)</v>
      </c>
      <c r="K27" s="210"/>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11" priority="39" operator="greaterThan">
      <formula>12</formula>
    </cfRule>
  </conditionalFormatting>
  <conditionalFormatting sqref="D13:D17 D19:D21 N8:N9">
    <cfRule type="cellIs" dxfId="10" priority="36" operator="lessThanOrEqual">
      <formula>0</formula>
    </cfRule>
  </conditionalFormatting>
  <conditionalFormatting sqref="D15:D17">
    <cfRule type="cellIs" dxfId="9" priority="29" operator="greaterThan">
      <formula>1</formula>
    </cfRule>
  </conditionalFormatting>
  <conditionalFormatting sqref="D13:D17 D19:D21 N6:N9">
    <cfRule type="containsBlanks" dxfId="8" priority="25">
      <formula>LEN(TRIM(D6))=0</formula>
    </cfRule>
  </conditionalFormatting>
  <conditionalFormatting sqref="G7:I10 G18:H18 H19 D26:D27 G23:H23 H24">
    <cfRule type="cellIs" dxfId="7" priority="23" operator="lessThan">
      <formula>0</formula>
    </cfRule>
  </conditionalFormatting>
  <conditionalFormatting sqref="C26:D27">
    <cfRule type="expression" dxfId="6" priority="40">
      <formula>NOT($D$24)</formula>
    </cfRule>
  </conditionalFormatting>
  <conditionalFormatting sqref="G17:L27">
    <cfRule type="expression" dxfId="0" priority="41">
      <formula>NOT($D$23)</formula>
    </cfRule>
  </conditionalFormatting>
  <conditionalFormatting sqref="G12:I15">
    <cfRule type="expression" dxfId="5" priority="18">
      <formula>$D$23</formula>
    </cfRule>
  </conditionalFormatting>
  <conditionalFormatting sqref="D13:D17 D19:D21 G7:I10 G18:H18 H19 G23:H23 H24 N6:N9">
    <cfRule type="expression" dxfId="4" priority="17">
      <formula>ISTEXT(D6)</formula>
    </cfRule>
  </conditionalFormatting>
  <conditionalFormatting sqref="N11:N14">
    <cfRule type="expression" dxfId="3" priority="3">
      <formula>$N$6&gt;=$N$7</formula>
    </cfRule>
  </conditionalFormatting>
  <conditionalFormatting sqref="N6:N7">
    <cfRule type="expression" dxfId="2" priority="2">
      <formula>$N$6&gt;=$N$7</formula>
    </cfRule>
  </conditionalFormatting>
  <conditionalFormatting sqref="J27:L27">
    <cfRule type="expression" dxfId="1"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219</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218</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212</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1" priority="4">
      <formula>NOT($D$10="Rect. Tube")</formula>
    </cfRule>
  </conditionalFormatting>
  <conditionalFormatting sqref="C12:D13">
    <cfRule type="expression" dxfId="70" priority="7">
      <formula>NOT(OR($D$10="Round Tube", $D$10="Rect. Tube"))</formula>
    </cfRule>
  </conditionalFormatting>
  <conditionalFormatting sqref="D11:D13 G8:G10 J8:J10 M8:M9 P8:P9">
    <cfRule type="cellIs" dxfId="69" priority="8" operator="lessThanOrEqual">
      <formula>0</formula>
    </cfRule>
  </conditionalFormatting>
  <conditionalFormatting sqref="G9">
    <cfRule type="cellIs" dxfId="68" priority="3" operator="greaterThanOrEqual">
      <formula>$G$10</formula>
    </cfRule>
  </conditionalFormatting>
  <conditionalFormatting sqref="D11 G8:G10 J8:J10 M8:M9 P8:P9">
    <cfRule type="expression" dxfId="67" priority="2">
      <formula>ISTEXT(D8)</formula>
    </cfRule>
  </conditionalFormatting>
  <conditionalFormatting sqref="D11">
    <cfRule type="containsBlanks" dxfId="66"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19" width="9.140625" style="160"/>
    <col min="20" max="154" width="9.140625" style="162" hidden="1"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2</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2</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2</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2</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2</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2</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2</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2</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2</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2</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2</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2</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2</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2</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2</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2</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2</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2</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2</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2</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2</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2</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2</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2</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2</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2</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2</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2</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0.02</v>
      </c>
      <c r="U9" s="170">
        <f t="shared" ref="U9:U72" si="28">T9+IF($I$3="Forward", $D$9, $G$9)</f>
        <v>0.02</v>
      </c>
      <c r="V9" s="162">
        <f t="shared" si="0"/>
        <v>0.3560713800284307</v>
      </c>
      <c r="W9" s="171">
        <f t="shared" ref="W9:W72" si="29">MIN($V$5,V9)</f>
        <v>0.3560713800284307</v>
      </c>
      <c r="Y9" s="162">
        <f t="shared" ref="Y9:Y72" si="30">Y8+Y$7/100</f>
        <v>0.02</v>
      </c>
      <c r="Z9" s="162">
        <f t="shared" ref="Z9:Z72" si="31">Y9</f>
        <v>0.02</v>
      </c>
      <c r="AA9" s="162">
        <f t="shared" si="1"/>
        <v>0.3560713800284307</v>
      </c>
      <c r="AB9" s="171">
        <f t="shared" ref="AB9:AB72" si="32">MIN($V$5,AA9)</f>
        <v>0.3560713800284307</v>
      </c>
      <c r="AD9" s="162">
        <f t="shared" ref="AD9:AD72" si="33">AD8+AD$7/100</f>
        <v>0.02</v>
      </c>
      <c r="AE9" s="170">
        <f t="shared" ref="AE9:AE72" si="34">AD9-IF($I$3="Forward", $D$9, $G$9)</f>
        <v>0.02</v>
      </c>
      <c r="AF9" s="162">
        <f t="shared" si="2"/>
        <v>0.3560713800284307</v>
      </c>
      <c r="AG9" s="171">
        <f t="shared" ref="AG9:AG72" si="35">MIN($V$5,AF9)</f>
        <v>0.3560713800284307</v>
      </c>
      <c r="AI9" s="162">
        <f t="shared" ref="AI9:AI72" si="36">AI8+AI$7/100</f>
        <v>0.02</v>
      </c>
      <c r="AJ9" s="170">
        <f t="shared" ref="AJ9:AJ72" si="37">AI9+IF($I$3="Forward", $D$9, $G$9)</f>
        <v>0.02</v>
      </c>
      <c r="AK9" s="162">
        <f t="shared" si="3"/>
        <v>0.3560713800284307</v>
      </c>
      <c r="AL9" s="171">
        <f t="shared" ref="AL9:AL72" si="38">MIN($V$5,AK9)</f>
        <v>0.3560713800284307</v>
      </c>
      <c r="AN9" s="162">
        <f t="shared" ref="AN9:AN72" si="39">AN8+AN$7/100</f>
        <v>0.02</v>
      </c>
      <c r="AO9" s="162">
        <f t="shared" ref="AO9:AO72" si="40">AN9</f>
        <v>0.02</v>
      </c>
      <c r="AP9" s="162">
        <f t="shared" si="4"/>
        <v>0.3560713800284307</v>
      </c>
      <c r="AQ9" s="171">
        <f t="shared" ref="AQ9:AQ72" si="41">MIN($V$5,AP9)</f>
        <v>0.3560713800284307</v>
      </c>
      <c r="AS9" s="162">
        <f t="shared" ref="AS9:AS72" si="42">AS8+AS$7/100</f>
        <v>0.02</v>
      </c>
      <c r="AT9" s="170">
        <f t="shared" ref="AT9:AT72" si="43">AS9-IF($I$3="Forward", $D$9, $G$9)</f>
        <v>0.02</v>
      </c>
      <c r="AU9" s="162">
        <f t="shared" si="5"/>
        <v>0.3560713800284307</v>
      </c>
      <c r="AV9" s="171">
        <f t="shared" ref="AV9:AV72" si="44">MIN($V$5,AU9)</f>
        <v>0.3560713800284307</v>
      </c>
      <c r="AX9" s="162">
        <f t="shared" ref="AX9:AX72" si="45">AX8+AX$7/100</f>
        <v>0.02</v>
      </c>
      <c r="AY9" s="170">
        <f t="shared" ref="AY9:AY72" si="46">AX9+IF($I$3="Forward", $D$9, $G$9)</f>
        <v>0.02</v>
      </c>
      <c r="AZ9" s="162">
        <f t="shared" si="6"/>
        <v>0.3560713800284307</v>
      </c>
      <c r="BA9" s="171">
        <f t="shared" ref="BA9:BA72" si="47">MIN($V$5,AZ9)</f>
        <v>0.3560713800284307</v>
      </c>
      <c r="BC9" s="162">
        <f t="shared" ref="BC9:BC72" si="48">BC8+BC$7/100</f>
        <v>0.02</v>
      </c>
      <c r="BD9" s="162">
        <f t="shared" ref="BD9:BD72" si="49">BC9</f>
        <v>0.02</v>
      </c>
      <c r="BE9" s="162">
        <f t="shared" si="7"/>
        <v>0.3560713800284307</v>
      </c>
      <c r="BF9" s="171">
        <f t="shared" ref="BF9:BF72" si="50">MIN($V$5,BE9)</f>
        <v>0.3560713800284307</v>
      </c>
      <c r="BH9" s="162">
        <f t="shared" ref="BH9:BH72" si="51">BH8+BH$7/100</f>
        <v>0.02</v>
      </c>
      <c r="BI9" s="170">
        <f t="shared" ref="BI9:BI72" si="52">BH9-IF($I$3="Forward", $D$9, $G$9)</f>
        <v>0.02</v>
      </c>
      <c r="BJ9" s="162">
        <f t="shared" si="8"/>
        <v>0.3560713800284307</v>
      </c>
      <c r="BK9" s="171">
        <f t="shared" ref="BK9:BK72" si="53">MIN($V$5,BJ9)</f>
        <v>0.3560713800284307</v>
      </c>
      <c r="BM9" s="162">
        <f t="shared" ref="BM9:BM72" si="54">BM8+BM$7/100</f>
        <v>0.02</v>
      </c>
      <c r="BN9" s="170">
        <f t="shared" ref="BN9:BN72" si="55">BM9+IF($I$3="Forward", $D$9, $G$9)</f>
        <v>0.02</v>
      </c>
      <c r="BO9" s="162">
        <f t="shared" si="9"/>
        <v>0.3560713800284307</v>
      </c>
      <c r="BP9" s="171">
        <f t="shared" ref="BP9:BP72" si="56">MIN($V$5,BO9)</f>
        <v>0.3560713800284307</v>
      </c>
      <c r="BR9" s="162">
        <f t="shared" ref="BR9:BR72" si="57">BR8+BR$7/100</f>
        <v>0.02</v>
      </c>
      <c r="BS9" s="162">
        <f t="shared" ref="BS9:BS72" si="58">BR9</f>
        <v>0.02</v>
      </c>
      <c r="BT9" s="162">
        <f t="shared" si="10"/>
        <v>0.3560713800284307</v>
      </c>
      <c r="BU9" s="171">
        <f t="shared" ref="BU9:BU72" si="59">MIN($V$5,BT9)</f>
        <v>0.3560713800284307</v>
      </c>
      <c r="BW9" s="162">
        <f t="shared" ref="BW9:BW72" si="60">BW8+BW$7/100</f>
        <v>0.02</v>
      </c>
      <c r="BX9" s="170">
        <f t="shared" ref="BX9:BX72" si="61">BW9-IF($I$3="Forward", $D$9, $G$9)</f>
        <v>0.02</v>
      </c>
      <c r="BY9" s="162">
        <f t="shared" si="11"/>
        <v>0.3560713800284307</v>
      </c>
      <c r="BZ9" s="171">
        <f t="shared" ref="BZ9:BZ72" si="62">MIN($V$5,BY9)</f>
        <v>0.3560713800284307</v>
      </c>
      <c r="CB9" s="162">
        <f t="shared" ref="CB9:CB72" si="63">CB8+CB$7/100</f>
        <v>0.02</v>
      </c>
      <c r="CC9" s="170">
        <f t="shared" ref="CC9:CC72" si="64">CB9+IF($I$3="Forward", $D$9, $G$9)</f>
        <v>0.02</v>
      </c>
      <c r="CD9" s="162">
        <f t="shared" si="12"/>
        <v>0.3560713800284307</v>
      </c>
      <c r="CE9" s="171">
        <f t="shared" ref="CE9:CE72" si="65">MIN($V$5,CD9)</f>
        <v>0.3560713800284307</v>
      </c>
      <c r="CG9" s="172">
        <f t="shared" ref="CG9:CG72" si="66">CG8+CG$7/100</f>
        <v>0.02</v>
      </c>
      <c r="CH9" s="172">
        <f t="shared" ref="CH9:CH72" si="67">CG9</f>
        <v>0.02</v>
      </c>
      <c r="CI9" s="172">
        <f t="shared" si="13"/>
        <v>0.3560713800284307</v>
      </c>
      <c r="CJ9" s="171">
        <f t="shared" ref="CJ9:CJ72" si="68">MIN($V$5,CI9)</f>
        <v>0.3560713800284307</v>
      </c>
      <c r="CK9" s="172"/>
      <c r="CL9" s="162">
        <f t="shared" ref="CL9:CL72" si="69">CL8+CL$7/100</f>
        <v>0.02</v>
      </c>
      <c r="CM9" s="170">
        <f t="shared" ref="CM9:CM72" si="70">CL9-IF($I$3="Forward", $D$9, $G$9)</f>
        <v>0.02</v>
      </c>
      <c r="CN9" s="162">
        <f t="shared" si="14"/>
        <v>0.3560713800284307</v>
      </c>
      <c r="CO9" s="171">
        <f t="shared" ref="CO9:CO72" si="71">MIN($V$5,CN9)</f>
        <v>0.3560713800284307</v>
      </c>
      <c r="CQ9" s="162">
        <f t="shared" ref="CQ9:CQ72" si="72">CQ8+CQ$7/100</f>
        <v>0.02</v>
      </c>
      <c r="CR9" s="170">
        <f t="shared" ref="CR9:CR72" si="73">CQ9+IF($I$3="Forward", $D$9, $G$9)</f>
        <v>0.02</v>
      </c>
      <c r="CS9" s="162">
        <f t="shared" si="15"/>
        <v>0.3560713800284307</v>
      </c>
      <c r="CT9" s="171">
        <f t="shared" ref="CT9:CT72" si="74">MIN($V$5,CS9)</f>
        <v>0.3560713800284307</v>
      </c>
      <c r="CV9" s="162">
        <f t="shared" ref="CV9:CV72" si="75">CV8+CV$7/100</f>
        <v>0.02</v>
      </c>
      <c r="CW9" s="162">
        <f t="shared" ref="CW9:CW72" si="76">CV9</f>
        <v>0.02</v>
      </c>
      <c r="CX9" s="162">
        <f t="shared" si="16"/>
        <v>0.3560713800284307</v>
      </c>
      <c r="CY9" s="171">
        <f t="shared" ref="CY9:CY72" si="77">MIN($V$5,CX9)</f>
        <v>0.3560713800284307</v>
      </c>
      <c r="DA9" s="162">
        <f t="shared" ref="DA9:DA72" si="78">DA8+DA$7/100</f>
        <v>0.02</v>
      </c>
      <c r="DB9" s="170">
        <f t="shared" ref="DB9:DB72" si="79">DA9-IF($I$3="Forward", $D$9, $G$9)</f>
        <v>0.02</v>
      </c>
      <c r="DC9" s="162">
        <f t="shared" si="17"/>
        <v>0.3560713800284307</v>
      </c>
      <c r="DD9" s="171">
        <f t="shared" ref="DD9:DD72" si="80">MIN($V$5,DC9)</f>
        <v>0.3560713800284307</v>
      </c>
      <c r="DF9" s="162">
        <f t="shared" ref="DF9:DF72" si="81">DF8+DF$7/100</f>
        <v>0.02</v>
      </c>
      <c r="DG9" s="170">
        <f t="shared" ref="DG9:DG72" si="82">DF9+IF($I$3="Forward", $D$9, $G$9)</f>
        <v>0.02</v>
      </c>
      <c r="DH9" s="162">
        <f t="shared" si="18"/>
        <v>0.3560713800284307</v>
      </c>
      <c r="DI9" s="171">
        <f t="shared" ref="DI9:DI72" si="83">MIN($V$5,DH9)</f>
        <v>0.3560713800284307</v>
      </c>
      <c r="DK9" s="162">
        <f t="shared" ref="DK9:DK72" si="84">DK8+DK$7/100</f>
        <v>0.02</v>
      </c>
      <c r="DL9" s="162">
        <f t="shared" ref="DL9:DL72" si="85">DK9</f>
        <v>0.02</v>
      </c>
      <c r="DM9" s="162">
        <f t="shared" si="19"/>
        <v>0.3560713800284307</v>
      </c>
      <c r="DN9" s="171">
        <f t="shared" ref="DN9:DN72" si="86">MIN($V$5,DM9)</f>
        <v>0.3560713800284307</v>
      </c>
      <c r="DP9" s="162">
        <f t="shared" ref="DP9:DP72" si="87">DP8+DP$7/100</f>
        <v>0.02</v>
      </c>
      <c r="DQ9" s="170">
        <f t="shared" ref="DQ9:DQ72" si="88">DP9-IF($I$3="Forward", $D$9, $G$9)</f>
        <v>0.02</v>
      </c>
      <c r="DR9" s="162">
        <f t="shared" si="20"/>
        <v>0.3560713800284307</v>
      </c>
      <c r="DS9" s="171">
        <f t="shared" ref="DS9:DS72" si="89">MIN($V$5,DR9)</f>
        <v>0.3560713800284307</v>
      </c>
      <c r="DU9" s="162">
        <f t="shared" ref="DU9:DU72" si="90">DU8+DU$7/100</f>
        <v>0.02</v>
      </c>
      <c r="DV9" s="170">
        <f t="shared" ref="DV9:DV72" si="91">DU9+IF($I$3="Forward", $D$9, $G$9)</f>
        <v>0.02</v>
      </c>
      <c r="DW9" s="162">
        <f t="shared" si="21"/>
        <v>0.3560713800284307</v>
      </c>
      <c r="DX9" s="171">
        <f t="shared" ref="DX9:DX72" si="92">MIN($V$5,DW9)</f>
        <v>0.3560713800284307</v>
      </c>
      <c r="DZ9" s="162">
        <f t="shared" ref="DZ9:DZ72" si="93">DZ8+DZ$7/100</f>
        <v>0.02</v>
      </c>
      <c r="EA9" s="162">
        <f t="shared" ref="EA9:EA72" si="94">DZ9</f>
        <v>0.02</v>
      </c>
      <c r="EB9" s="162">
        <f t="shared" si="22"/>
        <v>0.3560713800284307</v>
      </c>
      <c r="EC9" s="171">
        <f t="shared" ref="EC9:EC72" si="95">MIN($V$5,EB9)</f>
        <v>0.3560713800284307</v>
      </c>
      <c r="EE9" s="162">
        <f t="shared" ref="EE9:EE72" si="96">EE8+EE$7/100</f>
        <v>0.02</v>
      </c>
      <c r="EF9" s="170">
        <f t="shared" ref="EF9:EF72" si="97">EE9-IF($I$3="Forward", $D$9, $G$9)</f>
        <v>0.02</v>
      </c>
      <c r="EG9" s="162">
        <f t="shared" si="23"/>
        <v>0.3560713800284307</v>
      </c>
      <c r="EH9" s="171">
        <f t="shared" ref="EH9:EH72" si="98">MIN($V$5,EG9)</f>
        <v>0.3560713800284307</v>
      </c>
      <c r="EJ9" s="162">
        <f t="shared" ref="EJ9:EJ72" si="99">EJ8+EJ$7/100</f>
        <v>0.02</v>
      </c>
      <c r="EK9" s="170">
        <f t="shared" ref="EK9:EK72" si="100">EJ9+IF($I$3="Forward", $D$9, $G$9)</f>
        <v>0.02</v>
      </c>
      <c r="EL9" s="162">
        <f t="shared" si="24"/>
        <v>0.3560713800284307</v>
      </c>
      <c r="EM9" s="171">
        <f t="shared" ref="EM9:EM72" si="101">MIN($V$5,EL9)</f>
        <v>0.3560713800284307</v>
      </c>
      <c r="EO9" s="162">
        <f t="shared" ref="EO9:EO72" si="102">EO8+EO$7/100</f>
        <v>0.02</v>
      </c>
      <c r="EP9" s="162">
        <f t="shared" ref="EP9:EP72" si="103">EO9</f>
        <v>0.02</v>
      </c>
      <c r="EQ9" s="162">
        <f t="shared" si="25"/>
        <v>0.3560713800284307</v>
      </c>
      <c r="ER9" s="171">
        <f t="shared" ref="ER9:ER72" si="104">MIN($V$5,EQ9)</f>
        <v>0.3560713800284307</v>
      </c>
      <c r="ET9" s="162">
        <f t="shared" ref="ET9:ET72" si="105">ET8+ET$7/100</f>
        <v>0.02</v>
      </c>
      <c r="EU9" s="170">
        <f t="shared" ref="EU9:EU72" si="106">ET9-IF($I$3="Forward", $D$9, $G$9)</f>
        <v>0.02</v>
      </c>
      <c r="EV9" s="162">
        <f t="shared" si="26"/>
        <v>0.3560713800284307</v>
      </c>
      <c r="EW9" s="171">
        <f t="shared" ref="EW9:EW72" si="107">MIN($V$5,EV9)</f>
        <v>0.3560713800284307</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0.04</v>
      </c>
      <c r="U10" s="170">
        <f t="shared" si="28"/>
        <v>0.04</v>
      </c>
      <c r="V10" s="162">
        <f t="shared" si="0"/>
        <v>0.50943424732901432</v>
      </c>
      <c r="W10" s="171">
        <f t="shared" si="29"/>
        <v>0.50943424732901432</v>
      </c>
      <c r="Y10" s="162">
        <f t="shared" si="30"/>
        <v>0.04</v>
      </c>
      <c r="Z10" s="162">
        <f t="shared" si="31"/>
        <v>0.04</v>
      </c>
      <c r="AA10" s="162">
        <f t="shared" si="1"/>
        <v>0.50943424732901432</v>
      </c>
      <c r="AB10" s="171">
        <f t="shared" si="32"/>
        <v>0.50943424732901432</v>
      </c>
      <c r="AD10" s="162">
        <f t="shared" si="33"/>
        <v>0.04</v>
      </c>
      <c r="AE10" s="170">
        <f t="shared" si="34"/>
        <v>0.04</v>
      </c>
      <c r="AF10" s="162">
        <f t="shared" si="2"/>
        <v>0.50943424732901432</v>
      </c>
      <c r="AG10" s="171">
        <f t="shared" si="35"/>
        <v>0.50943424732901432</v>
      </c>
      <c r="AI10" s="162">
        <f t="shared" si="36"/>
        <v>0.04</v>
      </c>
      <c r="AJ10" s="170">
        <f t="shared" si="37"/>
        <v>0.04</v>
      </c>
      <c r="AK10" s="162">
        <f t="shared" si="3"/>
        <v>0.50943424732901432</v>
      </c>
      <c r="AL10" s="171">
        <f t="shared" si="38"/>
        <v>0.50943424732901432</v>
      </c>
      <c r="AN10" s="162">
        <f t="shared" si="39"/>
        <v>0.04</v>
      </c>
      <c r="AO10" s="162">
        <f t="shared" si="40"/>
        <v>0.04</v>
      </c>
      <c r="AP10" s="162">
        <f t="shared" si="4"/>
        <v>0.50943424732901432</v>
      </c>
      <c r="AQ10" s="171">
        <f t="shared" si="41"/>
        <v>0.50943424732901432</v>
      </c>
      <c r="AS10" s="162">
        <f t="shared" si="42"/>
        <v>0.04</v>
      </c>
      <c r="AT10" s="170">
        <f t="shared" si="43"/>
        <v>0.04</v>
      </c>
      <c r="AU10" s="162">
        <f t="shared" si="5"/>
        <v>0.50943424732901432</v>
      </c>
      <c r="AV10" s="171">
        <f t="shared" si="44"/>
        <v>0.50943424732901432</v>
      </c>
      <c r="AX10" s="162">
        <f t="shared" si="45"/>
        <v>0.04</v>
      </c>
      <c r="AY10" s="170">
        <f t="shared" si="46"/>
        <v>0.04</v>
      </c>
      <c r="AZ10" s="162">
        <f t="shared" si="6"/>
        <v>0.50943424732901432</v>
      </c>
      <c r="BA10" s="171">
        <f t="shared" si="47"/>
        <v>0.50943424732901432</v>
      </c>
      <c r="BC10" s="162">
        <f t="shared" si="48"/>
        <v>0.04</v>
      </c>
      <c r="BD10" s="162">
        <f t="shared" si="49"/>
        <v>0.04</v>
      </c>
      <c r="BE10" s="162">
        <f t="shared" si="7"/>
        <v>0.50943424732901432</v>
      </c>
      <c r="BF10" s="171">
        <f t="shared" si="50"/>
        <v>0.50943424732901432</v>
      </c>
      <c r="BH10" s="162">
        <f t="shared" si="51"/>
        <v>0.04</v>
      </c>
      <c r="BI10" s="170">
        <f t="shared" si="52"/>
        <v>0.04</v>
      </c>
      <c r="BJ10" s="162">
        <f t="shared" si="8"/>
        <v>0.50943424732901432</v>
      </c>
      <c r="BK10" s="171">
        <f t="shared" si="53"/>
        <v>0.50943424732901432</v>
      </c>
      <c r="BM10" s="162">
        <f t="shared" si="54"/>
        <v>0.04</v>
      </c>
      <c r="BN10" s="170">
        <f t="shared" si="55"/>
        <v>0.04</v>
      </c>
      <c r="BO10" s="162">
        <f t="shared" si="9"/>
        <v>0.50943424732901432</v>
      </c>
      <c r="BP10" s="171">
        <f t="shared" si="56"/>
        <v>0.50943424732901432</v>
      </c>
      <c r="BR10" s="162">
        <f t="shared" si="57"/>
        <v>0.04</v>
      </c>
      <c r="BS10" s="162">
        <f t="shared" si="58"/>
        <v>0.04</v>
      </c>
      <c r="BT10" s="162">
        <f t="shared" si="10"/>
        <v>0.50943424732901432</v>
      </c>
      <c r="BU10" s="171">
        <f t="shared" si="59"/>
        <v>0.50943424732901432</v>
      </c>
      <c r="BW10" s="162">
        <f t="shared" si="60"/>
        <v>0.04</v>
      </c>
      <c r="BX10" s="170">
        <f t="shared" si="61"/>
        <v>0.04</v>
      </c>
      <c r="BY10" s="162">
        <f t="shared" si="11"/>
        <v>0.50943424732901432</v>
      </c>
      <c r="BZ10" s="171">
        <f t="shared" si="62"/>
        <v>0.50943424732901432</v>
      </c>
      <c r="CB10" s="162">
        <f t="shared" si="63"/>
        <v>0.04</v>
      </c>
      <c r="CC10" s="170">
        <f t="shared" si="64"/>
        <v>0.04</v>
      </c>
      <c r="CD10" s="162">
        <f t="shared" si="12"/>
        <v>0.50943424732901432</v>
      </c>
      <c r="CE10" s="171">
        <f t="shared" si="65"/>
        <v>0.50943424732901432</v>
      </c>
      <c r="CG10" s="172">
        <f t="shared" si="66"/>
        <v>0.04</v>
      </c>
      <c r="CH10" s="172">
        <f t="shared" si="67"/>
        <v>0.04</v>
      </c>
      <c r="CI10" s="172">
        <f t="shared" si="13"/>
        <v>0.50943424732901432</v>
      </c>
      <c r="CJ10" s="171">
        <f t="shared" si="68"/>
        <v>0.50943424732901432</v>
      </c>
      <c r="CK10" s="172"/>
      <c r="CL10" s="162">
        <f t="shared" si="69"/>
        <v>0.04</v>
      </c>
      <c r="CM10" s="170">
        <f t="shared" si="70"/>
        <v>0.04</v>
      </c>
      <c r="CN10" s="162">
        <f t="shared" si="14"/>
        <v>0.50943424732901432</v>
      </c>
      <c r="CO10" s="171">
        <f t="shared" si="71"/>
        <v>0.50943424732901432</v>
      </c>
      <c r="CQ10" s="162">
        <f t="shared" si="72"/>
        <v>0.04</v>
      </c>
      <c r="CR10" s="170">
        <f t="shared" si="73"/>
        <v>0.04</v>
      </c>
      <c r="CS10" s="162">
        <f t="shared" si="15"/>
        <v>0.50943424732901432</v>
      </c>
      <c r="CT10" s="171">
        <f t="shared" si="74"/>
        <v>0.50943424732901432</v>
      </c>
      <c r="CV10" s="162">
        <f t="shared" si="75"/>
        <v>0.04</v>
      </c>
      <c r="CW10" s="162">
        <f t="shared" si="76"/>
        <v>0.04</v>
      </c>
      <c r="CX10" s="162">
        <f t="shared" si="16"/>
        <v>0.50943424732901432</v>
      </c>
      <c r="CY10" s="171">
        <f t="shared" si="77"/>
        <v>0.50943424732901432</v>
      </c>
      <c r="DA10" s="162">
        <f t="shared" si="78"/>
        <v>0.04</v>
      </c>
      <c r="DB10" s="170">
        <f t="shared" si="79"/>
        <v>0.04</v>
      </c>
      <c r="DC10" s="162">
        <f t="shared" si="17"/>
        <v>0.50943424732901432</v>
      </c>
      <c r="DD10" s="171">
        <f t="shared" si="80"/>
        <v>0.50943424732901432</v>
      </c>
      <c r="DF10" s="162">
        <f t="shared" si="81"/>
        <v>0.04</v>
      </c>
      <c r="DG10" s="170">
        <f t="shared" si="82"/>
        <v>0.04</v>
      </c>
      <c r="DH10" s="162">
        <f t="shared" si="18"/>
        <v>0.50943424732901432</v>
      </c>
      <c r="DI10" s="171">
        <f t="shared" si="83"/>
        <v>0.50943424732901432</v>
      </c>
      <c r="DK10" s="162">
        <f t="shared" si="84"/>
        <v>0.04</v>
      </c>
      <c r="DL10" s="162">
        <f t="shared" si="85"/>
        <v>0.04</v>
      </c>
      <c r="DM10" s="162">
        <f t="shared" si="19"/>
        <v>0.50943424732901432</v>
      </c>
      <c r="DN10" s="171">
        <f t="shared" si="86"/>
        <v>0.50943424732901432</v>
      </c>
      <c r="DP10" s="162">
        <f t="shared" si="87"/>
        <v>0.04</v>
      </c>
      <c r="DQ10" s="170">
        <f t="shared" si="88"/>
        <v>0.04</v>
      </c>
      <c r="DR10" s="162">
        <f t="shared" si="20"/>
        <v>0.50943424732901432</v>
      </c>
      <c r="DS10" s="171">
        <f t="shared" si="89"/>
        <v>0.50943424732901432</v>
      </c>
      <c r="DU10" s="162">
        <f t="shared" si="90"/>
        <v>0.04</v>
      </c>
      <c r="DV10" s="170">
        <f t="shared" si="91"/>
        <v>0.04</v>
      </c>
      <c r="DW10" s="162">
        <f t="shared" si="21"/>
        <v>0.50943424732901432</v>
      </c>
      <c r="DX10" s="171">
        <f t="shared" si="92"/>
        <v>0.50943424732901432</v>
      </c>
      <c r="DZ10" s="162">
        <f t="shared" si="93"/>
        <v>0.04</v>
      </c>
      <c r="EA10" s="162">
        <f t="shared" si="94"/>
        <v>0.04</v>
      </c>
      <c r="EB10" s="162">
        <f t="shared" si="22"/>
        <v>0.50943424732901432</v>
      </c>
      <c r="EC10" s="171">
        <f t="shared" si="95"/>
        <v>0.50943424732901432</v>
      </c>
      <c r="EE10" s="162">
        <f t="shared" si="96"/>
        <v>0.04</v>
      </c>
      <c r="EF10" s="170">
        <f t="shared" si="97"/>
        <v>0.04</v>
      </c>
      <c r="EG10" s="162">
        <f t="shared" si="23"/>
        <v>0.50943424732901432</v>
      </c>
      <c r="EH10" s="171">
        <f t="shared" si="98"/>
        <v>0.50943424732901432</v>
      </c>
      <c r="EJ10" s="162">
        <f t="shared" si="99"/>
        <v>0.04</v>
      </c>
      <c r="EK10" s="170">
        <f t="shared" si="100"/>
        <v>0.04</v>
      </c>
      <c r="EL10" s="162">
        <f t="shared" si="24"/>
        <v>0.50943424732901432</v>
      </c>
      <c r="EM10" s="171">
        <f t="shared" si="101"/>
        <v>0.50943424732901432</v>
      </c>
      <c r="EO10" s="162">
        <f t="shared" si="102"/>
        <v>0.04</v>
      </c>
      <c r="EP10" s="162">
        <f t="shared" si="103"/>
        <v>0.04</v>
      </c>
      <c r="EQ10" s="162">
        <f t="shared" si="25"/>
        <v>0.50943424732901432</v>
      </c>
      <c r="ER10" s="171">
        <f t="shared" si="104"/>
        <v>0.50943424732901432</v>
      </c>
      <c r="ET10" s="162">
        <f t="shared" si="105"/>
        <v>0.04</v>
      </c>
      <c r="EU10" s="170">
        <f t="shared" si="106"/>
        <v>0.04</v>
      </c>
      <c r="EV10" s="162">
        <f t="shared" si="26"/>
        <v>0.50943424732901432</v>
      </c>
      <c r="EW10" s="171">
        <f t="shared" si="107"/>
        <v>0.50943424732901432</v>
      </c>
    </row>
    <row r="11" spans="2:156" ht="14.45" x14ac:dyDescent="0.3">
      <c r="C11" s="167" t="s">
        <v>346</v>
      </c>
      <c r="D11" s="175">
        <v>0</v>
      </c>
      <c r="F11" s="167" t="str">
        <f>"     ^ Tolerance (" &amp; IF($B$4, "m", "ft") &amp; ")"</f>
        <v xml:space="preserve">     ^ Tolerance (m)</v>
      </c>
      <c r="G11" s="173">
        <v>0</v>
      </c>
      <c r="T11" s="162">
        <f t="shared" si="27"/>
        <v>0.06</v>
      </c>
      <c r="U11" s="170">
        <f t="shared" si="28"/>
        <v>0.06</v>
      </c>
      <c r="V11" s="162">
        <f t="shared" si="0"/>
        <v>0.66008860190175067</v>
      </c>
      <c r="W11" s="171">
        <f t="shared" si="29"/>
        <v>0.66008860190175067</v>
      </c>
      <c r="Y11" s="162">
        <f t="shared" si="30"/>
        <v>0.06</v>
      </c>
      <c r="Z11" s="162">
        <f t="shared" si="31"/>
        <v>0.06</v>
      </c>
      <c r="AA11" s="162">
        <f t="shared" si="1"/>
        <v>0.66008860190175067</v>
      </c>
      <c r="AB11" s="171">
        <f t="shared" si="32"/>
        <v>0.66008860190175067</v>
      </c>
      <c r="AD11" s="162">
        <f t="shared" si="33"/>
        <v>0.06</v>
      </c>
      <c r="AE11" s="170">
        <f t="shared" si="34"/>
        <v>0.06</v>
      </c>
      <c r="AF11" s="162">
        <f t="shared" si="2"/>
        <v>0.66008860190175067</v>
      </c>
      <c r="AG11" s="171">
        <f t="shared" si="35"/>
        <v>0.66008860190175067</v>
      </c>
      <c r="AI11" s="162">
        <f t="shared" si="36"/>
        <v>0.06</v>
      </c>
      <c r="AJ11" s="170">
        <f t="shared" si="37"/>
        <v>0.06</v>
      </c>
      <c r="AK11" s="162">
        <f t="shared" si="3"/>
        <v>0.66008860190175067</v>
      </c>
      <c r="AL11" s="171">
        <f t="shared" si="38"/>
        <v>0.66008860190175067</v>
      </c>
      <c r="AN11" s="162">
        <f t="shared" si="39"/>
        <v>0.06</v>
      </c>
      <c r="AO11" s="162">
        <f t="shared" si="40"/>
        <v>0.06</v>
      </c>
      <c r="AP11" s="162">
        <f t="shared" si="4"/>
        <v>0.66008860190175067</v>
      </c>
      <c r="AQ11" s="171">
        <f t="shared" si="41"/>
        <v>0.66008860190175067</v>
      </c>
      <c r="AS11" s="162">
        <f t="shared" si="42"/>
        <v>0.06</v>
      </c>
      <c r="AT11" s="170">
        <f t="shared" si="43"/>
        <v>0.06</v>
      </c>
      <c r="AU11" s="162">
        <f t="shared" si="5"/>
        <v>0.66008860190175067</v>
      </c>
      <c r="AV11" s="171">
        <f t="shared" si="44"/>
        <v>0.66008860190175067</v>
      </c>
      <c r="AX11" s="162">
        <f t="shared" si="45"/>
        <v>0.06</v>
      </c>
      <c r="AY11" s="170">
        <f t="shared" si="46"/>
        <v>0.06</v>
      </c>
      <c r="AZ11" s="162">
        <f t="shared" si="6"/>
        <v>0.66008860190175067</v>
      </c>
      <c r="BA11" s="171">
        <f t="shared" si="47"/>
        <v>0.66008860190175067</v>
      </c>
      <c r="BC11" s="162">
        <f t="shared" si="48"/>
        <v>0.06</v>
      </c>
      <c r="BD11" s="162">
        <f t="shared" si="49"/>
        <v>0.06</v>
      </c>
      <c r="BE11" s="162">
        <f t="shared" si="7"/>
        <v>0.66008860190175067</v>
      </c>
      <c r="BF11" s="171">
        <f t="shared" si="50"/>
        <v>0.66008860190175067</v>
      </c>
      <c r="BH11" s="162">
        <f t="shared" si="51"/>
        <v>0.06</v>
      </c>
      <c r="BI11" s="170">
        <f t="shared" si="52"/>
        <v>0.06</v>
      </c>
      <c r="BJ11" s="162">
        <f t="shared" si="8"/>
        <v>0.66008860190175067</v>
      </c>
      <c r="BK11" s="171">
        <f t="shared" si="53"/>
        <v>0.66008860190175067</v>
      </c>
      <c r="BM11" s="162">
        <f t="shared" si="54"/>
        <v>0.06</v>
      </c>
      <c r="BN11" s="170">
        <f t="shared" si="55"/>
        <v>0.06</v>
      </c>
      <c r="BO11" s="162">
        <f t="shared" si="9"/>
        <v>0.66008860190175067</v>
      </c>
      <c r="BP11" s="171">
        <f t="shared" si="56"/>
        <v>0.66008860190175067</v>
      </c>
      <c r="BR11" s="162">
        <f t="shared" si="57"/>
        <v>0.06</v>
      </c>
      <c r="BS11" s="162">
        <f t="shared" si="58"/>
        <v>0.06</v>
      </c>
      <c r="BT11" s="162">
        <f t="shared" si="10"/>
        <v>0.66008860190175067</v>
      </c>
      <c r="BU11" s="171">
        <f t="shared" si="59"/>
        <v>0.66008860190175067</v>
      </c>
      <c r="BW11" s="162">
        <f t="shared" si="60"/>
        <v>0.06</v>
      </c>
      <c r="BX11" s="170">
        <f t="shared" si="61"/>
        <v>0.06</v>
      </c>
      <c r="BY11" s="162">
        <f t="shared" si="11"/>
        <v>0.66008860190175067</v>
      </c>
      <c r="BZ11" s="171">
        <f t="shared" si="62"/>
        <v>0.66008860190175067</v>
      </c>
      <c r="CB11" s="162">
        <f t="shared" si="63"/>
        <v>0.06</v>
      </c>
      <c r="CC11" s="170">
        <f t="shared" si="64"/>
        <v>0.06</v>
      </c>
      <c r="CD11" s="162">
        <f t="shared" si="12"/>
        <v>0.66008860190175067</v>
      </c>
      <c r="CE11" s="171">
        <f t="shared" si="65"/>
        <v>0.66008860190175067</v>
      </c>
      <c r="CG11" s="172">
        <f t="shared" si="66"/>
        <v>0.06</v>
      </c>
      <c r="CH11" s="172">
        <f t="shared" si="67"/>
        <v>0.06</v>
      </c>
      <c r="CI11" s="172">
        <f t="shared" si="13"/>
        <v>0.66008860190175067</v>
      </c>
      <c r="CJ11" s="171">
        <f t="shared" si="68"/>
        <v>0.66008860190175067</v>
      </c>
      <c r="CK11" s="172"/>
      <c r="CL11" s="162">
        <f t="shared" si="69"/>
        <v>0.06</v>
      </c>
      <c r="CM11" s="170">
        <f t="shared" si="70"/>
        <v>0.06</v>
      </c>
      <c r="CN11" s="162">
        <f t="shared" si="14"/>
        <v>0.66008860190175067</v>
      </c>
      <c r="CO11" s="171">
        <f t="shared" si="71"/>
        <v>0.66008860190175067</v>
      </c>
      <c r="CQ11" s="162">
        <f t="shared" si="72"/>
        <v>0.06</v>
      </c>
      <c r="CR11" s="170">
        <f t="shared" si="73"/>
        <v>0.06</v>
      </c>
      <c r="CS11" s="162">
        <f t="shared" si="15"/>
        <v>0.66008860190175067</v>
      </c>
      <c r="CT11" s="171">
        <f t="shared" si="74"/>
        <v>0.66008860190175067</v>
      </c>
      <c r="CV11" s="162">
        <f t="shared" si="75"/>
        <v>0.06</v>
      </c>
      <c r="CW11" s="162">
        <f t="shared" si="76"/>
        <v>0.06</v>
      </c>
      <c r="CX11" s="162">
        <f t="shared" si="16"/>
        <v>0.66008860190175067</v>
      </c>
      <c r="CY11" s="171">
        <f t="shared" si="77"/>
        <v>0.66008860190175067</v>
      </c>
      <c r="DA11" s="162">
        <f t="shared" si="78"/>
        <v>0.06</v>
      </c>
      <c r="DB11" s="170">
        <f t="shared" si="79"/>
        <v>0.06</v>
      </c>
      <c r="DC11" s="162">
        <f t="shared" si="17"/>
        <v>0.66008860190175067</v>
      </c>
      <c r="DD11" s="171">
        <f t="shared" si="80"/>
        <v>0.66008860190175067</v>
      </c>
      <c r="DF11" s="162">
        <f t="shared" si="81"/>
        <v>0.06</v>
      </c>
      <c r="DG11" s="170">
        <f t="shared" si="82"/>
        <v>0.06</v>
      </c>
      <c r="DH11" s="162">
        <f t="shared" si="18"/>
        <v>0.66008860190175067</v>
      </c>
      <c r="DI11" s="171">
        <f t="shared" si="83"/>
        <v>0.66008860190175067</v>
      </c>
      <c r="DK11" s="162">
        <f t="shared" si="84"/>
        <v>0.06</v>
      </c>
      <c r="DL11" s="162">
        <f t="shared" si="85"/>
        <v>0.06</v>
      </c>
      <c r="DM11" s="162">
        <f t="shared" si="19"/>
        <v>0.66008860190175067</v>
      </c>
      <c r="DN11" s="171">
        <f t="shared" si="86"/>
        <v>0.66008860190175067</v>
      </c>
      <c r="DP11" s="162">
        <f t="shared" si="87"/>
        <v>0.06</v>
      </c>
      <c r="DQ11" s="170">
        <f t="shared" si="88"/>
        <v>0.06</v>
      </c>
      <c r="DR11" s="162">
        <f t="shared" si="20"/>
        <v>0.66008860190175067</v>
      </c>
      <c r="DS11" s="171">
        <f t="shared" si="89"/>
        <v>0.66008860190175067</v>
      </c>
      <c r="DU11" s="162">
        <f t="shared" si="90"/>
        <v>0.06</v>
      </c>
      <c r="DV11" s="170">
        <f t="shared" si="91"/>
        <v>0.06</v>
      </c>
      <c r="DW11" s="162">
        <f t="shared" si="21"/>
        <v>0.66008860190175067</v>
      </c>
      <c r="DX11" s="171">
        <f t="shared" si="92"/>
        <v>0.66008860190175067</v>
      </c>
      <c r="DZ11" s="162">
        <f t="shared" si="93"/>
        <v>0.06</v>
      </c>
      <c r="EA11" s="162">
        <f t="shared" si="94"/>
        <v>0.06</v>
      </c>
      <c r="EB11" s="162">
        <f t="shared" si="22"/>
        <v>0.66008860190175067</v>
      </c>
      <c r="EC11" s="171">
        <f t="shared" si="95"/>
        <v>0.66008860190175067</v>
      </c>
      <c r="EE11" s="162">
        <f t="shared" si="96"/>
        <v>0.06</v>
      </c>
      <c r="EF11" s="170">
        <f t="shared" si="97"/>
        <v>0.06</v>
      </c>
      <c r="EG11" s="162">
        <f t="shared" si="23"/>
        <v>0.66008860190175067</v>
      </c>
      <c r="EH11" s="171">
        <f t="shared" si="98"/>
        <v>0.66008860190175067</v>
      </c>
      <c r="EJ11" s="162">
        <f t="shared" si="99"/>
        <v>0.06</v>
      </c>
      <c r="EK11" s="170">
        <f t="shared" si="100"/>
        <v>0.06</v>
      </c>
      <c r="EL11" s="162">
        <f t="shared" si="24"/>
        <v>0.66008860190175067</v>
      </c>
      <c r="EM11" s="171">
        <f t="shared" si="101"/>
        <v>0.66008860190175067</v>
      </c>
      <c r="EO11" s="162">
        <f t="shared" si="102"/>
        <v>0.06</v>
      </c>
      <c r="EP11" s="162">
        <f t="shared" si="103"/>
        <v>0.06</v>
      </c>
      <c r="EQ11" s="162">
        <f t="shared" si="25"/>
        <v>0.66008860190175067</v>
      </c>
      <c r="ER11" s="171">
        <f t="shared" si="104"/>
        <v>0.66008860190175067</v>
      </c>
      <c r="ET11" s="162">
        <f t="shared" si="105"/>
        <v>0.06</v>
      </c>
      <c r="EU11" s="170">
        <f t="shared" si="106"/>
        <v>0.06</v>
      </c>
      <c r="EV11" s="162">
        <f t="shared" si="26"/>
        <v>0.66008860190175067</v>
      </c>
      <c r="EW11" s="171">
        <f t="shared" si="107"/>
        <v>0.66008860190175067</v>
      </c>
    </row>
    <row r="12" spans="2:156" x14ac:dyDescent="0.25">
      <c r="C12" s="167" t="s">
        <v>96</v>
      </c>
      <c r="D12" s="72">
        <v>80</v>
      </c>
      <c r="F12" s="167" t="s">
        <v>99</v>
      </c>
      <c r="G12" s="72">
        <v>-80</v>
      </c>
      <c r="T12" s="162">
        <f t="shared" si="27"/>
        <v>0.08</v>
      </c>
      <c r="U12" s="170">
        <f t="shared" si="28"/>
        <v>0.08</v>
      </c>
      <c r="V12" s="162">
        <f t="shared" si="0"/>
        <v>0.80803444374664024</v>
      </c>
      <c r="W12" s="171">
        <f t="shared" si="29"/>
        <v>0.80803444374664024</v>
      </c>
      <c r="Y12" s="162">
        <f t="shared" si="30"/>
        <v>0.08</v>
      </c>
      <c r="Z12" s="162">
        <f t="shared" si="31"/>
        <v>0.08</v>
      </c>
      <c r="AA12" s="162">
        <f t="shared" si="1"/>
        <v>0.80803444374664024</v>
      </c>
      <c r="AB12" s="171">
        <f t="shared" si="32"/>
        <v>0.80803444374664024</v>
      </c>
      <c r="AD12" s="162">
        <f t="shared" si="33"/>
        <v>0.08</v>
      </c>
      <c r="AE12" s="170">
        <f t="shared" si="34"/>
        <v>0.08</v>
      </c>
      <c r="AF12" s="162">
        <f t="shared" si="2"/>
        <v>0.80803444374664024</v>
      </c>
      <c r="AG12" s="171">
        <f t="shared" si="35"/>
        <v>0.80803444374664024</v>
      </c>
      <c r="AI12" s="162">
        <f t="shared" si="36"/>
        <v>0.08</v>
      </c>
      <c r="AJ12" s="170">
        <f t="shared" si="37"/>
        <v>0.08</v>
      </c>
      <c r="AK12" s="162">
        <f t="shared" si="3"/>
        <v>0.80803444374664024</v>
      </c>
      <c r="AL12" s="171">
        <f t="shared" si="38"/>
        <v>0.80803444374664024</v>
      </c>
      <c r="AN12" s="162">
        <f t="shared" si="39"/>
        <v>0.08</v>
      </c>
      <c r="AO12" s="162">
        <f t="shared" si="40"/>
        <v>0.08</v>
      </c>
      <c r="AP12" s="162">
        <f t="shared" si="4"/>
        <v>0.80803444374664024</v>
      </c>
      <c r="AQ12" s="171">
        <f t="shared" si="41"/>
        <v>0.80803444374664024</v>
      </c>
      <c r="AS12" s="162">
        <f t="shared" si="42"/>
        <v>0.08</v>
      </c>
      <c r="AT12" s="170">
        <f t="shared" si="43"/>
        <v>0.08</v>
      </c>
      <c r="AU12" s="162">
        <f t="shared" si="5"/>
        <v>0.80803444374664024</v>
      </c>
      <c r="AV12" s="171">
        <f t="shared" si="44"/>
        <v>0.80803444374664024</v>
      </c>
      <c r="AX12" s="162">
        <f t="shared" si="45"/>
        <v>0.08</v>
      </c>
      <c r="AY12" s="170">
        <f t="shared" si="46"/>
        <v>0.08</v>
      </c>
      <c r="AZ12" s="162">
        <f t="shared" si="6"/>
        <v>0.80803444374664024</v>
      </c>
      <c r="BA12" s="171">
        <f t="shared" si="47"/>
        <v>0.80803444374664024</v>
      </c>
      <c r="BC12" s="162">
        <f t="shared" si="48"/>
        <v>0.08</v>
      </c>
      <c r="BD12" s="162">
        <f t="shared" si="49"/>
        <v>0.08</v>
      </c>
      <c r="BE12" s="162">
        <f t="shared" si="7"/>
        <v>0.80803444374664024</v>
      </c>
      <c r="BF12" s="171">
        <f t="shared" si="50"/>
        <v>0.80803444374664024</v>
      </c>
      <c r="BH12" s="162">
        <f t="shared" si="51"/>
        <v>0.08</v>
      </c>
      <c r="BI12" s="170">
        <f t="shared" si="52"/>
        <v>0.08</v>
      </c>
      <c r="BJ12" s="162">
        <f t="shared" si="8"/>
        <v>0.80803444374664024</v>
      </c>
      <c r="BK12" s="171">
        <f t="shared" si="53"/>
        <v>0.80803444374664024</v>
      </c>
      <c r="BM12" s="162">
        <f t="shared" si="54"/>
        <v>0.08</v>
      </c>
      <c r="BN12" s="170">
        <f t="shared" si="55"/>
        <v>0.08</v>
      </c>
      <c r="BO12" s="162">
        <f t="shared" si="9"/>
        <v>0.80803444374664024</v>
      </c>
      <c r="BP12" s="171">
        <f t="shared" si="56"/>
        <v>0.80803444374664024</v>
      </c>
      <c r="BR12" s="162">
        <f t="shared" si="57"/>
        <v>0.08</v>
      </c>
      <c r="BS12" s="162">
        <f t="shared" si="58"/>
        <v>0.08</v>
      </c>
      <c r="BT12" s="162">
        <f t="shared" si="10"/>
        <v>0.80803444374664024</v>
      </c>
      <c r="BU12" s="171">
        <f t="shared" si="59"/>
        <v>0.80803444374664024</v>
      </c>
      <c r="BW12" s="162">
        <f t="shared" si="60"/>
        <v>0.08</v>
      </c>
      <c r="BX12" s="170">
        <f t="shared" si="61"/>
        <v>0.08</v>
      </c>
      <c r="BY12" s="162">
        <f t="shared" si="11"/>
        <v>0.80803444374664024</v>
      </c>
      <c r="BZ12" s="171">
        <f t="shared" si="62"/>
        <v>0.80803444374664024</v>
      </c>
      <c r="CB12" s="162">
        <f t="shared" si="63"/>
        <v>0.08</v>
      </c>
      <c r="CC12" s="170">
        <f t="shared" si="64"/>
        <v>0.08</v>
      </c>
      <c r="CD12" s="162">
        <f t="shared" si="12"/>
        <v>0.80803444374664024</v>
      </c>
      <c r="CE12" s="171">
        <f t="shared" si="65"/>
        <v>0.80803444374664024</v>
      </c>
      <c r="CG12" s="172">
        <f t="shared" si="66"/>
        <v>0.08</v>
      </c>
      <c r="CH12" s="172">
        <f t="shared" si="67"/>
        <v>0.08</v>
      </c>
      <c r="CI12" s="172">
        <f t="shared" si="13"/>
        <v>0.80803444374664024</v>
      </c>
      <c r="CJ12" s="171">
        <f t="shared" si="68"/>
        <v>0.80803444374664024</v>
      </c>
      <c r="CK12" s="172"/>
      <c r="CL12" s="162">
        <f t="shared" si="69"/>
        <v>0.08</v>
      </c>
      <c r="CM12" s="170">
        <f t="shared" si="70"/>
        <v>0.08</v>
      </c>
      <c r="CN12" s="162">
        <f t="shared" si="14"/>
        <v>0.80803444374664024</v>
      </c>
      <c r="CO12" s="171">
        <f t="shared" si="71"/>
        <v>0.80803444374664024</v>
      </c>
      <c r="CQ12" s="162">
        <f t="shared" si="72"/>
        <v>0.08</v>
      </c>
      <c r="CR12" s="170">
        <f t="shared" si="73"/>
        <v>0.08</v>
      </c>
      <c r="CS12" s="162">
        <f t="shared" si="15"/>
        <v>0.80803444374664024</v>
      </c>
      <c r="CT12" s="171">
        <f t="shared" si="74"/>
        <v>0.80803444374664024</v>
      </c>
      <c r="CV12" s="162">
        <f t="shared" si="75"/>
        <v>0.08</v>
      </c>
      <c r="CW12" s="162">
        <f t="shared" si="76"/>
        <v>0.08</v>
      </c>
      <c r="CX12" s="162">
        <f t="shared" si="16"/>
        <v>0.80803444374664024</v>
      </c>
      <c r="CY12" s="171">
        <f t="shared" si="77"/>
        <v>0.80803444374664024</v>
      </c>
      <c r="DA12" s="162">
        <f t="shared" si="78"/>
        <v>0.08</v>
      </c>
      <c r="DB12" s="170">
        <f t="shared" si="79"/>
        <v>0.08</v>
      </c>
      <c r="DC12" s="162">
        <f t="shared" si="17"/>
        <v>0.80803444374664024</v>
      </c>
      <c r="DD12" s="171">
        <f t="shared" si="80"/>
        <v>0.80803444374664024</v>
      </c>
      <c r="DF12" s="162">
        <f t="shared" si="81"/>
        <v>0.08</v>
      </c>
      <c r="DG12" s="170">
        <f t="shared" si="82"/>
        <v>0.08</v>
      </c>
      <c r="DH12" s="162">
        <f t="shared" si="18"/>
        <v>0.80803444374664024</v>
      </c>
      <c r="DI12" s="171">
        <f t="shared" si="83"/>
        <v>0.80803444374664024</v>
      </c>
      <c r="DK12" s="162">
        <f t="shared" si="84"/>
        <v>0.08</v>
      </c>
      <c r="DL12" s="162">
        <f t="shared" si="85"/>
        <v>0.08</v>
      </c>
      <c r="DM12" s="162">
        <f t="shared" si="19"/>
        <v>0.80803444374664024</v>
      </c>
      <c r="DN12" s="171">
        <f t="shared" si="86"/>
        <v>0.80803444374664024</v>
      </c>
      <c r="DP12" s="162">
        <f t="shared" si="87"/>
        <v>0.08</v>
      </c>
      <c r="DQ12" s="170">
        <f t="shared" si="88"/>
        <v>0.08</v>
      </c>
      <c r="DR12" s="162">
        <f t="shared" si="20"/>
        <v>0.80803444374664024</v>
      </c>
      <c r="DS12" s="171">
        <f t="shared" si="89"/>
        <v>0.80803444374664024</v>
      </c>
      <c r="DU12" s="162">
        <f t="shared" si="90"/>
        <v>0.08</v>
      </c>
      <c r="DV12" s="170">
        <f t="shared" si="91"/>
        <v>0.08</v>
      </c>
      <c r="DW12" s="162">
        <f t="shared" si="21"/>
        <v>0.80803444374664024</v>
      </c>
      <c r="DX12" s="171">
        <f t="shared" si="92"/>
        <v>0.80803444374664024</v>
      </c>
      <c r="DZ12" s="162">
        <f t="shared" si="93"/>
        <v>0.08</v>
      </c>
      <c r="EA12" s="162">
        <f t="shared" si="94"/>
        <v>0.08</v>
      </c>
      <c r="EB12" s="162">
        <f t="shared" si="22"/>
        <v>0.80803444374664024</v>
      </c>
      <c r="EC12" s="171">
        <f t="shared" si="95"/>
        <v>0.80803444374664024</v>
      </c>
      <c r="EE12" s="162">
        <f t="shared" si="96"/>
        <v>0.08</v>
      </c>
      <c r="EF12" s="170">
        <f t="shared" si="97"/>
        <v>0.08</v>
      </c>
      <c r="EG12" s="162">
        <f t="shared" si="23"/>
        <v>0.80803444374664024</v>
      </c>
      <c r="EH12" s="171">
        <f t="shared" si="98"/>
        <v>0.80803444374664024</v>
      </c>
      <c r="EJ12" s="162">
        <f t="shared" si="99"/>
        <v>0.08</v>
      </c>
      <c r="EK12" s="170">
        <f t="shared" si="100"/>
        <v>0.08</v>
      </c>
      <c r="EL12" s="162">
        <f t="shared" si="24"/>
        <v>0.80803444374664024</v>
      </c>
      <c r="EM12" s="171">
        <f t="shared" si="101"/>
        <v>0.80803444374664024</v>
      </c>
      <c r="EO12" s="162">
        <f t="shared" si="102"/>
        <v>0.08</v>
      </c>
      <c r="EP12" s="162">
        <f t="shared" si="103"/>
        <v>0.08</v>
      </c>
      <c r="EQ12" s="162">
        <f t="shared" si="25"/>
        <v>0.80803444374664024</v>
      </c>
      <c r="ER12" s="171">
        <f t="shared" si="104"/>
        <v>0.80803444374664024</v>
      </c>
      <c r="ET12" s="162">
        <f t="shared" si="105"/>
        <v>0.08</v>
      </c>
      <c r="EU12" s="170">
        <f t="shared" si="106"/>
        <v>0.08</v>
      </c>
      <c r="EV12" s="162">
        <f t="shared" si="26"/>
        <v>0.80803444374664024</v>
      </c>
      <c r="EW12" s="171">
        <f t="shared" si="107"/>
        <v>0.80803444374664024</v>
      </c>
    </row>
    <row r="13" spans="2:156" x14ac:dyDescent="0.25">
      <c r="C13" s="167" t="s">
        <v>347</v>
      </c>
      <c r="D13" s="176">
        <v>0</v>
      </c>
      <c r="F13" s="167" t="s">
        <v>347</v>
      </c>
      <c r="G13" s="176">
        <v>0</v>
      </c>
      <c r="T13" s="162">
        <f t="shared" si="27"/>
        <v>0.1</v>
      </c>
      <c r="U13" s="170">
        <f t="shared" si="28"/>
        <v>0.1</v>
      </c>
      <c r="V13" s="162">
        <f t="shared" si="0"/>
        <v>0.95327177286368259</v>
      </c>
      <c r="W13" s="171">
        <f t="shared" si="29"/>
        <v>0.95327177286368259</v>
      </c>
      <c r="Y13" s="162">
        <f t="shared" si="30"/>
        <v>0.1</v>
      </c>
      <c r="Z13" s="162">
        <f t="shared" si="31"/>
        <v>0.1</v>
      </c>
      <c r="AA13" s="162">
        <f t="shared" si="1"/>
        <v>0.95327177286368259</v>
      </c>
      <c r="AB13" s="171">
        <f t="shared" si="32"/>
        <v>0.95327177286368259</v>
      </c>
      <c r="AD13" s="162">
        <f t="shared" si="33"/>
        <v>0.1</v>
      </c>
      <c r="AE13" s="170">
        <f t="shared" si="34"/>
        <v>0.1</v>
      </c>
      <c r="AF13" s="162">
        <f t="shared" si="2"/>
        <v>0.95327177286368259</v>
      </c>
      <c r="AG13" s="171">
        <f t="shared" si="35"/>
        <v>0.95327177286368259</v>
      </c>
      <c r="AI13" s="162">
        <f t="shared" si="36"/>
        <v>0.1</v>
      </c>
      <c r="AJ13" s="170">
        <f t="shared" si="37"/>
        <v>0.1</v>
      </c>
      <c r="AK13" s="162">
        <f t="shared" si="3"/>
        <v>0.95327177286368259</v>
      </c>
      <c r="AL13" s="171">
        <f t="shared" si="38"/>
        <v>0.95327177286368259</v>
      </c>
      <c r="AN13" s="162">
        <f t="shared" si="39"/>
        <v>0.1</v>
      </c>
      <c r="AO13" s="162">
        <f t="shared" si="40"/>
        <v>0.1</v>
      </c>
      <c r="AP13" s="162">
        <f t="shared" si="4"/>
        <v>0.95327177286368259</v>
      </c>
      <c r="AQ13" s="171">
        <f t="shared" si="41"/>
        <v>0.95327177286368259</v>
      </c>
      <c r="AS13" s="162">
        <f t="shared" si="42"/>
        <v>0.1</v>
      </c>
      <c r="AT13" s="170">
        <f t="shared" si="43"/>
        <v>0.1</v>
      </c>
      <c r="AU13" s="162">
        <f t="shared" si="5"/>
        <v>0.95327177286368259</v>
      </c>
      <c r="AV13" s="171">
        <f t="shared" si="44"/>
        <v>0.95327177286368259</v>
      </c>
      <c r="AX13" s="162">
        <f t="shared" si="45"/>
        <v>0.1</v>
      </c>
      <c r="AY13" s="170">
        <f t="shared" si="46"/>
        <v>0.1</v>
      </c>
      <c r="AZ13" s="162">
        <f t="shared" si="6"/>
        <v>0.95327177286368259</v>
      </c>
      <c r="BA13" s="171">
        <f t="shared" si="47"/>
        <v>0.95327177286368259</v>
      </c>
      <c r="BC13" s="162">
        <f t="shared" si="48"/>
        <v>0.1</v>
      </c>
      <c r="BD13" s="162">
        <f t="shared" si="49"/>
        <v>0.1</v>
      </c>
      <c r="BE13" s="162">
        <f t="shared" si="7"/>
        <v>0.95327177286368259</v>
      </c>
      <c r="BF13" s="171">
        <f t="shared" si="50"/>
        <v>0.95327177286368259</v>
      </c>
      <c r="BH13" s="162">
        <f t="shared" si="51"/>
        <v>0.1</v>
      </c>
      <c r="BI13" s="170">
        <f t="shared" si="52"/>
        <v>0.1</v>
      </c>
      <c r="BJ13" s="162">
        <f t="shared" si="8"/>
        <v>0.95327177286368259</v>
      </c>
      <c r="BK13" s="171">
        <f t="shared" si="53"/>
        <v>0.95327177286368259</v>
      </c>
      <c r="BM13" s="162">
        <f t="shared" si="54"/>
        <v>0.1</v>
      </c>
      <c r="BN13" s="170">
        <f t="shared" si="55"/>
        <v>0.1</v>
      </c>
      <c r="BO13" s="162">
        <f t="shared" si="9"/>
        <v>0.95327177286368259</v>
      </c>
      <c r="BP13" s="171">
        <f t="shared" si="56"/>
        <v>0.95327177286368259</v>
      </c>
      <c r="BR13" s="162">
        <f t="shared" si="57"/>
        <v>0.1</v>
      </c>
      <c r="BS13" s="162">
        <f t="shared" si="58"/>
        <v>0.1</v>
      </c>
      <c r="BT13" s="162">
        <f t="shared" si="10"/>
        <v>0.95327177286368259</v>
      </c>
      <c r="BU13" s="171">
        <f t="shared" si="59"/>
        <v>0.95327177286368259</v>
      </c>
      <c r="BW13" s="162">
        <f t="shared" si="60"/>
        <v>0.1</v>
      </c>
      <c r="BX13" s="170">
        <f t="shared" si="61"/>
        <v>0.1</v>
      </c>
      <c r="BY13" s="162">
        <f t="shared" si="11"/>
        <v>0.95327177286368259</v>
      </c>
      <c r="BZ13" s="171">
        <f t="shared" si="62"/>
        <v>0.95327177286368259</v>
      </c>
      <c r="CB13" s="162">
        <f t="shared" si="63"/>
        <v>0.1</v>
      </c>
      <c r="CC13" s="170">
        <f t="shared" si="64"/>
        <v>0.1</v>
      </c>
      <c r="CD13" s="162">
        <f t="shared" si="12"/>
        <v>0.95327177286368259</v>
      </c>
      <c r="CE13" s="171">
        <f t="shared" si="65"/>
        <v>0.95327177286368259</v>
      </c>
      <c r="CG13" s="172">
        <f t="shared" si="66"/>
        <v>0.1</v>
      </c>
      <c r="CH13" s="172">
        <f t="shared" si="67"/>
        <v>0.1</v>
      </c>
      <c r="CI13" s="172">
        <f t="shared" si="13"/>
        <v>0.95327177286368259</v>
      </c>
      <c r="CJ13" s="171">
        <f t="shared" si="68"/>
        <v>0.95327177286368259</v>
      </c>
      <c r="CK13" s="172"/>
      <c r="CL13" s="162">
        <f t="shared" si="69"/>
        <v>0.1</v>
      </c>
      <c r="CM13" s="170">
        <f t="shared" si="70"/>
        <v>0.1</v>
      </c>
      <c r="CN13" s="162">
        <f t="shared" si="14"/>
        <v>0.95327177286368259</v>
      </c>
      <c r="CO13" s="171">
        <f t="shared" si="71"/>
        <v>0.95327177286368259</v>
      </c>
      <c r="CQ13" s="162">
        <f t="shared" si="72"/>
        <v>0.1</v>
      </c>
      <c r="CR13" s="170">
        <f t="shared" si="73"/>
        <v>0.1</v>
      </c>
      <c r="CS13" s="162">
        <f t="shared" si="15"/>
        <v>0.95327177286368259</v>
      </c>
      <c r="CT13" s="171">
        <f t="shared" si="74"/>
        <v>0.95327177286368259</v>
      </c>
      <c r="CV13" s="162">
        <f t="shared" si="75"/>
        <v>0.1</v>
      </c>
      <c r="CW13" s="162">
        <f t="shared" si="76"/>
        <v>0.1</v>
      </c>
      <c r="CX13" s="162">
        <f t="shared" si="16"/>
        <v>0.95327177286368259</v>
      </c>
      <c r="CY13" s="171">
        <f t="shared" si="77"/>
        <v>0.95327177286368259</v>
      </c>
      <c r="DA13" s="162">
        <f t="shared" si="78"/>
        <v>0.1</v>
      </c>
      <c r="DB13" s="170">
        <f t="shared" si="79"/>
        <v>0.1</v>
      </c>
      <c r="DC13" s="162">
        <f t="shared" si="17"/>
        <v>0.95327177286368259</v>
      </c>
      <c r="DD13" s="171">
        <f t="shared" si="80"/>
        <v>0.95327177286368259</v>
      </c>
      <c r="DF13" s="162">
        <f t="shared" si="81"/>
        <v>0.1</v>
      </c>
      <c r="DG13" s="170">
        <f t="shared" si="82"/>
        <v>0.1</v>
      </c>
      <c r="DH13" s="162">
        <f t="shared" si="18"/>
        <v>0.95327177286368259</v>
      </c>
      <c r="DI13" s="171">
        <f t="shared" si="83"/>
        <v>0.95327177286368259</v>
      </c>
      <c r="DK13" s="162">
        <f t="shared" si="84"/>
        <v>0.1</v>
      </c>
      <c r="DL13" s="162">
        <f t="shared" si="85"/>
        <v>0.1</v>
      </c>
      <c r="DM13" s="162">
        <f t="shared" si="19"/>
        <v>0.95327177286368259</v>
      </c>
      <c r="DN13" s="171">
        <f t="shared" si="86"/>
        <v>0.95327177286368259</v>
      </c>
      <c r="DP13" s="162">
        <f t="shared" si="87"/>
        <v>0.1</v>
      </c>
      <c r="DQ13" s="170">
        <f t="shared" si="88"/>
        <v>0.1</v>
      </c>
      <c r="DR13" s="162">
        <f t="shared" si="20"/>
        <v>0.95327177286368259</v>
      </c>
      <c r="DS13" s="171">
        <f t="shared" si="89"/>
        <v>0.95327177286368259</v>
      </c>
      <c r="DU13" s="162">
        <f t="shared" si="90"/>
        <v>0.1</v>
      </c>
      <c r="DV13" s="170">
        <f t="shared" si="91"/>
        <v>0.1</v>
      </c>
      <c r="DW13" s="162">
        <f t="shared" si="21"/>
        <v>0.95327177286368259</v>
      </c>
      <c r="DX13" s="171">
        <f t="shared" si="92"/>
        <v>0.95327177286368259</v>
      </c>
      <c r="DZ13" s="162">
        <f t="shared" si="93"/>
        <v>0.1</v>
      </c>
      <c r="EA13" s="162">
        <f t="shared" si="94"/>
        <v>0.1</v>
      </c>
      <c r="EB13" s="162">
        <f t="shared" si="22"/>
        <v>0.95327177286368259</v>
      </c>
      <c r="EC13" s="171">
        <f t="shared" si="95"/>
        <v>0.95327177286368259</v>
      </c>
      <c r="EE13" s="162">
        <f t="shared" si="96"/>
        <v>0.1</v>
      </c>
      <c r="EF13" s="170">
        <f t="shared" si="97"/>
        <v>0.1</v>
      </c>
      <c r="EG13" s="162">
        <f t="shared" si="23"/>
        <v>0.95327177286368259</v>
      </c>
      <c r="EH13" s="171">
        <f t="shared" si="98"/>
        <v>0.95327177286368259</v>
      </c>
      <c r="EJ13" s="162">
        <f t="shared" si="99"/>
        <v>0.1</v>
      </c>
      <c r="EK13" s="170">
        <f t="shared" si="100"/>
        <v>0.1</v>
      </c>
      <c r="EL13" s="162">
        <f t="shared" si="24"/>
        <v>0.95327177286368259</v>
      </c>
      <c r="EM13" s="171">
        <f t="shared" si="101"/>
        <v>0.95327177286368259</v>
      </c>
      <c r="EO13" s="162">
        <f t="shared" si="102"/>
        <v>0.1</v>
      </c>
      <c r="EP13" s="162">
        <f t="shared" si="103"/>
        <v>0.1</v>
      </c>
      <c r="EQ13" s="162">
        <f t="shared" si="25"/>
        <v>0.95327177286368259</v>
      </c>
      <c r="ER13" s="171">
        <f t="shared" si="104"/>
        <v>0.95327177286368259</v>
      </c>
      <c r="ET13" s="162">
        <f t="shared" si="105"/>
        <v>0.1</v>
      </c>
      <c r="EU13" s="170">
        <f t="shared" si="106"/>
        <v>0.1</v>
      </c>
      <c r="EV13" s="162">
        <f t="shared" si="26"/>
        <v>0.95327177286368259</v>
      </c>
      <c r="EW13" s="171">
        <f t="shared" si="107"/>
        <v>0.95327177286368259</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P14" s="160">
        <v>0</v>
      </c>
      <c r="Q14" s="160">
        <f>IF($I$3="Forward", IF(OR(ISBLANK(D15), ISBLANK(D16), D15=0, D16=0), 0, D15), IF(OR(ISBLANK(G15), ISBLANK(G16), G15=0, G16=0), 0, G15))</f>
        <v>0.99999999999999967</v>
      </c>
      <c r="T14" s="162">
        <f t="shared" si="27"/>
        <v>0.12000000000000001</v>
      </c>
      <c r="U14" s="170">
        <f t="shared" si="28"/>
        <v>0.12000000000000001</v>
      </c>
      <c r="V14" s="162">
        <f t="shared" si="0"/>
        <v>1.0958005892528777</v>
      </c>
      <c r="W14" s="171">
        <f t="shared" si="29"/>
        <v>1.0958005892528777</v>
      </c>
      <c r="Y14" s="162">
        <f t="shared" si="30"/>
        <v>0.12000000000000001</v>
      </c>
      <c r="Z14" s="162">
        <f t="shared" si="31"/>
        <v>0.12000000000000001</v>
      </c>
      <c r="AA14" s="162">
        <f t="shared" si="1"/>
        <v>1.0958005892528777</v>
      </c>
      <c r="AB14" s="171">
        <f t="shared" si="32"/>
        <v>1.0958005892528777</v>
      </c>
      <c r="AD14" s="162">
        <f t="shared" si="33"/>
        <v>0.12000000000000001</v>
      </c>
      <c r="AE14" s="170">
        <f t="shared" si="34"/>
        <v>0.12000000000000001</v>
      </c>
      <c r="AF14" s="162">
        <f t="shared" si="2"/>
        <v>1.0958005892528777</v>
      </c>
      <c r="AG14" s="171">
        <f t="shared" si="35"/>
        <v>1.0958005892528777</v>
      </c>
      <c r="AI14" s="162">
        <f t="shared" si="36"/>
        <v>0.12000000000000001</v>
      </c>
      <c r="AJ14" s="170">
        <f t="shared" si="37"/>
        <v>0.12000000000000001</v>
      </c>
      <c r="AK14" s="162">
        <f t="shared" si="3"/>
        <v>1.0958005892528777</v>
      </c>
      <c r="AL14" s="171">
        <f t="shared" si="38"/>
        <v>1.0958005892528777</v>
      </c>
      <c r="AN14" s="162">
        <f t="shared" si="39"/>
        <v>0.12000000000000001</v>
      </c>
      <c r="AO14" s="162">
        <f t="shared" si="40"/>
        <v>0.12000000000000001</v>
      </c>
      <c r="AP14" s="162">
        <f t="shared" si="4"/>
        <v>1.0958005892528777</v>
      </c>
      <c r="AQ14" s="171">
        <f t="shared" si="41"/>
        <v>1.0958005892528777</v>
      </c>
      <c r="AS14" s="162">
        <f t="shared" si="42"/>
        <v>0.12000000000000001</v>
      </c>
      <c r="AT14" s="170">
        <f t="shared" si="43"/>
        <v>0.12000000000000001</v>
      </c>
      <c r="AU14" s="162">
        <f t="shared" si="5"/>
        <v>1.0958005892528777</v>
      </c>
      <c r="AV14" s="171">
        <f t="shared" si="44"/>
        <v>1.0958005892528777</v>
      </c>
      <c r="AX14" s="162">
        <f t="shared" si="45"/>
        <v>0.12000000000000001</v>
      </c>
      <c r="AY14" s="170">
        <f t="shared" si="46"/>
        <v>0.12000000000000001</v>
      </c>
      <c r="AZ14" s="162">
        <f t="shared" si="6"/>
        <v>1.0958005892528777</v>
      </c>
      <c r="BA14" s="171">
        <f t="shared" si="47"/>
        <v>1.0958005892528777</v>
      </c>
      <c r="BC14" s="162">
        <f t="shared" si="48"/>
        <v>0.12000000000000001</v>
      </c>
      <c r="BD14" s="162">
        <f t="shared" si="49"/>
        <v>0.12000000000000001</v>
      </c>
      <c r="BE14" s="162">
        <f t="shared" si="7"/>
        <v>1.0958005892528777</v>
      </c>
      <c r="BF14" s="171">
        <f t="shared" si="50"/>
        <v>1.0958005892528777</v>
      </c>
      <c r="BH14" s="162">
        <f t="shared" si="51"/>
        <v>0.12000000000000001</v>
      </c>
      <c r="BI14" s="170">
        <f t="shared" si="52"/>
        <v>0.12000000000000001</v>
      </c>
      <c r="BJ14" s="162">
        <f t="shared" si="8"/>
        <v>1.0958005892528777</v>
      </c>
      <c r="BK14" s="171">
        <f t="shared" si="53"/>
        <v>1.0958005892528777</v>
      </c>
      <c r="BM14" s="162">
        <f t="shared" si="54"/>
        <v>0.12000000000000001</v>
      </c>
      <c r="BN14" s="170">
        <f t="shared" si="55"/>
        <v>0.12000000000000001</v>
      </c>
      <c r="BO14" s="162">
        <f t="shared" si="9"/>
        <v>1.0958005892528777</v>
      </c>
      <c r="BP14" s="171">
        <f t="shared" si="56"/>
        <v>1.0958005892528777</v>
      </c>
      <c r="BR14" s="162">
        <f t="shared" si="57"/>
        <v>0.12000000000000001</v>
      </c>
      <c r="BS14" s="162">
        <f t="shared" si="58"/>
        <v>0.12000000000000001</v>
      </c>
      <c r="BT14" s="162">
        <f t="shared" si="10"/>
        <v>1.0958005892528777</v>
      </c>
      <c r="BU14" s="171">
        <f t="shared" si="59"/>
        <v>1.0958005892528777</v>
      </c>
      <c r="BW14" s="162">
        <f t="shared" si="60"/>
        <v>0.12000000000000001</v>
      </c>
      <c r="BX14" s="170">
        <f t="shared" si="61"/>
        <v>0.12000000000000001</v>
      </c>
      <c r="BY14" s="162">
        <f t="shared" si="11"/>
        <v>1.0958005892528777</v>
      </c>
      <c r="BZ14" s="171">
        <f t="shared" si="62"/>
        <v>1.0958005892528777</v>
      </c>
      <c r="CB14" s="162">
        <f t="shared" si="63"/>
        <v>0.12000000000000001</v>
      </c>
      <c r="CC14" s="170">
        <f t="shared" si="64"/>
        <v>0.12000000000000001</v>
      </c>
      <c r="CD14" s="162">
        <f t="shared" si="12"/>
        <v>1.0958005892528777</v>
      </c>
      <c r="CE14" s="171">
        <f t="shared" si="65"/>
        <v>1.0958005892528777</v>
      </c>
      <c r="CG14" s="172">
        <f t="shared" si="66"/>
        <v>0.12000000000000001</v>
      </c>
      <c r="CH14" s="172">
        <f t="shared" si="67"/>
        <v>0.12000000000000001</v>
      </c>
      <c r="CI14" s="172">
        <f t="shared" si="13"/>
        <v>1.0958005892528777</v>
      </c>
      <c r="CJ14" s="171">
        <f t="shared" si="68"/>
        <v>1.0958005892528777</v>
      </c>
      <c r="CK14" s="172"/>
      <c r="CL14" s="162">
        <f t="shared" si="69"/>
        <v>0.12000000000000001</v>
      </c>
      <c r="CM14" s="170">
        <f t="shared" si="70"/>
        <v>0.12000000000000001</v>
      </c>
      <c r="CN14" s="162">
        <f t="shared" si="14"/>
        <v>1.0958005892528777</v>
      </c>
      <c r="CO14" s="171">
        <f t="shared" si="71"/>
        <v>1.0958005892528777</v>
      </c>
      <c r="CQ14" s="162">
        <f t="shared" si="72"/>
        <v>0.12000000000000001</v>
      </c>
      <c r="CR14" s="170">
        <f t="shared" si="73"/>
        <v>0.12000000000000001</v>
      </c>
      <c r="CS14" s="162">
        <f t="shared" si="15"/>
        <v>1.0958005892528777</v>
      </c>
      <c r="CT14" s="171">
        <f t="shared" si="74"/>
        <v>1.0958005892528777</v>
      </c>
      <c r="CV14" s="162">
        <f t="shared" si="75"/>
        <v>0.12000000000000001</v>
      </c>
      <c r="CW14" s="162">
        <f t="shared" si="76"/>
        <v>0.12000000000000001</v>
      </c>
      <c r="CX14" s="162">
        <f t="shared" si="16"/>
        <v>1.0958005892528777</v>
      </c>
      <c r="CY14" s="171">
        <f t="shared" si="77"/>
        <v>1.0958005892528777</v>
      </c>
      <c r="DA14" s="162">
        <f t="shared" si="78"/>
        <v>0.12000000000000001</v>
      </c>
      <c r="DB14" s="170">
        <f t="shared" si="79"/>
        <v>0.12000000000000001</v>
      </c>
      <c r="DC14" s="162">
        <f t="shared" si="17"/>
        <v>1.0958005892528777</v>
      </c>
      <c r="DD14" s="171">
        <f t="shared" si="80"/>
        <v>1.0958005892528777</v>
      </c>
      <c r="DF14" s="162">
        <f t="shared" si="81"/>
        <v>0.12000000000000001</v>
      </c>
      <c r="DG14" s="170">
        <f t="shared" si="82"/>
        <v>0.12000000000000001</v>
      </c>
      <c r="DH14" s="162">
        <f t="shared" si="18"/>
        <v>1.0958005892528777</v>
      </c>
      <c r="DI14" s="171">
        <f t="shared" si="83"/>
        <v>1.0958005892528777</v>
      </c>
      <c r="DK14" s="162">
        <f t="shared" si="84"/>
        <v>0.12000000000000001</v>
      </c>
      <c r="DL14" s="162">
        <f t="shared" si="85"/>
        <v>0.12000000000000001</v>
      </c>
      <c r="DM14" s="162">
        <f t="shared" si="19"/>
        <v>1.0958005892528777</v>
      </c>
      <c r="DN14" s="171">
        <f t="shared" si="86"/>
        <v>1.0958005892528777</v>
      </c>
      <c r="DP14" s="162">
        <f t="shared" si="87"/>
        <v>0.12000000000000001</v>
      </c>
      <c r="DQ14" s="170">
        <f t="shared" si="88"/>
        <v>0.12000000000000001</v>
      </c>
      <c r="DR14" s="162">
        <f t="shared" si="20"/>
        <v>1.0958005892528777</v>
      </c>
      <c r="DS14" s="171">
        <f t="shared" si="89"/>
        <v>1.0958005892528777</v>
      </c>
      <c r="DU14" s="162">
        <f t="shared" si="90"/>
        <v>0.12000000000000001</v>
      </c>
      <c r="DV14" s="170">
        <f t="shared" si="91"/>
        <v>0.12000000000000001</v>
      </c>
      <c r="DW14" s="162">
        <f t="shared" si="21"/>
        <v>1.0958005892528777</v>
      </c>
      <c r="DX14" s="171">
        <f t="shared" si="92"/>
        <v>1.0958005892528777</v>
      </c>
      <c r="DZ14" s="162">
        <f t="shared" si="93"/>
        <v>0.12000000000000001</v>
      </c>
      <c r="EA14" s="162">
        <f t="shared" si="94"/>
        <v>0.12000000000000001</v>
      </c>
      <c r="EB14" s="162">
        <f t="shared" si="22"/>
        <v>1.0958005892528777</v>
      </c>
      <c r="EC14" s="171">
        <f t="shared" si="95"/>
        <v>1.0958005892528777</v>
      </c>
      <c r="EE14" s="162">
        <f t="shared" si="96"/>
        <v>0.12000000000000001</v>
      </c>
      <c r="EF14" s="170">
        <f t="shared" si="97"/>
        <v>0.12000000000000001</v>
      </c>
      <c r="EG14" s="162">
        <f t="shared" si="23"/>
        <v>1.0958005892528777</v>
      </c>
      <c r="EH14" s="171">
        <f t="shared" si="98"/>
        <v>1.0958005892528777</v>
      </c>
      <c r="EJ14" s="162">
        <f t="shared" si="99"/>
        <v>0.12000000000000001</v>
      </c>
      <c r="EK14" s="170">
        <f t="shared" si="100"/>
        <v>0.12000000000000001</v>
      </c>
      <c r="EL14" s="162">
        <f t="shared" si="24"/>
        <v>1.0958005892528777</v>
      </c>
      <c r="EM14" s="171">
        <f t="shared" si="101"/>
        <v>1.0958005892528777</v>
      </c>
      <c r="EO14" s="162">
        <f t="shared" si="102"/>
        <v>0.12000000000000001</v>
      </c>
      <c r="EP14" s="162">
        <f t="shared" si="103"/>
        <v>0.12000000000000001</v>
      </c>
      <c r="EQ14" s="162">
        <f t="shared" si="25"/>
        <v>1.0958005892528777</v>
      </c>
      <c r="ER14" s="171">
        <f t="shared" si="104"/>
        <v>1.0958005892528777</v>
      </c>
      <c r="ET14" s="162">
        <f t="shared" si="105"/>
        <v>0.12000000000000001</v>
      </c>
      <c r="EU14" s="170">
        <f t="shared" si="106"/>
        <v>0.12000000000000001</v>
      </c>
      <c r="EV14" s="162">
        <f t="shared" si="26"/>
        <v>1.0958005892528777</v>
      </c>
      <c r="EW14" s="171">
        <f t="shared" si="107"/>
        <v>1.0958005892528777</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0.14000000000000001</v>
      </c>
      <c r="U15" s="170">
        <f t="shared" si="28"/>
        <v>0.14000000000000001</v>
      </c>
      <c r="V15" s="162">
        <f t="shared" si="0"/>
        <v>1.2356208929142261</v>
      </c>
      <c r="W15" s="171">
        <f t="shared" si="29"/>
        <v>1.2356208929142261</v>
      </c>
      <c r="Y15" s="162">
        <f t="shared" si="30"/>
        <v>0.14000000000000001</v>
      </c>
      <c r="Z15" s="162">
        <f t="shared" si="31"/>
        <v>0.14000000000000001</v>
      </c>
      <c r="AA15" s="162">
        <f t="shared" si="1"/>
        <v>1.2356208929142261</v>
      </c>
      <c r="AB15" s="171">
        <f t="shared" si="32"/>
        <v>1.2356208929142261</v>
      </c>
      <c r="AD15" s="162">
        <f t="shared" si="33"/>
        <v>0.14000000000000001</v>
      </c>
      <c r="AE15" s="170">
        <f t="shared" si="34"/>
        <v>0.14000000000000001</v>
      </c>
      <c r="AF15" s="162">
        <f t="shared" si="2"/>
        <v>1.2356208929142261</v>
      </c>
      <c r="AG15" s="171">
        <f t="shared" si="35"/>
        <v>1.2356208929142261</v>
      </c>
      <c r="AI15" s="162">
        <f t="shared" si="36"/>
        <v>0.14000000000000001</v>
      </c>
      <c r="AJ15" s="170">
        <f t="shared" si="37"/>
        <v>0.14000000000000001</v>
      </c>
      <c r="AK15" s="162">
        <f t="shared" si="3"/>
        <v>1.2356208929142261</v>
      </c>
      <c r="AL15" s="171">
        <f t="shared" si="38"/>
        <v>1.2356208929142261</v>
      </c>
      <c r="AN15" s="162">
        <f t="shared" si="39"/>
        <v>0.14000000000000001</v>
      </c>
      <c r="AO15" s="162">
        <f t="shared" si="40"/>
        <v>0.14000000000000001</v>
      </c>
      <c r="AP15" s="162">
        <f t="shared" si="4"/>
        <v>1.2356208929142261</v>
      </c>
      <c r="AQ15" s="171">
        <f t="shared" si="41"/>
        <v>1.2356208929142261</v>
      </c>
      <c r="AS15" s="162">
        <f t="shared" si="42"/>
        <v>0.14000000000000001</v>
      </c>
      <c r="AT15" s="170">
        <f t="shared" si="43"/>
        <v>0.14000000000000001</v>
      </c>
      <c r="AU15" s="162">
        <f t="shared" si="5"/>
        <v>1.2356208929142261</v>
      </c>
      <c r="AV15" s="171">
        <f t="shared" si="44"/>
        <v>1.2356208929142261</v>
      </c>
      <c r="AX15" s="162">
        <f t="shared" si="45"/>
        <v>0.14000000000000001</v>
      </c>
      <c r="AY15" s="170">
        <f t="shared" si="46"/>
        <v>0.14000000000000001</v>
      </c>
      <c r="AZ15" s="162">
        <f t="shared" si="6"/>
        <v>1.2356208929142261</v>
      </c>
      <c r="BA15" s="171">
        <f t="shared" si="47"/>
        <v>1.2356208929142261</v>
      </c>
      <c r="BC15" s="162">
        <f t="shared" si="48"/>
        <v>0.14000000000000001</v>
      </c>
      <c r="BD15" s="162">
        <f t="shared" si="49"/>
        <v>0.14000000000000001</v>
      </c>
      <c r="BE15" s="162">
        <f t="shared" si="7"/>
        <v>1.2356208929142261</v>
      </c>
      <c r="BF15" s="171">
        <f t="shared" si="50"/>
        <v>1.2356208929142261</v>
      </c>
      <c r="BH15" s="162">
        <f t="shared" si="51"/>
        <v>0.14000000000000001</v>
      </c>
      <c r="BI15" s="170">
        <f t="shared" si="52"/>
        <v>0.14000000000000001</v>
      </c>
      <c r="BJ15" s="162">
        <f t="shared" si="8"/>
        <v>1.2356208929142261</v>
      </c>
      <c r="BK15" s="171">
        <f t="shared" si="53"/>
        <v>1.2356208929142261</v>
      </c>
      <c r="BM15" s="162">
        <f t="shared" si="54"/>
        <v>0.14000000000000001</v>
      </c>
      <c r="BN15" s="170">
        <f t="shared" si="55"/>
        <v>0.14000000000000001</v>
      </c>
      <c r="BO15" s="162">
        <f t="shared" si="9"/>
        <v>1.2356208929142261</v>
      </c>
      <c r="BP15" s="171">
        <f t="shared" si="56"/>
        <v>1.2356208929142261</v>
      </c>
      <c r="BR15" s="162">
        <f t="shared" si="57"/>
        <v>0.14000000000000001</v>
      </c>
      <c r="BS15" s="162">
        <f t="shared" si="58"/>
        <v>0.14000000000000001</v>
      </c>
      <c r="BT15" s="162">
        <f t="shared" si="10"/>
        <v>1.2356208929142261</v>
      </c>
      <c r="BU15" s="171">
        <f t="shared" si="59"/>
        <v>1.2356208929142261</v>
      </c>
      <c r="BW15" s="162">
        <f t="shared" si="60"/>
        <v>0.14000000000000001</v>
      </c>
      <c r="BX15" s="170">
        <f t="shared" si="61"/>
        <v>0.14000000000000001</v>
      </c>
      <c r="BY15" s="162">
        <f t="shared" si="11"/>
        <v>1.2356208929142261</v>
      </c>
      <c r="BZ15" s="171">
        <f t="shared" si="62"/>
        <v>1.2356208929142261</v>
      </c>
      <c r="CB15" s="162">
        <f t="shared" si="63"/>
        <v>0.14000000000000001</v>
      </c>
      <c r="CC15" s="170">
        <f t="shared" si="64"/>
        <v>0.14000000000000001</v>
      </c>
      <c r="CD15" s="162">
        <f t="shared" si="12"/>
        <v>1.2356208929142261</v>
      </c>
      <c r="CE15" s="171">
        <f t="shared" si="65"/>
        <v>1.2356208929142261</v>
      </c>
      <c r="CG15" s="172">
        <f t="shared" si="66"/>
        <v>0.14000000000000001</v>
      </c>
      <c r="CH15" s="172">
        <f t="shared" si="67"/>
        <v>0.14000000000000001</v>
      </c>
      <c r="CI15" s="172">
        <f t="shared" si="13"/>
        <v>1.2356208929142261</v>
      </c>
      <c r="CJ15" s="171">
        <f t="shared" si="68"/>
        <v>1.2356208929142261</v>
      </c>
      <c r="CK15" s="172"/>
      <c r="CL15" s="162">
        <f t="shared" si="69"/>
        <v>0.14000000000000001</v>
      </c>
      <c r="CM15" s="170">
        <f t="shared" si="70"/>
        <v>0.14000000000000001</v>
      </c>
      <c r="CN15" s="162">
        <f t="shared" si="14"/>
        <v>1.2356208929142261</v>
      </c>
      <c r="CO15" s="171">
        <f t="shared" si="71"/>
        <v>1.2356208929142261</v>
      </c>
      <c r="CQ15" s="162">
        <f t="shared" si="72"/>
        <v>0.14000000000000001</v>
      </c>
      <c r="CR15" s="170">
        <f t="shared" si="73"/>
        <v>0.14000000000000001</v>
      </c>
      <c r="CS15" s="162">
        <f t="shared" si="15"/>
        <v>1.2356208929142261</v>
      </c>
      <c r="CT15" s="171">
        <f t="shared" si="74"/>
        <v>1.2356208929142261</v>
      </c>
      <c r="CV15" s="162">
        <f t="shared" si="75"/>
        <v>0.14000000000000001</v>
      </c>
      <c r="CW15" s="162">
        <f t="shared" si="76"/>
        <v>0.14000000000000001</v>
      </c>
      <c r="CX15" s="162">
        <f t="shared" si="16"/>
        <v>1.2356208929142261</v>
      </c>
      <c r="CY15" s="171">
        <f t="shared" si="77"/>
        <v>1.2356208929142261</v>
      </c>
      <c r="DA15" s="162">
        <f t="shared" si="78"/>
        <v>0.14000000000000001</v>
      </c>
      <c r="DB15" s="170">
        <f t="shared" si="79"/>
        <v>0.14000000000000001</v>
      </c>
      <c r="DC15" s="162">
        <f t="shared" si="17"/>
        <v>1.2356208929142261</v>
      </c>
      <c r="DD15" s="171">
        <f t="shared" si="80"/>
        <v>1.2356208929142261</v>
      </c>
      <c r="DF15" s="162">
        <f t="shared" si="81"/>
        <v>0.14000000000000001</v>
      </c>
      <c r="DG15" s="170">
        <f t="shared" si="82"/>
        <v>0.14000000000000001</v>
      </c>
      <c r="DH15" s="162">
        <f t="shared" si="18"/>
        <v>1.2356208929142261</v>
      </c>
      <c r="DI15" s="171">
        <f t="shared" si="83"/>
        <v>1.2356208929142261</v>
      </c>
      <c r="DK15" s="162">
        <f t="shared" si="84"/>
        <v>0.14000000000000001</v>
      </c>
      <c r="DL15" s="162">
        <f t="shared" si="85"/>
        <v>0.14000000000000001</v>
      </c>
      <c r="DM15" s="162">
        <f t="shared" si="19"/>
        <v>1.2356208929142261</v>
      </c>
      <c r="DN15" s="171">
        <f t="shared" si="86"/>
        <v>1.2356208929142261</v>
      </c>
      <c r="DP15" s="162">
        <f t="shared" si="87"/>
        <v>0.14000000000000001</v>
      </c>
      <c r="DQ15" s="170">
        <f t="shared" si="88"/>
        <v>0.14000000000000001</v>
      </c>
      <c r="DR15" s="162">
        <f t="shared" si="20"/>
        <v>1.2356208929142261</v>
      </c>
      <c r="DS15" s="171">
        <f t="shared" si="89"/>
        <v>1.2356208929142261</v>
      </c>
      <c r="DU15" s="162">
        <f t="shared" si="90"/>
        <v>0.14000000000000001</v>
      </c>
      <c r="DV15" s="170">
        <f t="shared" si="91"/>
        <v>0.14000000000000001</v>
      </c>
      <c r="DW15" s="162">
        <f t="shared" si="21"/>
        <v>1.2356208929142261</v>
      </c>
      <c r="DX15" s="171">
        <f t="shared" si="92"/>
        <v>1.2356208929142261</v>
      </c>
      <c r="DZ15" s="162">
        <f t="shared" si="93"/>
        <v>0.14000000000000001</v>
      </c>
      <c r="EA15" s="162">
        <f t="shared" si="94"/>
        <v>0.14000000000000001</v>
      </c>
      <c r="EB15" s="162">
        <f t="shared" si="22"/>
        <v>1.2356208929142261</v>
      </c>
      <c r="EC15" s="171">
        <f t="shared" si="95"/>
        <v>1.2356208929142261</v>
      </c>
      <c r="EE15" s="162">
        <f t="shared" si="96"/>
        <v>0.14000000000000001</v>
      </c>
      <c r="EF15" s="170">
        <f t="shared" si="97"/>
        <v>0.14000000000000001</v>
      </c>
      <c r="EG15" s="162">
        <f t="shared" si="23"/>
        <v>1.2356208929142261</v>
      </c>
      <c r="EH15" s="171">
        <f t="shared" si="98"/>
        <v>1.2356208929142261</v>
      </c>
      <c r="EJ15" s="162">
        <f t="shared" si="99"/>
        <v>0.14000000000000001</v>
      </c>
      <c r="EK15" s="170">
        <f t="shared" si="100"/>
        <v>0.14000000000000001</v>
      </c>
      <c r="EL15" s="162">
        <f t="shared" si="24"/>
        <v>1.2356208929142261</v>
      </c>
      <c r="EM15" s="171">
        <f t="shared" si="101"/>
        <v>1.2356208929142261</v>
      </c>
      <c r="EO15" s="162">
        <f t="shared" si="102"/>
        <v>0.14000000000000001</v>
      </c>
      <c r="EP15" s="162">
        <f t="shared" si="103"/>
        <v>0.14000000000000001</v>
      </c>
      <c r="EQ15" s="162">
        <f t="shared" si="25"/>
        <v>1.2356208929142261</v>
      </c>
      <c r="ER15" s="171">
        <f t="shared" si="104"/>
        <v>1.2356208929142261</v>
      </c>
      <c r="ET15" s="162">
        <f t="shared" si="105"/>
        <v>0.14000000000000001</v>
      </c>
      <c r="EU15" s="170">
        <f t="shared" si="106"/>
        <v>0.14000000000000001</v>
      </c>
      <c r="EV15" s="162">
        <f t="shared" si="26"/>
        <v>1.2356208929142261</v>
      </c>
      <c r="EW15" s="171">
        <f t="shared" si="107"/>
        <v>1.2356208929142261</v>
      </c>
    </row>
    <row r="16" spans="2:156" x14ac:dyDescent="0.25">
      <c r="C16" s="167" t="str">
        <f>"Obstacle Height (" &amp; IF($B$4, "m", "ft") &amp; ")"</f>
        <v>Obstacle Height (m)</v>
      </c>
      <c r="D16" s="51">
        <v>0</v>
      </c>
      <c r="F16" s="167" t="str">
        <f>"Obstacle Height (" &amp; IF($B$4, "m", "ft") &amp; ")"</f>
        <v>Obstacle Height (m)</v>
      </c>
      <c r="G16" s="51">
        <v>1.9999999999999993</v>
      </c>
      <c r="T16" s="162">
        <f t="shared" si="27"/>
        <v>0.16</v>
      </c>
      <c r="U16" s="170">
        <f t="shared" si="28"/>
        <v>0.16</v>
      </c>
      <c r="V16" s="162">
        <f t="shared" si="0"/>
        <v>1.372732683847727</v>
      </c>
      <c r="W16" s="171">
        <f t="shared" si="29"/>
        <v>1.372732683847727</v>
      </c>
      <c r="Y16" s="162">
        <f t="shared" si="30"/>
        <v>0.16</v>
      </c>
      <c r="Z16" s="162">
        <f t="shared" si="31"/>
        <v>0.16</v>
      </c>
      <c r="AA16" s="162">
        <f t="shared" si="1"/>
        <v>1.372732683847727</v>
      </c>
      <c r="AB16" s="171">
        <f t="shared" si="32"/>
        <v>1.372732683847727</v>
      </c>
      <c r="AD16" s="162">
        <f t="shared" si="33"/>
        <v>0.16</v>
      </c>
      <c r="AE16" s="170">
        <f t="shared" si="34"/>
        <v>0.16</v>
      </c>
      <c r="AF16" s="162">
        <f t="shared" si="2"/>
        <v>1.372732683847727</v>
      </c>
      <c r="AG16" s="171">
        <f t="shared" si="35"/>
        <v>1.372732683847727</v>
      </c>
      <c r="AI16" s="162">
        <f t="shared" si="36"/>
        <v>0.16</v>
      </c>
      <c r="AJ16" s="170">
        <f t="shared" si="37"/>
        <v>0.16</v>
      </c>
      <c r="AK16" s="162">
        <f t="shared" si="3"/>
        <v>1.372732683847727</v>
      </c>
      <c r="AL16" s="171">
        <f t="shared" si="38"/>
        <v>1.372732683847727</v>
      </c>
      <c r="AN16" s="162">
        <f t="shared" si="39"/>
        <v>0.16</v>
      </c>
      <c r="AO16" s="162">
        <f t="shared" si="40"/>
        <v>0.16</v>
      </c>
      <c r="AP16" s="162">
        <f t="shared" si="4"/>
        <v>1.372732683847727</v>
      </c>
      <c r="AQ16" s="171">
        <f t="shared" si="41"/>
        <v>1.372732683847727</v>
      </c>
      <c r="AS16" s="162">
        <f t="shared" si="42"/>
        <v>0.16</v>
      </c>
      <c r="AT16" s="170">
        <f t="shared" si="43"/>
        <v>0.16</v>
      </c>
      <c r="AU16" s="162">
        <f t="shared" si="5"/>
        <v>1.372732683847727</v>
      </c>
      <c r="AV16" s="171">
        <f t="shared" si="44"/>
        <v>1.372732683847727</v>
      </c>
      <c r="AX16" s="162">
        <f t="shared" si="45"/>
        <v>0.16</v>
      </c>
      <c r="AY16" s="170">
        <f t="shared" si="46"/>
        <v>0.16</v>
      </c>
      <c r="AZ16" s="162">
        <f t="shared" si="6"/>
        <v>1.372732683847727</v>
      </c>
      <c r="BA16" s="171">
        <f t="shared" si="47"/>
        <v>1.372732683847727</v>
      </c>
      <c r="BC16" s="162">
        <f t="shared" si="48"/>
        <v>0.16</v>
      </c>
      <c r="BD16" s="162">
        <f t="shared" si="49"/>
        <v>0.16</v>
      </c>
      <c r="BE16" s="162">
        <f t="shared" si="7"/>
        <v>1.372732683847727</v>
      </c>
      <c r="BF16" s="171">
        <f t="shared" si="50"/>
        <v>1.372732683847727</v>
      </c>
      <c r="BH16" s="162">
        <f t="shared" si="51"/>
        <v>0.16</v>
      </c>
      <c r="BI16" s="170">
        <f t="shared" si="52"/>
        <v>0.16</v>
      </c>
      <c r="BJ16" s="162">
        <f t="shared" si="8"/>
        <v>1.372732683847727</v>
      </c>
      <c r="BK16" s="171">
        <f t="shared" si="53"/>
        <v>1.372732683847727</v>
      </c>
      <c r="BM16" s="162">
        <f t="shared" si="54"/>
        <v>0.16</v>
      </c>
      <c r="BN16" s="170">
        <f t="shared" si="55"/>
        <v>0.16</v>
      </c>
      <c r="BO16" s="162">
        <f t="shared" si="9"/>
        <v>1.372732683847727</v>
      </c>
      <c r="BP16" s="171">
        <f t="shared" si="56"/>
        <v>1.372732683847727</v>
      </c>
      <c r="BR16" s="162">
        <f t="shared" si="57"/>
        <v>0.16</v>
      </c>
      <c r="BS16" s="162">
        <f t="shared" si="58"/>
        <v>0.16</v>
      </c>
      <c r="BT16" s="162">
        <f t="shared" si="10"/>
        <v>1.372732683847727</v>
      </c>
      <c r="BU16" s="171">
        <f t="shared" si="59"/>
        <v>1.372732683847727</v>
      </c>
      <c r="BW16" s="162">
        <f t="shared" si="60"/>
        <v>0.16</v>
      </c>
      <c r="BX16" s="170">
        <f t="shared" si="61"/>
        <v>0.16</v>
      </c>
      <c r="BY16" s="162">
        <f t="shared" si="11"/>
        <v>1.372732683847727</v>
      </c>
      <c r="BZ16" s="171">
        <f t="shared" si="62"/>
        <v>1.372732683847727</v>
      </c>
      <c r="CB16" s="162">
        <f t="shared" si="63"/>
        <v>0.16</v>
      </c>
      <c r="CC16" s="170">
        <f t="shared" si="64"/>
        <v>0.16</v>
      </c>
      <c r="CD16" s="162">
        <f t="shared" si="12"/>
        <v>1.372732683847727</v>
      </c>
      <c r="CE16" s="171">
        <f t="shared" si="65"/>
        <v>1.372732683847727</v>
      </c>
      <c r="CG16" s="172">
        <f t="shared" si="66"/>
        <v>0.16</v>
      </c>
      <c r="CH16" s="172">
        <f t="shared" si="67"/>
        <v>0.16</v>
      </c>
      <c r="CI16" s="172">
        <f t="shared" si="13"/>
        <v>1.372732683847727</v>
      </c>
      <c r="CJ16" s="171">
        <f t="shared" si="68"/>
        <v>1.372732683847727</v>
      </c>
      <c r="CK16" s="172"/>
      <c r="CL16" s="162">
        <f t="shared" si="69"/>
        <v>0.16</v>
      </c>
      <c r="CM16" s="170">
        <f t="shared" si="70"/>
        <v>0.16</v>
      </c>
      <c r="CN16" s="162">
        <f t="shared" si="14"/>
        <v>1.372732683847727</v>
      </c>
      <c r="CO16" s="171">
        <f t="shared" si="71"/>
        <v>1.372732683847727</v>
      </c>
      <c r="CQ16" s="162">
        <f t="shared" si="72"/>
        <v>0.16</v>
      </c>
      <c r="CR16" s="170">
        <f t="shared" si="73"/>
        <v>0.16</v>
      </c>
      <c r="CS16" s="162">
        <f t="shared" si="15"/>
        <v>1.372732683847727</v>
      </c>
      <c r="CT16" s="171">
        <f t="shared" si="74"/>
        <v>1.372732683847727</v>
      </c>
      <c r="CV16" s="162">
        <f t="shared" si="75"/>
        <v>0.16</v>
      </c>
      <c r="CW16" s="162">
        <f t="shared" si="76"/>
        <v>0.16</v>
      </c>
      <c r="CX16" s="162">
        <f t="shared" si="16"/>
        <v>1.372732683847727</v>
      </c>
      <c r="CY16" s="171">
        <f t="shared" si="77"/>
        <v>1.372732683847727</v>
      </c>
      <c r="DA16" s="162">
        <f t="shared" si="78"/>
        <v>0.16</v>
      </c>
      <c r="DB16" s="170">
        <f t="shared" si="79"/>
        <v>0.16</v>
      </c>
      <c r="DC16" s="162">
        <f t="shared" si="17"/>
        <v>1.372732683847727</v>
      </c>
      <c r="DD16" s="171">
        <f t="shared" si="80"/>
        <v>1.372732683847727</v>
      </c>
      <c r="DF16" s="162">
        <f t="shared" si="81"/>
        <v>0.16</v>
      </c>
      <c r="DG16" s="170">
        <f t="shared" si="82"/>
        <v>0.16</v>
      </c>
      <c r="DH16" s="162">
        <f t="shared" si="18"/>
        <v>1.372732683847727</v>
      </c>
      <c r="DI16" s="171">
        <f t="shared" si="83"/>
        <v>1.372732683847727</v>
      </c>
      <c r="DK16" s="162">
        <f t="shared" si="84"/>
        <v>0.16</v>
      </c>
      <c r="DL16" s="162">
        <f t="shared" si="85"/>
        <v>0.16</v>
      </c>
      <c r="DM16" s="162">
        <f t="shared" si="19"/>
        <v>1.372732683847727</v>
      </c>
      <c r="DN16" s="171">
        <f t="shared" si="86"/>
        <v>1.372732683847727</v>
      </c>
      <c r="DP16" s="162">
        <f t="shared" si="87"/>
        <v>0.16</v>
      </c>
      <c r="DQ16" s="170">
        <f t="shared" si="88"/>
        <v>0.16</v>
      </c>
      <c r="DR16" s="162">
        <f t="shared" si="20"/>
        <v>1.372732683847727</v>
      </c>
      <c r="DS16" s="171">
        <f t="shared" si="89"/>
        <v>1.372732683847727</v>
      </c>
      <c r="DU16" s="162">
        <f t="shared" si="90"/>
        <v>0.16</v>
      </c>
      <c r="DV16" s="170">
        <f t="shared" si="91"/>
        <v>0.16</v>
      </c>
      <c r="DW16" s="162">
        <f t="shared" si="21"/>
        <v>1.372732683847727</v>
      </c>
      <c r="DX16" s="171">
        <f t="shared" si="92"/>
        <v>1.372732683847727</v>
      </c>
      <c r="DZ16" s="162">
        <f t="shared" si="93"/>
        <v>0.16</v>
      </c>
      <c r="EA16" s="162">
        <f t="shared" si="94"/>
        <v>0.16</v>
      </c>
      <c r="EB16" s="162">
        <f t="shared" si="22"/>
        <v>1.372732683847727</v>
      </c>
      <c r="EC16" s="171">
        <f t="shared" si="95"/>
        <v>1.372732683847727</v>
      </c>
      <c r="EE16" s="162">
        <f t="shared" si="96"/>
        <v>0.16</v>
      </c>
      <c r="EF16" s="170">
        <f t="shared" si="97"/>
        <v>0.16</v>
      </c>
      <c r="EG16" s="162">
        <f t="shared" si="23"/>
        <v>1.372732683847727</v>
      </c>
      <c r="EH16" s="171">
        <f t="shared" si="98"/>
        <v>1.372732683847727</v>
      </c>
      <c r="EJ16" s="162">
        <f t="shared" si="99"/>
        <v>0.16</v>
      </c>
      <c r="EK16" s="170">
        <f t="shared" si="100"/>
        <v>0.16</v>
      </c>
      <c r="EL16" s="162">
        <f t="shared" si="24"/>
        <v>1.372732683847727</v>
      </c>
      <c r="EM16" s="171">
        <f t="shared" si="101"/>
        <v>1.372732683847727</v>
      </c>
      <c r="EO16" s="162">
        <f t="shared" si="102"/>
        <v>0.16</v>
      </c>
      <c r="EP16" s="162">
        <f t="shared" si="103"/>
        <v>0.16</v>
      </c>
      <c r="EQ16" s="162">
        <f t="shared" si="25"/>
        <v>1.372732683847727</v>
      </c>
      <c r="ER16" s="171">
        <f t="shared" si="104"/>
        <v>1.372732683847727</v>
      </c>
      <c r="ET16" s="162">
        <f t="shared" si="105"/>
        <v>0.16</v>
      </c>
      <c r="EU16" s="170">
        <f t="shared" si="106"/>
        <v>0.16</v>
      </c>
      <c r="EV16" s="162">
        <f t="shared" si="26"/>
        <v>1.372732683847727</v>
      </c>
      <c r="EW16" s="171">
        <f t="shared" si="107"/>
        <v>1.372732683847727</v>
      </c>
    </row>
    <row r="17" spans="3:154" s="181" customFormat="1" x14ac:dyDescent="0.25">
      <c r="H17" s="160"/>
      <c r="I17" s="160"/>
      <c r="J17" s="160"/>
      <c r="K17" s="160"/>
      <c r="L17" s="160"/>
      <c r="M17" s="160"/>
      <c r="N17" s="160"/>
      <c r="O17" s="160"/>
      <c r="P17" s="160"/>
      <c r="Q17" s="160"/>
      <c r="R17" s="160"/>
      <c r="S17" s="160"/>
      <c r="T17" s="162">
        <f t="shared" si="27"/>
        <v>0.18</v>
      </c>
      <c r="U17" s="170">
        <f t="shared" si="28"/>
        <v>0.18</v>
      </c>
      <c r="V17" s="162">
        <f t="shared" si="0"/>
        <v>1.5071359620533809</v>
      </c>
      <c r="W17" s="171">
        <f t="shared" si="29"/>
        <v>1.5071359620533809</v>
      </c>
      <c r="X17" s="162"/>
      <c r="Y17" s="162">
        <f t="shared" si="30"/>
        <v>0.18</v>
      </c>
      <c r="Z17" s="162">
        <f t="shared" si="31"/>
        <v>0.18</v>
      </c>
      <c r="AA17" s="162">
        <f t="shared" si="1"/>
        <v>1.5071359620533809</v>
      </c>
      <c r="AB17" s="171">
        <f t="shared" si="32"/>
        <v>1.5071359620533809</v>
      </c>
      <c r="AC17" s="162"/>
      <c r="AD17" s="162">
        <f t="shared" si="33"/>
        <v>0.18</v>
      </c>
      <c r="AE17" s="170">
        <f t="shared" si="34"/>
        <v>0.18</v>
      </c>
      <c r="AF17" s="162">
        <f t="shared" si="2"/>
        <v>1.5071359620533809</v>
      </c>
      <c r="AG17" s="171">
        <f t="shared" si="35"/>
        <v>1.5071359620533809</v>
      </c>
      <c r="AH17" s="162"/>
      <c r="AI17" s="162">
        <f t="shared" si="36"/>
        <v>0.18</v>
      </c>
      <c r="AJ17" s="170">
        <f t="shared" si="37"/>
        <v>0.18</v>
      </c>
      <c r="AK17" s="162">
        <f t="shared" si="3"/>
        <v>1.5071359620533809</v>
      </c>
      <c r="AL17" s="171">
        <f t="shared" si="38"/>
        <v>1.5071359620533809</v>
      </c>
      <c r="AM17" s="162"/>
      <c r="AN17" s="162">
        <f t="shared" si="39"/>
        <v>0.18</v>
      </c>
      <c r="AO17" s="162">
        <f t="shared" si="40"/>
        <v>0.18</v>
      </c>
      <c r="AP17" s="162">
        <f t="shared" si="4"/>
        <v>1.5071359620533809</v>
      </c>
      <c r="AQ17" s="171">
        <f t="shared" si="41"/>
        <v>1.5071359620533809</v>
      </c>
      <c r="AR17" s="162"/>
      <c r="AS17" s="162">
        <f t="shared" si="42"/>
        <v>0.18</v>
      </c>
      <c r="AT17" s="170">
        <f t="shared" si="43"/>
        <v>0.18</v>
      </c>
      <c r="AU17" s="162">
        <f t="shared" si="5"/>
        <v>1.5071359620533809</v>
      </c>
      <c r="AV17" s="171">
        <f t="shared" si="44"/>
        <v>1.5071359620533809</v>
      </c>
      <c r="AW17" s="162"/>
      <c r="AX17" s="162">
        <f t="shared" si="45"/>
        <v>0.18</v>
      </c>
      <c r="AY17" s="170">
        <f t="shared" si="46"/>
        <v>0.18</v>
      </c>
      <c r="AZ17" s="162">
        <f t="shared" si="6"/>
        <v>1.5071359620533809</v>
      </c>
      <c r="BA17" s="171">
        <f t="shared" si="47"/>
        <v>1.5071359620533809</v>
      </c>
      <c r="BB17" s="162"/>
      <c r="BC17" s="162">
        <f t="shared" si="48"/>
        <v>0.18</v>
      </c>
      <c r="BD17" s="162">
        <f t="shared" si="49"/>
        <v>0.18</v>
      </c>
      <c r="BE17" s="162">
        <f t="shared" si="7"/>
        <v>1.5071359620533809</v>
      </c>
      <c r="BF17" s="171">
        <f t="shared" si="50"/>
        <v>1.5071359620533809</v>
      </c>
      <c r="BG17" s="162"/>
      <c r="BH17" s="162">
        <f t="shared" si="51"/>
        <v>0.18</v>
      </c>
      <c r="BI17" s="170">
        <f t="shared" si="52"/>
        <v>0.18</v>
      </c>
      <c r="BJ17" s="162">
        <f t="shared" si="8"/>
        <v>1.5071359620533809</v>
      </c>
      <c r="BK17" s="171">
        <f t="shared" si="53"/>
        <v>1.5071359620533809</v>
      </c>
      <c r="BL17" s="162"/>
      <c r="BM17" s="162">
        <f t="shared" si="54"/>
        <v>0.18</v>
      </c>
      <c r="BN17" s="170">
        <f t="shared" si="55"/>
        <v>0.18</v>
      </c>
      <c r="BO17" s="162">
        <f t="shared" si="9"/>
        <v>1.5071359620533809</v>
      </c>
      <c r="BP17" s="171">
        <f t="shared" si="56"/>
        <v>1.5071359620533809</v>
      </c>
      <c r="BQ17" s="162"/>
      <c r="BR17" s="162">
        <f t="shared" si="57"/>
        <v>0.18</v>
      </c>
      <c r="BS17" s="162">
        <f t="shared" si="58"/>
        <v>0.18</v>
      </c>
      <c r="BT17" s="162">
        <f t="shared" si="10"/>
        <v>1.5071359620533809</v>
      </c>
      <c r="BU17" s="171">
        <f t="shared" si="59"/>
        <v>1.5071359620533809</v>
      </c>
      <c r="BV17" s="162"/>
      <c r="BW17" s="162">
        <f t="shared" si="60"/>
        <v>0.18</v>
      </c>
      <c r="BX17" s="170">
        <f t="shared" si="61"/>
        <v>0.18</v>
      </c>
      <c r="BY17" s="162">
        <f t="shared" si="11"/>
        <v>1.5071359620533809</v>
      </c>
      <c r="BZ17" s="171">
        <f t="shared" si="62"/>
        <v>1.5071359620533809</v>
      </c>
      <c r="CA17" s="162"/>
      <c r="CB17" s="162">
        <f t="shared" si="63"/>
        <v>0.18</v>
      </c>
      <c r="CC17" s="170">
        <f t="shared" si="64"/>
        <v>0.18</v>
      </c>
      <c r="CD17" s="162">
        <f t="shared" si="12"/>
        <v>1.5071359620533809</v>
      </c>
      <c r="CE17" s="171">
        <f t="shared" si="65"/>
        <v>1.5071359620533809</v>
      </c>
      <c r="CF17" s="162"/>
      <c r="CG17" s="172">
        <f t="shared" si="66"/>
        <v>0.18</v>
      </c>
      <c r="CH17" s="172">
        <f t="shared" si="67"/>
        <v>0.18</v>
      </c>
      <c r="CI17" s="172">
        <f t="shared" si="13"/>
        <v>1.5071359620533809</v>
      </c>
      <c r="CJ17" s="171">
        <f t="shared" si="68"/>
        <v>1.5071359620533809</v>
      </c>
      <c r="CK17" s="172"/>
      <c r="CL17" s="162">
        <f t="shared" si="69"/>
        <v>0.18</v>
      </c>
      <c r="CM17" s="170">
        <f t="shared" si="70"/>
        <v>0.18</v>
      </c>
      <c r="CN17" s="162">
        <f t="shared" si="14"/>
        <v>1.5071359620533809</v>
      </c>
      <c r="CO17" s="171">
        <f t="shared" si="71"/>
        <v>1.5071359620533809</v>
      </c>
      <c r="CP17" s="162"/>
      <c r="CQ17" s="162">
        <f t="shared" si="72"/>
        <v>0.18</v>
      </c>
      <c r="CR17" s="170">
        <f t="shared" si="73"/>
        <v>0.18</v>
      </c>
      <c r="CS17" s="162">
        <f t="shared" si="15"/>
        <v>1.5071359620533809</v>
      </c>
      <c r="CT17" s="171">
        <f t="shared" si="74"/>
        <v>1.5071359620533809</v>
      </c>
      <c r="CU17" s="162"/>
      <c r="CV17" s="162">
        <f t="shared" si="75"/>
        <v>0.18</v>
      </c>
      <c r="CW17" s="162">
        <f t="shared" si="76"/>
        <v>0.18</v>
      </c>
      <c r="CX17" s="162">
        <f t="shared" si="16"/>
        <v>1.5071359620533809</v>
      </c>
      <c r="CY17" s="171">
        <f t="shared" si="77"/>
        <v>1.5071359620533809</v>
      </c>
      <c r="CZ17" s="162"/>
      <c r="DA17" s="162">
        <f t="shared" si="78"/>
        <v>0.18</v>
      </c>
      <c r="DB17" s="170">
        <f t="shared" si="79"/>
        <v>0.18</v>
      </c>
      <c r="DC17" s="162">
        <f t="shared" si="17"/>
        <v>1.5071359620533809</v>
      </c>
      <c r="DD17" s="171">
        <f t="shared" si="80"/>
        <v>1.5071359620533809</v>
      </c>
      <c r="DE17" s="162"/>
      <c r="DF17" s="162">
        <f t="shared" si="81"/>
        <v>0.18</v>
      </c>
      <c r="DG17" s="170">
        <f t="shared" si="82"/>
        <v>0.18</v>
      </c>
      <c r="DH17" s="162">
        <f t="shared" si="18"/>
        <v>1.5071359620533809</v>
      </c>
      <c r="DI17" s="171">
        <f t="shared" si="83"/>
        <v>1.5071359620533809</v>
      </c>
      <c r="DJ17" s="162"/>
      <c r="DK17" s="162">
        <f t="shared" si="84"/>
        <v>0.18</v>
      </c>
      <c r="DL17" s="162">
        <f t="shared" si="85"/>
        <v>0.18</v>
      </c>
      <c r="DM17" s="162">
        <f t="shared" si="19"/>
        <v>1.5071359620533809</v>
      </c>
      <c r="DN17" s="171">
        <f t="shared" si="86"/>
        <v>1.5071359620533809</v>
      </c>
      <c r="DO17" s="162"/>
      <c r="DP17" s="162">
        <f t="shared" si="87"/>
        <v>0.18</v>
      </c>
      <c r="DQ17" s="170">
        <f t="shared" si="88"/>
        <v>0.18</v>
      </c>
      <c r="DR17" s="162">
        <f t="shared" si="20"/>
        <v>1.5071359620533809</v>
      </c>
      <c r="DS17" s="171">
        <f t="shared" si="89"/>
        <v>1.5071359620533809</v>
      </c>
      <c r="DT17" s="162"/>
      <c r="DU17" s="162">
        <f t="shared" si="90"/>
        <v>0.18</v>
      </c>
      <c r="DV17" s="170">
        <f t="shared" si="91"/>
        <v>0.18</v>
      </c>
      <c r="DW17" s="162">
        <f t="shared" si="21"/>
        <v>1.5071359620533809</v>
      </c>
      <c r="DX17" s="171">
        <f t="shared" si="92"/>
        <v>1.5071359620533809</v>
      </c>
      <c r="DY17" s="162"/>
      <c r="DZ17" s="162">
        <f t="shared" si="93"/>
        <v>0.18</v>
      </c>
      <c r="EA17" s="162">
        <f t="shared" si="94"/>
        <v>0.18</v>
      </c>
      <c r="EB17" s="162">
        <f t="shared" si="22"/>
        <v>1.5071359620533809</v>
      </c>
      <c r="EC17" s="171">
        <f t="shared" si="95"/>
        <v>1.5071359620533809</v>
      </c>
      <c r="ED17" s="162"/>
      <c r="EE17" s="162">
        <f t="shared" si="96"/>
        <v>0.18</v>
      </c>
      <c r="EF17" s="170">
        <f t="shared" si="97"/>
        <v>0.18</v>
      </c>
      <c r="EG17" s="162">
        <f t="shared" si="23"/>
        <v>1.5071359620533809</v>
      </c>
      <c r="EH17" s="171">
        <f t="shared" si="98"/>
        <v>1.5071359620533809</v>
      </c>
      <c r="EI17" s="162"/>
      <c r="EJ17" s="162">
        <f t="shared" si="99"/>
        <v>0.18</v>
      </c>
      <c r="EK17" s="170">
        <f t="shared" si="100"/>
        <v>0.18</v>
      </c>
      <c r="EL17" s="162">
        <f t="shared" si="24"/>
        <v>1.5071359620533809</v>
      </c>
      <c r="EM17" s="171">
        <f t="shared" si="101"/>
        <v>1.5071359620533809</v>
      </c>
      <c r="EN17" s="162"/>
      <c r="EO17" s="162">
        <f t="shared" si="102"/>
        <v>0.18</v>
      </c>
      <c r="EP17" s="162">
        <f t="shared" si="103"/>
        <v>0.18</v>
      </c>
      <c r="EQ17" s="162">
        <f t="shared" si="25"/>
        <v>1.5071359620533809</v>
      </c>
      <c r="ER17" s="171">
        <f t="shared" si="104"/>
        <v>1.5071359620533809</v>
      </c>
      <c r="ES17" s="162"/>
      <c r="ET17" s="162">
        <f t="shared" si="105"/>
        <v>0.18</v>
      </c>
      <c r="EU17" s="170">
        <f t="shared" si="106"/>
        <v>0.18</v>
      </c>
      <c r="EV17" s="162">
        <f t="shared" si="26"/>
        <v>1.5071359620533809</v>
      </c>
      <c r="EW17" s="171">
        <f t="shared" si="107"/>
        <v>1.5071359620533809</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9.5489346835634272</v>
      </c>
      <c r="H18" s="160"/>
      <c r="I18" s="160"/>
      <c r="J18" s="160"/>
      <c r="K18" s="160"/>
      <c r="L18" s="160"/>
      <c r="M18" s="160"/>
      <c r="N18" s="160"/>
      <c r="O18" s="160"/>
      <c r="P18" s="160"/>
      <c r="Q18" s="160"/>
      <c r="R18" s="160"/>
      <c r="S18" s="160"/>
      <c r="T18" s="162">
        <f t="shared" si="27"/>
        <v>0.19999999999999998</v>
      </c>
      <c r="U18" s="170">
        <f t="shared" si="28"/>
        <v>0.19999999999999998</v>
      </c>
      <c r="V18" s="162">
        <f t="shared" si="0"/>
        <v>1.6388307275311875</v>
      </c>
      <c r="W18" s="171">
        <f t="shared" si="29"/>
        <v>1.6388307275311875</v>
      </c>
      <c r="X18" s="162"/>
      <c r="Y18" s="162">
        <f t="shared" si="30"/>
        <v>0.19999999999999998</v>
      </c>
      <c r="Z18" s="162">
        <f t="shared" si="31"/>
        <v>0.19999999999999998</v>
      </c>
      <c r="AA18" s="162">
        <f t="shared" si="1"/>
        <v>1.6388307275311875</v>
      </c>
      <c r="AB18" s="171">
        <f t="shared" si="32"/>
        <v>1.6388307275311875</v>
      </c>
      <c r="AC18" s="162"/>
      <c r="AD18" s="162">
        <f t="shared" si="33"/>
        <v>0.19999999999999998</v>
      </c>
      <c r="AE18" s="170">
        <f t="shared" si="34"/>
        <v>0.19999999999999998</v>
      </c>
      <c r="AF18" s="162">
        <f t="shared" si="2"/>
        <v>1.6388307275311875</v>
      </c>
      <c r="AG18" s="171">
        <f t="shared" si="35"/>
        <v>1.6388307275311875</v>
      </c>
      <c r="AH18" s="162"/>
      <c r="AI18" s="162">
        <f t="shared" si="36"/>
        <v>0.19999999999999998</v>
      </c>
      <c r="AJ18" s="170">
        <f t="shared" si="37"/>
        <v>0.19999999999999998</v>
      </c>
      <c r="AK18" s="162">
        <f t="shared" si="3"/>
        <v>1.6388307275311875</v>
      </c>
      <c r="AL18" s="171">
        <f t="shared" si="38"/>
        <v>1.6388307275311875</v>
      </c>
      <c r="AM18" s="162"/>
      <c r="AN18" s="162">
        <f t="shared" si="39"/>
        <v>0.19999999999999998</v>
      </c>
      <c r="AO18" s="162">
        <f t="shared" si="40"/>
        <v>0.19999999999999998</v>
      </c>
      <c r="AP18" s="162">
        <f t="shared" si="4"/>
        <v>1.6388307275311875</v>
      </c>
      <c r="AQ18" s="171">
        <f t="shared" si="41"/>
        <v>1.6388307275311875</v>
      </c>
      <c r="AR18" s="162"/>
      <c r="AS18" s="162">
        <f t="shared" si="42"/>
        <v>0.19999999999999998</v>
      </c>
      <c r="AT18" s="170">
        <f t="shared" si="43"/>
        <v>0.19999999999999998</v>
      </c>
      <c r="AU18" s="162">
        <f t="shared" si="5"/>
        <v>1.6388307275311875</v>
      </c>
      <c r="AV18" s="171">
        <f t="shared" si="44"/>
        <v>1.6388307275311875</v>
      </c>
      <c r="AW18" s="162"/>
      <c r="AX18" s="162">
        <f t="shared" si="45"/>
        <v>0.19999999999999998</v>
      </c>
      <c r="AY18" s="170">
        <f t="shared" si="46"/>
        <v>0.19999999999999998</v>
      </c>
      <c r="AZ18" s="162">
        <f t="shared" si="6"/>
        <v>1.6388307275311875</v>
      </c>
      <c r="BA18" s="171">
        <f t="shared" si="47"/>
        <v>1.6388307275311875</v>
      </c>
      <c r="BB18" s="162"/>
      <c r="BC18" s="162">
        <f t="shared" si="48"/>
        <v>0.19999999999999998</v>
      </c>
      <c r="BD18" s="162">
        <f t="shared" si="49"/>
        <v>0.19999999999999998</v>
      </c>
      <c r="BE18" s="162">
        <f t="shared" si="7"/>
        <v>1.6388307275311875</v>
      </c>
      <c r="BF18" s="171">
        <f t="shared" si="50"/>
        <v>1.6388307275311875</v>
      </c>
      <c r="BG18" s="162"/>
      <c r="BH18" s="162">
        <f t="shared" si="51"/>
        <v>0.19999999999999998</v>
      </c>
      <c r="BI18" s="170">
        <f t="shared" si="52"/>
        <v>0.19999999999999998</v>
      </c>
      <c r="BJ18" s="162">
        <f t="shared" si="8"/>
        <v>1.6388307275311875</v>
      </c>
      <c r="BK18" s="171">
        <f t="shared" si="53"/>
        <v>1.6388307275311875</v>
      </c>
      <c r="BL18" s="162"/>
      <c r="BM18" s="162">
        <f t="shared" si="54"/>
        <v>0.19999999999999998</v>
      </c>
      <c r="BN18" s="170">
        <f t="shared" si="55"/>
        <v>0.19999999999999998</v>
      </c>
      <c r="BO18" s="162">
        <f t="shared" si="9"/>
        <v>1.6388307275311875</v>
      </c>
      <c r="BP18" s="171">
        <f t="shared" si="56"/>
        <v>1.6388307275311875</v>
      </c>
      <c r="BQ18" s="162"/>
      <c r="BR18" s="162">
        <f t="shared" si="57"/>
        <v>0.19999999999999998</v>
      </c>
      <c r="BS18" s="162">
        <f t="shared" si="58"/>
        <v>0.19999999999999998</v>
      </c>
      <c r="BT18" s="162">
        <f t="shared" si="10"/>
        <v>1.6388307275311875</v>
      </c>
      <c r="BU18" s="171">
        <f t="shared" si="59"/>
        <v>1.6388307275311875</v>
      </c>
      <c r="BV18" s="162"/>
      <c r="BW18" s="162">
        <f t="shared" si="60"/>
        <v>0.19999999999999998</v>
      </c>
      <c r="BX18" s="170">
        <f t="shared" si="61"/>
        <v>0.19999999999999998</v>
      </c>
      <c r="BY18" s="162">
        <f t="shared" si="11"/>
        <v>1.6388307275311875</v>
      </c>
      <c r="BZ18" s="171">
        <f t="shared" si="62"/>
        <v>1.6388307275311875</v>
      </c>
      <c r="CA18" s="162"/>
      <c r="CB18" s="162">
        <f t="shared" si="63"/>
        <v>0.19999999999999998</v>
      </c>
      <c r="CC18" s="170">
        <f t="shared" si="64"/>
        <v>0.19999999999999998</v>
      </c>
      <c r="CD18" s="162">
        <f t="shared" si="12"/>
        <v>1.6388307275311875</v>
      </c>
      <c r="CE18" s="171">
        <f t="shared" si="65"/>
        <v>1.6388307275311875</v>
      </c>
      <c r="CF18" s="162"/>
      <c r="CG18" s="172">
        <f t="shared" si="66"/>
        <v>0.19999999999999998</v>
      </c>
      <c r="CH18" s="172">
        <f t="shared" si="67"/>
        <v>0.19999999999999998</v>
      </c>
      <c r="CI18" s="172">
        <f t="shared" si="13"/>
        <v>1.6388307275311875</v>
      </c>
      <c r="CJ18" s="171">
        <f t="shared" si="68"/>
        <v>1.6388307275311875</v>
      </c>
      <c r="CK18" s="172"/>
      <c r="CL18" s="162">
        <f t="shared" si="69"/>
        <v>0.19999999999999998</v>
      </c>
      <c r="CM18" s="170">
        <f t="shared" si="70"/>
        <v>0.19999999999999998</v>
      </c>
      <c r="CN18" s="162">
        <f t="shared" si="14"/>
        <v>1.6388307275311875</v>
      </c>
      <c r="CO18" s="171">
        <f t="shared" si="71"/>
        <v>1.6388307275311875</v>
      </c>
      <c r="CP18" s="162"/>
      <c r="CQ18" s="162">
        <f t="shared" si="72"/>
        <v>0.19999999999999998</v>
      </c>
      <c r="CR18" s="170">
        <f t="shared" si="73"/>
        <v>0.19999999999999998</v>
      </c>
      <c r="CS18" s="162">
        <f t="shared" si="15"/>
        <v>1.6388307275311875</v>
      </c>
      <c r="CT18" s="171">
        <f t="shared" si="74"/>
        <v>1.6388307275311875</v>
      </c>
      <c r="CU18" s="162"/>
      <c r="CV18" s="162">
        <f t="shared" si="75"/>
        <v>0.19999999999999998</v>
      </c>
      <c r="CW18" s="162">
        <f t="shared" si="76"/>
        <v>0.19999999999999998</v>
      </c>
      <c r="CX18" s="162">
        <f t="shared" si="16"/>
        <v>1.6388307275311875</v>
      </c>
      <c r="CY18" s="171">
        <f t="shared" si="77"/>
        <v>1.6388307275311875</v>
      </c>
      <c r="CZ18" s="162"/>
      <c r="DA18" s="162">
        <f t="shared" si="78"/>
        <v>0.19999999999999998</v>
      </c>
      <c r="DB18" s="170">
        <f t="shared" si="79"/>
        <v>0.19999999999999998</v>
      </c>
      <c r="DC18" s="162">
        <f t="shared" si="17"/>
        <v>1.6388307275311875</v>
      </c>
      <c r="DD18" s="171">
        <f t="shared" si="80"/>
        <v>1.6388307275311875</v>
      </c>
      <c r="DE18" s="162"/>
      <c r="DF18" s="162">
        <f t="shared" si="81"/>
        <v>0.19999999999999998</v>
      </c>
      <c r="DG18" s="170">
        <f t="shared" si="82"/>
        <v>0.19999999999999998</v>
      </c>
      <c r="DH18" s="162">
        <f t="shared" si="18"/>
        <v>1.6388307275311875</v>
      </c>
      <c r="DI18" s="171">
        <f t="shared" si="83"/>
        <v>1.6388307275311875</v>
      </c>
      <c r="DJ18" s="162"/>
      <c r="DK18" s="162">
        <f t="shared" si="84"/>
        <v>0.19999999999999998</v>
      </c>
      <c r="DL18" s="162">
        <f t="shared" si="85"/>
        <v>0.19999999999999998</v>
      </c>
      <c r="DM18" s="162">
        <f t="shared" si="19"/>
        <v>1.6388307275311875</v>
      </c>
      <c r="DN18" s="171">
        <f t="shared" si="86"/>
        <v>1.6388307275311875</v>
      </c>
      <c r="DO18" s="162"/>
      <c r="DP18" s="162">
        <f t="shared" si="87"/>
        <v>0.19999999999999998</v>
      </c>
      <c r="DQ18" s="170">
        <f t="shared" si="88"/>
        <v>0.19999999999999998</v>
      </c>
      <c r="DR18" s="162">
        <f t="shared" si="20"/>
        <v>1.6388307275311875</v>
      </c>
      <c r="DS18" s="171">
        <f t="shared" si="89"/>
        <v>1.6388307275311875</v>
      </c>
      <c r="DT18" s="162"/>
      <c r="DU18" s="162">
        <f t="shared" si="90"/>
        <v>0.19999999999999998</v>
      </c>
      <c r="DV18" s="170">
        <f t="shared" si="91"/>
        <v>0.19999999999999998</v>
      </c>
      <c r="DW18" s="162">
        <f t="shared" si="21"/>
        <v>1.6388307275311875</v>
      </c>
      <c r="DX18" s="171">
        <f t="shared" si="92"/>
        <v>1.6388307275311875</v>
      </c>
      <c r="DY18" s="162"/>
      <c r="DZ18" s="162">
        <f t="shared" si="93"/>
        <v>0.19999999999999998</v>
      </c>
      <c r="EA18" s="162">
        <f t="shared" si="94"/>
        <v>0.19999999999999998</v>
      </c>
      <c r="EB18" s="162">
        <f t="shared" si="22"/>
        <v>1.6388307275311875</v>
      </c>
      <c r="EC18" s="171">
        <f t="shared" si="95"/>
        <v>1.6388307275311875</v>
      </c>
      <c r="ED18" s="162"/>
      <c r="EE18" s="162">
        <f t="shared" si="96"/>
        <v>0.19999999999999998</v>
      </c>
      <c r="EF18" s="170">
        <f t="shared" si="97"/>
        <v>0.19999999999999998</v>
      </c>
      <c r="EG18" s="162">
        <f t="shared" si="23"/>
        <v>1.6388307275311875</v>
      </c>
      <c r="EH18" s="171">
        <f t="shared" si="98"/>
        <v>1.6388307275311875</v>
      </c>
      <c r="EI18" s="162"/>
      <c r="EJ18" s="162">
        <f t="shared" si="99"/>
        <v>0.19999999999999998</v>
      </c>
      <c r="EK18" s="170">
        <f t="shared" si="100"/>
        <v>0.19999999999999998</v>
      </c>
      <c r="EL18" s="162">
        <f t="shared" si="24"/>
        <v>1.6388307275311875</v>
      </c>
      <c r="EM18" s="171">
        <f t="shared" si="101"/>
        <v>1.6388307275311875</v>
      </c>
      <c r="EN18" s="162"/>
      <c r="EO18" s="162">
        <f t="shared" si="102"/>
        <v>0.19999999999999998</v>
      </c>
      <c r="EP18" s="162">
        <f t="shared" si="103"/>
        <v>0.19999999999999998</v>
      </c>
      <c r="EQ18" s="162">
        <f t="shared" si="25"/>
        <v>1.6388307275311875</v>
      </c>
      <c r="ER18" s="171">
        <f t="shared" si="104"/>
        <v>1.6388307275311875</v>
      </c>
      <c r="ES18" s="162"/>
      <c r="ET18" s="162">
        <f t="shared" si="105"/>
        <v>0.19999999999999998</v>
      </c>
      <c r="EU18" s="170">
        <f t="shared" si="106"/>
        <v>0.19999999999999998</v>
      </c>
      <c r="EV18" s="162">
        <f t="shared" si="26"/>
        <v>1.6388307275311875</v>
      </c>
      <c r="EW18" s="171">
        <f t="shared" si="107"/>
        <v>1.6388307275311875</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0.21999999999999997</v>
      </c>
      <c r="U19" s="170">
        <f t="shared" si="28"/>
        <v>0.21999999999999997</v>
      </c>
      <c r="V19" s="162">
        <f t="shared" si="0"/>
        <v>1.7678169802811474</v>
      </c>
      <c r="W19" s="171">
        <f t="shared" si="29"/>
        <v>1.7678169802811474</v>
      </c>
      <c r="X19" s="162"/>
      <c r="Y19" s="162">
        <f t="shared" si="30"/>
        <v>0.21999999999999997</v>
      </c>
      <c r="Z19" s="162">
        <f t="shared" si="31"/>
        <v>0.21999999999999997</v>
      </c>
      <c r="AA19" s="162">
        <f t="shared" si="1"/>
        <v>1.7678169802811474</v>
      </c>
      <c r="AB19" s="171">
        <f t="shared" si="32"/>
        <v>1.7678169802811474</v>
      </c>
      <c r="AC19" s="162"/>
      <c r="AD19" s="162">
        <f t="shared" si="33"/>
        <v>0.21999999999999997</v>
      </c>
      <c r="AE19" s="170">
        <f t="shared" si="34"/>
        <v>0.21999999999999997</v>
      </c>
      <c r="AF19" s="162">
        <f t="shared" si="2"/>
        <v>1.7678169802811474</v>
      </c>
      <c r="AG19" s="171">
        <f t="shared" si="35"/>
        <v>1.7678169802811474</v>
      </c>
      <c r="AH19" s="162"/>
      <c r="AI19" s="162">
        <f t="shared" si="36"/>
        <v>0.21999999999999997</v>
      </c>
      <c r="AJ19" s="170">
        <f t="shared" si="37"/>
        <v>0.21999999999999997</v>
      </c>
      <c r="AK19" s="162">
        <f t="shared" si="3"/>
        <v>1.7678169802811474</v>
      </c>
      <c r="AL19" s="171">
        <f t="shared" si="38"/>
        <v>1.7678169802811474</v>
      </c>
      <c r="AM19" s="162"/>
      <c r="AN19" s="162">
        <f t="shared" si="39"/>
        <v>0.21999999999999997</v>
      </c>
      <c r="AO19" s="162">
        <f t="shared" si="40"/>
        <v>0.21999999999999997</v>
      </c>
      <c r="AP19" s="162">
        <f t="shared" si="4"/>
        <v>1.7678169802811474</v>
      </c>
      <c r="AQ19" s="171">
        <f t="shared" si="41"/>
        <v>1.7678169802811474</v>
      </c>
      <c r="AR19" s="162"/>
      <c r="AS19" s="162">
        <f t="shared" si="42"/>
        <v>0.21999999999999997</v>
      </c>
      <c r="AT19" s="170">
        <f t="shared" si="43"/>
        <v>0.21999999999999997</v>
      </c>
      <c r="AU19" s="162">
        <f t="shared" si="5"/>
        <v>1.7678169802811474</v>
      </c>
      <c r="AV19" s="171">
        <f t="shared" si="44"/>
        <v>1.7678169802811474</v>
      </c>
      <c r="AW19" s="162"/>
      <c r="AX19" s="162">
        <f t="shared" si="45"/>
        <v>0.21999999999999997</v>
      </c>
      <c r="AY19" s="170">
        <f t="shared" si="46"/>
        <v>0.21999999999999997</v>
      </c>
      <c r="AZ19" s="162">
        <f t="shared" si="6"/>
        <v>1.7678169802811474</v>
      </c>
      <c r="BA19" s="171">
        <f t="shared" si="47"/>
        <v>1.7678169802811474</v>
      </c>
      <c r="BB19" s="162"/>
      <c r="BC19" s="162">
        <f t="shared" si="48"/>
        <v>0.21999999999999997</v>
      </c>
      <c r="BD19" s="162">
        <f t="shared" si="49"/>
        <v>0.21999999999999997</v>
      </c>
      <c r="BE19" s="162">
        <f t="shared" si="7"/>
        <v>1.7678169802811474</v>
      </c>
      <c r="BF19" s="171">
        <f t="shared" si="50"/>
        <v>1.7678169802811474</v>
      </c>
      <c r="BG19" s="162"/>
      <c r="BH19" s="162">
        <f t="shared" si="51"/>
        <v>0.21999999999999997</v>
      </c>
      <c r="BI19" s="170">
        <f t="shared" si="52"/>
        <v>0.21999999999999997</v>
      </c>
      <c r="BJ19" s="162">
        <f t="shared" si="8"/>
        <v>1.7678169802811474</v>
      </c>
      <c r="BK19" s="171">
        <f t="shared" si="53"/>
        <v>1.7678169802811474</v>
      </c>
      <c r="BL19" s="162"/>
      <c r="BM19" s="162">
        <f t="shared" si="54"/>
        <v>0.21999999999999997</v>
      </c>
      <c r="BN19" s="170">
        <f t="shared" si="55"/>
        <v>0.21999999999999997</v>
      </c>
      <c r="BO19" s="162">
        <f t="shared" si="9"/>
        <v>1.7678169802811474</v>
      </c>
      <c r="BP19" s="171">
        <f t="shared" si="56"/>
        <v>1.7678169802811474</v>
      </c>
      <c r="BQ19" s="162"/>
      <c r="BR19" s="162">
        <f t="shared" si="57"/>
        <v>0.21999999999999997</v>
      </c>
      <c r="BS19" s="162">
        <f t="shared" si="58"/>
        <v>0.21999999999999997</v>
      </c>
      <c r="BT19" s="162">
        <f t="shared" si="10"/>
        <v>1.7678169802811474</v>
      </c>
      <c r="BU19" s="171">
        <f t="shared" si="59"/>
        <v>1.7678169802811474</v>
      </c>
      <c r="BV19" s="162"/>
      <c r="BW19" s="162">
        <f t="shared" si="60"/>
        <v>0.21999999999999997</v>
      </c>
      <c r="BX19" s="170">
        <f t="shared" si="61"/>
        <v>0.21999999999999997</v>
      </c>
      <c r="BY19" s="162">
        <f t="shared" si="11"/>
        <v>1.7678169802811474</v>
      </c>
      <c r="BZ19" s="171">
        <f t="shared" si="62"/>
        <v>1.7678169802811474</v>
      </c>
      <c r="CA19" s="162"/>
      <c r="CB19" s="162">
        <f t="shared" si="63"/>
        <v>0.21999999999999997</v>
      </c>
      <c r="CC19" s="170">
        <f t="shared" si="64"/>
        <v>0.21999999999999997</v>
      </c>
      <c r="CD19" s="162">
        <f t="shared" si="12"/>
        <v>1.7678169802811474</v>
      </c>
      <c r="CE19" s="171">
        <f t="shared" si="65"/>
        <v>1.7678169802811474</v>
      </c>
      <c r="CF19" s="162"/>
      <c r="CG19" s="172">
        <f t="shared" si="66"/>
        <v>0.21999999999999997</v>
      </c>
      <c r="CH19" s="172">
        <f t="shared" si="67"/>
        <v>0.21999999999999997</v>
      </c>
      <c r="CI19" s="172">
        <f t="shared" si="13"/>
        <v>1.7678169802811474</v>
      </c>
      <c r="CJ19" s="171">
        <f t="shared" si="68"/>
        <v>1.7678169802811474</v>
      </c>
      <c r="CK19" s="172"/>
      <c r="CL19" s="162">
        <f t="shared" si="69"/>
        <v>0.21999999999999997</v>
      </c>
      <c r="CM19" s="170">
        <f t="shared" si="70"/>
        <v>0.21999999999999997</v>
      </c>
      <c r="CN19" s="162">
        <f t="shared" si="14"/>
        <v>1.7678169802811474</v>
      </c>
      <c r="CO19" s="171">
        <f t="shared" si="71"/>
        <v>1.7678169802811474</v>
      </c>
      <c r="CP19" s="162"/>
      <c r="CQ19" s="162">
        <f t="shared" si="72"/>
        <v>0.21999999999999997</v>
      </c>
      <c r="CR19" s="170">
        <f t="shared" si="73"/>
        <v>0.21999999999999997</v>
      </c>
      <c r="CS19" s="162">
        <f t="shared" si="15"/>
        <v>1.7678169802811474</v>
      </c>
      <c r="CT19" s="171">
        <f t="shared" si="74"/>
        <v>1.7678169802811474</v>
      </c>
      <c r="CU19" s="162"/>
      <c r="CV19" s="162">
        <f t="shared" si="75"/>
        <v>0.21999999999999997</v>
      </c>
      <c r="CW19" s="162">
        <f t="shared" si="76"/>
        <v>0.21999999999999997</v>
      </c>
      <c r="CX19" s="162">
        <f t="shared" si="16"/>
        <v>1.7678169802811474</v>
      </c>
      <c r="CY19" s="171">
        <f t="shared" si="77"/>
        <v>1.7678169802811474</v>
      </c>
      <c r="CZ19" s="162"/>
      <c r="DA19" s="162">
        <f t="shared" si="78"/>
        <v>0.21999999999999997</v>
      </c>
      <c r="DB19" s="170">
        <f t="shared" si="79"/>
        <v>0.21999999999999997</v>
      </c>
      <c r="DC19" s="162">
        <f t="shared" si="17"/>
        <v>1.7678169802811474</v>
      </c>
      <c r="DD19" s="171">
        <f t="shared" si="80"/>
        <v>1.7678169802811474</v>
      </c>
      <c r="DE19" s="162"/>
      <c r="DF19" s="162">
        <f t="shared" si="81"/>
        <v>0.21999999999999997</v>
      </c>
      <c r="DG19" s="170">
        <f t="shared" si="82"/>
        <v>0.21999999999999997</v>
      </c>
      <c r="DH19" s="162">
        <f t="shared" si="18"/>
        <v>1.7678169802811474</v>
      </c>
      <c r="DI19" s="171">
        <f t="shared" si="83"/>
        <v>1.7678169802811474</v>
      </c>
      <c r="DJ19" s="162"/>
      <c r="DK19" s="162">
        <f t="shared" si="84"/>
        <v>0.21999999999999997</v>
      </c>
      <c r="DL19" s="162">
        <f t="shared" si="85"/>
        <v>0.21999999999999997</v>
      </c>
      <c r="DM19" s="162">
        <f t="shared" si="19"/>
        <v>1.7678169802811474</v>
      </c>
      <c r="DN19" s="171">
        <f t="shared" si="86"/>
        <v>1.7678169802811474</v>
      </c>
      <c r="DO19" s="162"/>
      <c r="DP19" s="162">
        <f t="shared" si="87"/>
        <v>0.21999999999999997</v>
      </c>
      <c r="DQ19" s="170">
        <f t="shared" si="88"/>
        <v>0.21999999999999997</v>
      </c>
      <c r="DR19" s="162">
        <f t="shared" si="20"/>
        <v>1.7678169802811474</v>
      </c>
      <c r="DS19" s="171">
        <f t="shared" si="89"/>
        <v>1.7678169802811474</v>
      </c>
      <c r="DT19" s="162"/>
      <c r="DU19" s="162">
        <f t="shared" si="90"/>
        <v>0.21999999999999997</v>
      </c>
      <c r="DV19" s="170">
        <f t="shared" si="91"/>
        <v>0.21999999999999997</v>
      </c>
      <c r="DW19" s="162">
        <f t="shared" si="21"/>
        <v>1.7678169802811474</v>
      </c>
      <c r="DX19" s="171">
        <f t="shared" si="92"/>
        <v>1.7678169802811474</v>
      </c>
      <c r="DY19" s="162"/>
      <c r="DZ19" s="162">
        <f t="shared" si="93"/>
        <v>0.21999999999999997</v>
      </c>
      <c r="EA19" s="162">
        <f t="shared" si="94"/>
        <v>0.21999999999999997</v>
      </c>
      <c r="EB19" s="162">
        <f t="shared" si="22"/>
        <v>1.7678169802811474</v>
      </c>
      <c r="EC19" s="171">
        <f t="shared" si="95"/>
        <v>1.7678169802811474</v>
      </c>
      <c r="ED19" s="162"/>
      <c r="EE19" s="162">
        <f t="shared" si="96"/>
        <v>0.21999999999999997</v>
      </c>
      <c r="EF19" s="170">
        <f t="shared" si="97"/>
        <v>0.21999999999999997</v>
      </c>
      <c r="EG19" s="162">
        <f t="shared" si="23"/>
        <v>1.7678169802811474</v>
      </c>
      <c r="EH19" s="171">
        <f t="shared" si="98"/>
        <v>1.7678169802811474</v>
      </c>
      <c r="EI19" s="162"/>
      <c r="EJ19" s="162">
        <f t="shared" si="99"/>
        <v>0.21999999999999997</v>
      </c>
      <c r="EK19" s="170">
        <f t="shared" si="100"/>
        <v>0.21999999999999997</v>
      </c>
      <c r="EL19" s="162">
        <f t="shared" si="24"/>
        <v>1.7678169802811474</v>
      </c>
      <c r="EM19" s="171">
        <f t="shared" si="101"/>
        <v>1.7678169802811474</v>
      </c>
      <c r="EN19" s="162"/>
      <c r="EO19" s="162">
        <f t="shared" si="102"/>
        <v>0.21999999999999997</v>
      </c>
      <c r="EP19" s="162">
        <f t="shared" si="103"/>
        <v>0.21999999999999997</v>
      </c>
      <c r="EQ19" s="162">
        <f t="shared" si="25"/>
        <v>1.7678169802811474</v>
      </c>
      <c r="ER19" s="171">
        <f t="shared" si="104"/>
        <v>1.7678169802811474</v>
      </c>
      <c r="ES19" s="162"/>
      <c r="ET19" s="162">
        <f t="shared" si="105"/>
        <v>0.21999999999999997</v>
      </c>
      <c r="EU19" s="170">
        <f t="shared" si="106"/>
        <v>0.21999999999999997</v>
      </c>
      <c r="EV19" s="162">
        <f t="shared" si="26"/>
        <v>1.7678169802811474</v>
      </c>
      <c r="EW19" s="171">
        <f t="shared" si="107"/>
        <v>1.7678169802811474</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0.23999999999999996</v>
      </c>
      <c r="U20" s="170">
        <f t="shared" si="28"/>
        <v>0.23999999999999996</v>
      </c>
      <c r="V20" s="162">
        <f t="shared" si="0"/>
        <v>1.8940947203032601</v>
      </c>
      <c r="W20" s="171">
        <f t="shared" si="29"/>
        <v>1.8940947203032601</v>
      </c>
      <c r="X20" s="162"/>
      <c r="Y20" s="162">
        <f t="shared" si="30"/>
        <v>0.23999999999999996</v>
      </c>
      <c r="Z20" s="162">
        <f t="shared" si="31"/>
        <v>0.23999999999999996</v>
      </c>
      <c r="AA20" s="162">
        <f t="shared" si="1"/>
        <v>1.8940947203032601</v>
      </c>
      <c r="AB20" s="171">
        <f t="shared" si="32"/>
        <v>1.8940947203032601</v>
      </c>
      <c r="AC20" s="162"/>
      <c r="AD20" s="162">
        <f t="shared" si="33"/>
        <v>0.23999999999999996</v>
      </c>
      <c r="AE20" s="170">
        <f t="shared" si="34"/>
        <v>0.23999999999999996</v>
      </c>
      <c r="AF20" s="162">
        <f t="shared" si="2"/>
        <v>1.8940947203032601</v>
      </c>
      <c r="AG20" s="171">
        <f t="shared" si="35"/>
        <v>1.8940947203032601</v>
      </c>
      <c r="AH20" s="162"/>
      <c r="AI20" s="162">
        <f t="shared" si="36"/>
        <v>0.23999999999999996</v>
      </c>
      <c r="AJ20" s="170">
        <f t="shared" si="37"/>
        <v>0.23999999999999996</v>
      </c>
      <c r="AK20" s="162">
        <f t="shared" si="3"/>
        <v>1.8940947203032601</v>
      </c>
      <c r="AL20" s="171">
        <f t="shared" si="38"/>
        <v>1.8940947203032601</v>
      </c>
      <c r="AM20" s="162"/>
      <c r="AN20" s="162">
        <f t="shared" si="39"/>
        <v>0.23999999999999996</v>
      </c>
      <c r="AO20" s="162">
        <f t="shared" si="40"/>
        <v>0.23999999999999996</v>
      </c>
      <c r="AP20" s="162">
        <f t="shared" si="4"/>
        <v>1.8940947203032601</v>
      </c>
      <c r="AQ20" s="171">
        <f t="shared" si="41"/>
        <v>1.8940947203032601</v>
      </c>
      <c r="AR20" s="162"/>
      <c r="AS20" s="162">
        <f t="shared" si="42"/>
        <v>0.23999999999999996</v>
      </c>
      <c r="AT20" s="170">
        <f t="shared" si="43"/>
        <v>0.23999999999999996</v>
      </c>
      <c r="AU20" s="162">
        <f t="shared" si="5"/>
        <v>1.8940947203032601</v>
      </c>
      <c r="AV20" s="171">
        <f t="shared" si="44"/>
        <v>1.8940947203032601</v>
      </c>
      <c r="AW20" s="162"/>
      <c r="AX20" s="162">
        <f t="shared" si="45"/>
        <v>0.23999999999999996</v>
      </c>
      <c r="AY20" s="170">
        <f t="shared" si="46"/>
        <v>0.23999999999999996</v>
      </c>
      <c r="AZ20" s="162">
        <f t="shared" si="6"/>
        <v>1.8940947203032601</v>
      </c>
      <c r="BA20" s="171">
        <f t="shared" si="47"/>
        <v>1.8940947203032601</v>
      </c>
      <c r="BB20" s="162"/>
      <c r="BC20" s="162">
        <f t="shared" si="48"/>
        <v>0.23999999999999996</v>
      </c>
      <c r="BD20" s="162">
        <f t="shared" si="49"/>
        <v>0.23999999999999996</v>
      </c>
      <c r="BE20" s="162">
        <f t="shared" si="7"/>
        <v>1.8940947203032601</v>
      </c>
      <c r="BF20" s="171">
        <f t="shared" si="50"/>
        <v>1.8940947203032601</v>
      </c>
      <c r="BG20" s="162"/>
      <c r="BH20" s="162">
        <f t="shared" si="51"/>
        <v>0.23999999999999996</v>
      </c>
      <c r="BI20" s="170">
        <f t="shared" si="52"/>
        <v>0.23999999999999996</v>
      </c>
      <c r="BJ20" s="162">
        <f t="shared" si="8"/>
        <v>1.8940947203032601</v>
      </c>
      <c r="BK20" s="171">
        <f t="shared" si="53"/>
        <v>1.8940947203032601</v>
      </c>
      <c r="BL20" s="162"/>
      <c r="BM20" s="162">
        <f t="shared" si="54"/>
        <v>0.23999999999999996</v>
      </c>
      <c r="BN20" s="170">
        <f t="shared" si="55"/>
        <v>0.23999999999999996</v>
      </c>
      <c r="BO20" s="162">
        <f t="shared" si="9"/>
        <v>1.8940947203032601</v>
      </c>
      <c r="BP20" s="171">
        <f t="shared" si="56"/>
        <v>1.8940947203032601</v>
      </c>
      <c r="BQ20" s="162"/>
      <c r="BR20" s="162">
        <f t="shared" si="57"/>
        <v>0.23999999999999996</v>
      </c>
      <c r="BS20" s="162">
        <f t="shared" si="58"/>
        <v>0.23999999999999996</v>
      </c>
      <c r="BT20" s="162">
        <f t="shared" si="10"/>
        <v>1.8940947203032601</v>
      </c>
      <c r="BU20" s="171">
        <f t="shared" si="59"/>
        <v>1.8940947203032601</v>
      </c>
      <c r="BV20" s="162"/>
      <c r="BW20" s="162">
        <f t="shared" si="60"/>
        <v>0.23999999999999996</v>
      </c>
      <c r="BX20" s="170">
        <f t="shared" si="61"/>
        <v>0.23999999999999996</v>
      </c>
      <c r="BY20" s="162">
        <f t="shared" si="11"/>
        <v>1.8940947203032601</v>
      </c>
      <c r="BZ20" s="171">
        <f t="shared" si="62"/>
        <v>1.8940947203032601</v>
      </c>
      <c r="CA20" s="162"/>
      <c r="CB20" s="162">
        <f t="shared" si="63"/>
        <v>0.23999999999999996</v>
      </c>
      <c r="CC20" s="170">
        <f t="shared" si="64"/>
        <v>0.23999999999999996</v>
      </c>
      <c r="CD20" s="162">
        <f t="shared" si="12"/>
        <v>1.8940947203032601</v>
      </c>
      <c r="CE20" s="171">
        <f t="shared" si="65"/>
        <v>1.8940947203032601</v>
      </c>
      <c r="CF20" s="162"/>
      <c r="CG20" s="172">
        <f t="shared" si="66"/>
        <v>0.23999999999999996</v>
      </c>
      <c r="CH20" s="172">
        <f t="shared" si="67"/>
        <v>0.23999999999999996</v>
      </c>
      <c r="CI20" s="172">
        <f t="shared" si="13"/>
        <v>1.8940947203032601</v>
      </c>
      <c r="CJ20" s="171">
        <f t="shared" si="68"/>
        <v>1.8940947203032601</v>
      </c>
      <c r="CK20" s="172"/>
      <c r="CL20" s="162">
        <f t="shared" si="69"/>
        <v>0.23999999999999996</v>
      </c>
      <c r="CM20" s="170">
        <f t="shared" si="70"/>
        <v>0.23999999999999996</v>
      </c>
      <c r="CN20" s="162">
        <f t="shared" si="14"/>
        <v>1.8940947203032601</v>
      </c>
      <c r="CO20" s="171">
        <f t="shared" si="71"/>
        <v>1.8940947203032601</v>
      </c>
      <c r="CP20" s="162"/>
      <c r="CQ20" s="162">
        <f t="shared" si="72"/>
        <v>0.23999999999999996</v>
      </c>
      <c r="CR20" s="170">
        <f t="shared" si="73"/>
        <v>0.23999999999999996</v>
      </c>
      <c r="CS20" s="162">
        <f t="shared" si="15"/>
        <v>1.8940947203032601</v>
      </c>
      <c r="CT20" s="171">
        <f t="shared" si="74"/>
        <v>1.8940947203032601</v>
      </c>
      <c r="CU20" s="162"/>
      <c r="CV20" s="162">
        <f t="shared" si="75"/>
        <v>0.23999999999999996</v>
      </c>
      <c r="CW20" s="162">
        <f t="shared" si="76"/>
        <v>0.23999999999999996</v>
      </c>
      <c r="CX20" s="162">
        <f t="shared" si="16"/>
        <v>1.8940947203032601</v>
      </c>
      <c r="CY20" s="171">
        <f t="shared" si="77"/>
        <v>1.8940947203032601</v>
      </c>
      <c r="CZ20" s="162"/>
      <c r="DA20" s="162">
        <f t="shared" si="78"/>
        <v>0.23999999999999996</v>
      </c>
      <c r="DB20" s="170">
        <f t="shared" si="79"/>
        <v>0.23999999999999996</v>
      </c>
      <c r="DC20" s="162">
        <f t="shared" si="17"/>
        <v>1.8940947203032601</v>
      </c>
      <c r="DD20" s="171">
        <f t="shared" si="80"/>
        <v>1.8940947203032601</v>
      </c>
      <c r="DE20" s="162"/>
      <c r="DF20" s="162">
        <f t="shared" si="81"/>
        <v>0.23999999999999996</v>
      </c>
      <c r="DG20" s="170">
        <f t="shared" si="82"/>
        <v>0.23999999999999996</v>
      </c>
      <c r="DH20" s="162">
        <f t="shared" si="18"/>
        <v>1.8940947203032601</v>
      </c>
      <c r="DI20" s="171">
        <f t="shared" si="83"/>
        <v>1.8940947203032601</v>
      </c>
      <c r="DJ20" s="162"/>
      <c r="DK20" s="162">
        <f t="shared" si="84"/>
        <v>0.23999999999999996</v>
      </c>
      <c r="DL20" s="162">
        <f t="shared" si="85"/>
        <v>0.23999999999999996</v>
      </c>
      <c r="DM20" s="162">
        <f t="shared" si="19"/>
        <v>1.8940947203032601</v>
      </c>
      <c r="DN20" s="171">
        <f t="shared" si="86"/>
        <v>1.8940947203032601</v>
      </c>
      <c r="DO20" s="162"/>
      <c r="DP20" s="162">
        <f t="shared" si="87"/>
        <v>0.23999999999999996</v>
      </c>
      <c r="DQ20" s="170">
        <f t="shared" si="88"/>
        <v>0.23999999999999996</v>
      </c>
      <c r="DR20" s="162">
        <f t="shared" si="20"/>
        <v>1.8940947203032601</v>
      </c>
      <c r="DS20" s="171">
        <f t="shared" si="89"/>
        <v>1.8940947203032601</v>
      </c>
      <c r="DT20" s="162"/>
      <c r="DU20" s="162">
        <f t="shared" si="90"/>
        <v>0.23999999999999996</v>
      </c>
      <c r="DV20" s="170">
        <f t="shared" si="91"/>
        <v>0.23999999999999996</v>
      </c>
      <c r="DW20" s="162">
        <f t="shared" si="21"/>
        <v>1.8940947203032601</v>
      </c>
      <c r="DX20" s="171">
        <f t="shared" si="92"/>
        <v>1.8940947203032601</v>
      </c>
      <c r="DY20" s="162"/>
      <c r="DZ20" s="162">
        <f t="shared" si="93"/>
        <v>0.23999999999999996</v>
      </c>
      <c r="EA20" s="162">
        <f t="shared" si="94"/>
        <v>0.23999999999999996</v>
      </c>
      <c r="EB20" s="162">
        <f t="shared" si="22"/>
        <v>1.8940947203032601</v>
      </c>
      <c r="EC20" s="171">
        <f t="shared" si="95"/>
        <v>1.8940947203032601</v>
      </c>
      <c r="ED20" s="162"/>
      <c r="EE20" s="162">
        <f t="shared" si="96"/>
        <v>0.23999999999999996</v>
      </c>
      <c r="EF20" s="170">
        <f t="shared" si="97"/>
        <v>0.23999999999999996</v>
      </c>
      <c r="EG20" s="162">
        <f t="shared" si="23"/>
        <v>1.8940947203032601</v>
      </c>
      <c r="EH20" s="171">
        <f t="shared" si="98"/>
        <v>1.8940947203032601</v>
      </c>
      <c r="EI20" s="162"/>
      <c r="EJ20" s="162">
        <f t="shared" si="99"/>
        <v>0.23999999999999996</v>
      </c>
      <c r="EK20" s="170">
        <f t="shared" si="100"/>
        <v>0.23999999999999996</v>
      </c>
      <c r="EL20" s="162">
        <f t="shared" si="24"/>
        <v>1.8940947203032601</v>
      </c>
      <c r="EM20" s="171">
        <f t="shared" si="101"/>
        <v>1.8940947203032601</v>
      </c>
      <c r="EN20" s="162"/>
      <c r="EO20" s="162">
        <f t="shared" si="102"/>
        <v>0.23999999999999996</v>
      </c>
      <c r="EP20" s="162">
        <f t="shared" si="103"/>
        <v>0.23999999999999996</v>
      </c>
      <c r="EQ20" s="162">
        <f t="shared" si="25"/>
        <v>1.8940947203032601</v>
      </c>
      <c r="ER20" s="171">
        <f t="shared" si="104"/>
        <v>1.8940947203032601</v>
      </c>
      <c r="ES20" s="162"/>
      <c r="ET20" s="162">
        <f t="shared" si="105"/>
        <v>0.23999999999999996</v>
      </c>
      <c r="EU20" s="170">
        <f t="shared" si="106"/>
        <v>0.23999999999999996</v>
      </c>
      <c r="EV20" s="162">
        <f t="shared" si="26"/>
        <v>1.8940947203032601</v>
      </c>
      <c r="EW20" s="171">
        <f t="shared" si="107"/>
        <v>1.8940947203032601</v>
      </c>
      <c r="EX20" s="162"/>
    </row>
    <row r="21" spans="3:154" s="181" customFormat="1" x14ac:dyDescent="0.25">
      <c r="C21" s="167" t="s">
        <v>348</v>
      </c>
      <c r="D21" s="179" t="str">
        <f>IF(MAX(T114:AT114)=MIN(T114:AT114), "----", TEXT(MAX(T114:AT114), "0°") &amp; " – " &amp; TEXT(MIN(T114:AT114), "0°"))</f>
        <v>----</v>
      </c>
      <c r="E21" s="160"/>
      <c r="F21" s="167" t="s">
        <v>348</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0.25999999999999995</v>
      </c>
      <c r="U21" s="170">
        <f t="shared" si="28"/>
        <v>0.25999999999999995</v>
      </c>
      <c r="V21" s="162">
        <f t="shared" si="0"/>
        <v>2.017663947597526</v>
      </c>
      <c r="W21" s="171">
        <f t="shared" si="29"/>
        <v>2.017663947597526</v>
      </c>
      <c r="X21" s="162"/>
      <c r="Y21" s="162">
        <f t="shared" si="30"/>
        <v>0.25999999999999995</v>
      </c>
      <c r="Z21" s="162">
        <f t="shared" si="31"/>
        <v>0.25999999999999995</v>
      </c>
      <c r="AA21" s="162">
        <f t="shared" si="1"/>
        <v>2.017663947597526</v>
      </c>
      <c r="AB21" s="171">
        <f t="shared" si="32"/>
        <v>2.017663947597526</v>
      </c>
      <c r="AC21" s="162"/>
      <c r="AD21" s="162">
        <f t="shared" si="33"/>
        <v>0.25999999999999995</v>
      </c>
      <c r="AE21" s="170">
        <f t="shared" si="34"/>
        <v>0.25999999999999995</v>
      </c>
      <c r="AF21" s="162">
        <f t="shared" si="2"/>
        <v>2.017663947597526</v>
      </c>
      <c r="AG21" s="171">
        <f t="shared" si="35"/>
        <v>2.017663947597526</v>
      </c>
      <c r="AH21" s="162"/>
      <c r="AI21" s="162">
        <f t="shared" si="36"/>
        <v>0.25999999999999995</v>
      </c>
      <c r="AJ21" s="170">
        <f t="shared" si="37"/>
        <v>0.25999999999999995</v>
      </c>
      <c r="AK21" s="162">
        <f t="shared" si="3"/>
        <v>2.017663947597526</v>
      </c>
      <c r="AL21" s="171">
        <f t="shared" si="38"/>
        <v>2.017663947597526</v>
      </c>
      <c r="AM21" s="162"/>
      <c r="AN21" s="162">
        <f t="shared" si="39"/>
        <v>0.25999999999999995</v>
      </c>
      <c r="AO21" s="162">
        <f t="shared" si="40"/>
        <v>0.25999999999999995</v>
      </c>
      <c r="AP21" s="162">
        <f t="shared" si="4"/>
        <v>2.017663947597526</v>
      </c>
      <c r="AQ21" s="171">
        <f t="shared" si="41"/>
        <v>2.017663947597526</v>
      </c>
      <c r="AR21" s="162"/>
      <c r="AS21" s="162">
        <f t="shared" si="42"/>
        <v>0.25999999999999995</v>
      </c>
      <c r="AT21" s="170">
        <f t="shared" si="43"/>
        <v>0.25999999999999995</v>
      </c>
      <c r="AU21" s="162">
        <f t="shared" si="5"/>
        <v>2.017663947597526</v>
      </c>
      <c r="AV21" s="171">
        <f t="shared" si="44"/>
        <v>2.017663947597526</v>
      </c>
      <c r="AW21" s="162"/>
      <c r="AX21" s="162">
        <f t="shared" si="45"/>
        <v>0.25999999999999995</v>
      </c>
      <c r="AY21" s="170">
        <f t="shared" si="46"/>
        <v>0.25999999999999995</v>
      </c>
      <c r="AZ21" s="162">
        <f t="shared" si="6"/>
        <v>2.017663947597526</v>
      </c>
      <c r="BA21" s="171">
        <f t="shared" si="47"/>
        <v>2.017663947597526</v>
      </c>
      <c r="BB21" s="162"/>
      <c r="BC21" s="162">
        <f t="shared" si="48"/>
        <v>0.25999999999999995</v>
      </c>
      <c r="BD21" s="162">
        <f t="shared" si="49"/>
        <v>0.25999999999999995</v>
      </c>
      <c r="BE21" s="162">
        <f t="shared" si="7"/>
        <v>2.017663947597526</v>
      </c>
      <c r="BF21" s="171">
        <f t="shared" si="50"/>
        <v>2.017663947597526</v>
      </c>
      <c r="BG21" s="162"/>
      <c r="BH21" s="162">
        <f t="shared" si="51"/>
        <v>0.25999999999999995</v>
      </c>
      <c r="BI21" s="170">
        <f t="shared" si="52"/>
        <v>0.25999999999999995</v>
      </c>
      <c r="BJ21" s="162">
        <f t="shared" si="8"/>
        <v>2.017663947597526</v>
      </c>
      <c r="BK21" s="171">
        <f t="shared" si="53"/>
        <v>2.017663947597526</v>
      </c>
      <c r="BL21" s="162"/>
      <c r="BM21" s="162">
        <f t="shared" si="54"/>
        <v>0.25999999999999995</v>
      </c>
      <c r="BN21" s="170">
        <f t="shared" si="55"/>
        <v>0.25999999999999995</v>
      </c>
      <c r="BO21" s="162">
        <f t="shared" si="9"/>
        <v>2.017663947597526</v>
      </c>
      <c r="BP21" s="171">
        <f t="shared" si="56"/>
        <v>2.017663947597526</v>
      </c>
      <c r="BQ21" s="162"/>
      <c r="BR21" s="162">
        <f t="shared" si="57"/>
        <v>0.25999999999999995</v>
      </c>
      <c r="BS21" s="162">
        <f t="shared" si="58"/>
        <v>0.25999999999999995</v>
      </c>
      <c r="BT21" s="162">
        <f t="shared" si="10"/>
        <v>2.017663947597526</v>
      </c>
      <c r="BU21" s="171">
        <f t="shared" si="59"/>
        <v>2.017663947597526</v>
      </c>
      <c r="BV21" s="162"/>
      <c r="BW21" s="162">
        <f t="shared" si="60"/>
        <v>0.25999999999999995</v>
      </c>
      <c r="BX21" s="170">
        <f t="shared" si="61"/>
        <v>0.25999999999999995</v>
      </c>
      <c r="BY21" s="162">
        <f t="shared" si="11"/>
        <v>2.017663947597526</v>
      </c>
      <c r="BZ21" s="171">
        <f t="shared" si="62"/>
        <v>2.017663947597526</v>
      </c>
      <c r="CA21" s="162"/>
      <c r="CB21" s="162">
        <f t="shared" si="63"/>
        <v>0.25999999999999995</v>
      </c>
      <c r="CC21" s="170">
        <f t="shared" si="64"/>
        <v>0.25999999999999995</v>
      </c>
      <c r="CD21" s="162">
        <f t="shared" si="12"/>
        <v>2.017663947597526</v>
      </c>
      <c r="CE21" s="171">
        <f t="shared" si="65"/>
        <v>2.017663947597526</v>
      </c>
      <c r="CF21" s="162"/>
      <c r="CG21" s="172">
        <f t="shared" si="66"/>
        <v>0.25999999999999995</v>
      </c>
      <c r="CH21" s="172">
        <f t="shared" si="67"/>
        <v>0.25999999999999995</v>
      </c>
      <c r="CI21" s="172">
        <f t="shared" si="13"/>
        <v>2.017663947597526</v>
      </c>
      <c r="CJ21" s="171">
        <f t="shared" si="68"/>
        <v>2.017663947597526</v>
      </c>
      <c r="CK21" s="172"/>
      <c r="CL21" s="162">
        <f t="shared" si="69"/>
        <v>0.25999999999999995</v>
      </c>
      <c r="CM21" s="170">
        <f t="shared" si="70"/>
        <v>0.25999999999999995</v>
      </c>
      <c r="CN21" s="162">
        <f t="shared" si="14"/>
        <v>2.017663947597526</v>
      </c>
      <c r="CO21" s="171">
        <f t="shared" si="71"/>
        <v>2.017663947597526</v>
      </c>
      <c r="CP21" s="162"/>
      <c r="CQ21" s="162">
        <f t="shared" si="72"/>
        <v>0.25999999999999995</v>
      </c>
      <c r="CR21" s="170">
        <f t="shared" si="73"/>
        <v>0.25999999999999995</v>
      </c>
      <c r="CS21" s="162">
        <f t="shared" si="15"/>
        <v>2.017663947597526</v>
      </c>
      <c r="CT21" s="171">
        <f t="shared" si="74"/>
        <v>2.017663947597526</v>
      </c>
      <c r="CU21" s="162"/>
      <c r="CV21" s="162">
        <f t="shared" si="75"/>
        <v>0.25999999999999995</v>
      </c>
      <c r="CW21" s="162">
        <f t="shared" si="76"/>
        <v>0.25999999999999995</v>
      </c>
      <c r="CX21" s="162">
        <f t="shared" si="16"/>
        <v>2.017663947597526</v>
      </c>
      <c r="CY21" s="171">
        <f t="shared" si="77"/>
        <v>2.017663947597526</v>
      </c>
      <c r="CZ21" s="162"/>
      <c r="DA21" s="162">
        <f t="shared" si="78"/>
        <v>0.25999999999999995</v>
      </c>
      <c r="DB21" s="170">
        <f t="shared" si="79"/>
        <v>0.25999999999999995</v>
      </c>
      <c r="DC21" s="162">
        <f t="shared" si="17"/>
        <v>2.017663947597526</v>
      </c>
      <c r="DD21" s="171">
        <f t="shared" si="80"/>
        <v>2.017663947597526</v>
      </c>
      <c r="DE21" s="162"/>
      <c r="DF21" s="162">
        <f t="shared" si="81"/>
        <v>0.25999999999999995</v>
      </c>
      <c r="DG21" s="170">
        <f t="shared" si="82"/>
        <v>0.25999999999999995</v>
      </c>
      <c r="DH21" s="162">
        <f t="shared" si="18"/>
        <v>2.017663947597526</v>
      </c>
      <c r="DI21" s="171">
        <f t="shared" si="83"/>
        <v>2.017663947597526</v>
      </c>
      <c r="DJ21" s="162"/>
      <c r="DK21" s="162">
        <f t="shared" si="84"/>
        <v>0.25999999999999995</v>
      </c>
      <c r="DL21" s="162">
        <f t="shared" si="85"/>
        <v>0.25999999999999995</v>
      </c>
      <c r="DM21" s="162">
        <f t="shared" si="19"/>
        <v>2.017663947597526</v>
      </c>
      <c r="DN21" s="171">
        <f t="shared" si="86"/>
        <v>2.017663947597526</v>
      </c>
      <c r="DO21" s="162"/>
      <c r="DP21" s="162">
        <f t="shared" si="87"/>
        <v>0.25999999999999995</v>
      </c>
      <c r="DQ21" s="170">
        <f t="shared" si="88"/>
        <v>0.25999999999999995</v>
      </c>
      <c r="DR21" s="162">
        <f t="shared" si="20"/>
        <v>2.017663947597526</v>
      </c>
      <c r="DS21" s="171">
        <f t="shared" si="89"/>
        <v>2.017663947597526</v>
      </c>
      <c r="DT21" s="162"/>
      <c r="DU21" s="162">
        <f t="shared" si="90"/>
        <v>0.25999999999999995</v>
      </c>
      <c r="DV21" s="170">
        <f t="shared" si="91"/>
        <v>0.25999999999999995</v>
      </c>
      <c r="DW21" s="162">
        <f t="shared" si="21"/>
        <v>2.017663947597526</v>
      </c>
      <c r="DX21" s="171">
        <f t="shared" si="92"/>
        <v>2.017663947597526</v>
      </c>
      <c r="DY21" s="162"/>
      <c r="DZ21" s="162">
        <f t="shared" si="93"/>
        <v>0.25999999999999995</v>
      </c>
      <c r="EA21" s="162">
        <f t="shared" si="94"/>
        <v>0.25999999999999995</v>
      </c>
      <c r="EB21" s="162">
        <f t="shared" si="22"/>
        <v>2.017663947597526</v>
      </c>
      <c r="EC21" s="171">
        <f t="shared" si="95"/>
        <v>2.017663947597526</v>
      </c>
      <c r="ED21" s="162"/>
      <c r="EE21" s="162">
        <f t="shared" si="96"/>
        <v>0.25999999999999995</v>
      </c>
      <c r="EF21" s="170">
        <f t="shared" si="97"/>
        <v>0.25999999999999995</v>
      </c>
      <c r="EG21" s="162">
        <f t="shared" si="23"/>
        <v>2.017663947597526</v>
      </c>
      <c r="EH21" s="171">
        <f t="shared" si="98"/>
        <v>2.017663947597526</v>
      </c>
      <c r="EI21" s="162"/>
      <c r="EJ21" s="162">
        <f t="shared" si="99"/>
        <v>0.25999999999999995</v>
      </c>
      <c r="EK21" s="170">
        <f t="shared" si="100"/>
        <v>0.25999999999999995</v>
      </c>
      <c r="EL21" s="162">
        <f t="shared" si="24"/>
        <v>2.017663947597526</v>
      </c>
      <c r="EM21" s="171">
        <f t="shared" si="101"/>
        <v>2.017663947597526</v>
      </c>
      <c r="EN21" s="162"/>
      <c r="EO21" s="162">
        <f t="shared" si="102"/>
        <v>0.25999999999999995</v>
      </c>
      <c r="EP21" s="162">
        <f t="shared" si="103"/>
        <v>0.25999999999999995</v>
      </c>
      <c r="EQ21" s="162">
        <f t="shared" si="25"/>
        <v>2.017663947597526</v>
      </c>
      <c r="ER21" s="171">
        <f t="shared" si="104"/>
        <v>2.017663947597526</v>
      </c>
      <c r="ES21" s="162"/>
      <c r="ET21" s="162">
        <f t="shared" si="105"/>
        <v>0.25999999999999995</v>
      </c>
      <c r="EU21" s="170">
        <f t="shared" si="106"/>
        <v>0.25999999999999995</v>
      </c>
      <c r="EV21" s="162">
        <f t="shared" si="26"/>
        <v>2.017663947597526</v>
      </c>
      <c r="EW21" s="171">
        <f t="shared" si="107"/>
        <v>2.017663947597526</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0.27999999999999997</v>
      </c>
      <c r="U22" s="170">
        <f t="shared" si="28"/>
        <v>0.27999999999999997</v>
      </c>
      <c r="V22" s="162">
        <f t="shared" si="0"/>
        <v>2.1385246621639449</v>
      </c>
      <c r="W22" s="171">
        <f t="shared" si="29"/>
        <v>2.1385246621639449</v>
      </c>
      <c r="X22" s="162"/>
      <c r="Y22" s="162">
        <f t="shared" si="30"/>
        <v>0.27999999999999997</v>
      </c>
      <c r="Z22" s="162">
        <f t="shared" si="31"/>
        <v>0.27999999999999997</v>
      </c>
      <c r="AA22" s="162">
        <f t="shared" si="1"/>
        <v>2.1385246621639449</v>
      </c>
      <c r="AB22" s="171">
        <f t="shared" si="32"/>
        <v>2.1385246621639449</v>
      </c>
      <c r="AC22" s="162"/>
      <c r="AD22" s="162">
        <f t="shared" si="33"/>
        <v>0.27999999999999997</v>
      </c>
      <c r="AE22" s="170">
        <f t="shared" si="34"/>
        <v>0.27999999999999997</v>
      </c>
      <c r="AF22" s="162">
        <f t="shared" si="2"/>
        <v>2.1385246621639449</v>
      </c>
      <c r="AG22" s="171">
        <f t="shared" si="35"/>
        <v>2.1385246621639449</v>
      </c>
      <c r="AH22" s="162"/>
      <c r="AI22" s="162">
        <f t="shared" si="36"/>
        <v>0.27999999999999997</v>
      </c>
      <c r="AJ22" s="170">
        <f t="shared" si="37"/>
        <v>0.27999999999999997</v>
      </c>
      <c r="AK22" s="162">
        <f t="shared" si="3"/>
        <v>2.1385246621639449</v>
      </c>
      <c r="AL22" s="171">
        <f t="shared" si="38"/>
        <v>2.1385246621639449</v>
      </c>
      <c r="AM22" s="162"/>
      <c r="AN22" s="162">
        <f t="shared" si="39"/>
        <v>0.27999999999999997</v>
      </c>
      <c r="AO22" s="162">
        <f t="shared" si="40"/>
        <v>0.27999999999999997</v>
      </c>
      <c r="AP22" s="162">
        <f t="shared" si="4"/>
        <v>2.1385246621639449</v>
      </c>
      <c r="AQ22" s="171">
        <f t="shared" si="41"/>
        <v>2.1385246621639449</v>
      </c>
      <c r="AR22" s="162"/>
      <c r="AS22" s="162">
        <f t="shared" si="42"/>
        <v>0.27999999999999997</v>
      </c>
      <c r="AT22" s="170">
        <f t="shared" si="43"/>
        <v>0.27999999999999997</v>
      </c>
      <c r="AU22" s="162">
        <f t="shared" si="5"/>
        <v>2.1385246621639449</v>
      </c>
      <c r="AV22" s="171">
        <f t="shared" si="44"/>
        <v>2.1385246621639449</v>
      </c>
      <c r="AW22" s="162"/>
      <c r="AX22" s="162">
        <f t="shared" si="45"/>
        <v>0.27999999999999997</v>
      </c>
      <c r="AY22" s="170">
        <f t="shared" si="46"/>
        <v>0.27999999999999997</v>
      </c>
      <c r="AZ22" s="162">
        <f t="shared" si="6"/>
        <v>2.1385246621639449</v>
      </c>
      <c r="BA22" s="171">
        <f t="shared" si="47"/>
        <v>2.1385246621639449</v>
      </c>
      <c r="BB22" s="162"/>
      <c r="BC22" s="162">
        <f t="shared" si="48"/>
        <v>0.27999999999999997</v>
      </c>
      <c r="BD22" s="162">
        <f t="shared" si="49"/>
        <v>0.27999999999999997</v>
      </c>
      <c r="BE22" s="162">
        <f t="shared" si="7"/>
        <v>2.1385246621639449</v>
      </c>
      <c r="BF22" s="171">
        <f t="shared" si="50"/>
        <v>2.1385246621639449</v>
      </c>
      <c r="BG22" s="162"/>
      <c r="BH22" s="162">
        <f t="shared" si="51"/>
        <v>0.27999999999999997</v>
      </c>
      <c r="BI22" s="170">
        <f t="shared" si="52"/>
        <v>0.27999999999999997</v>
      </c>
      <c r="BJ22" s="162">
        <f t="shared" si="8"/>
        <v>2.1385246621639449</v>
      </c>
      <c r="BK22" s="171">
        <f t="shared" si="53"/>
        <v>2.1385246621639449</v>
      </c>
      <c r="BL22" s="162"/>
      <c r="BM22" s="162">
        <f t="shared" si="54"/>
        <v>0.27999999999999997</v>
      </c>
      <c r="BN22" s="170">
        <f t="shared" si="55"/>
        <v>0.27999999999999997</v>
      </c>
      <c r="BO22" s="162">
        <f t="shared" si="9"/>
        <v>2.1385246621639449</v>
      </c>
      <c r="BP22" s="171">
        <f t="shared" si="56"/>
        <v>2.1385246621639449</v>
      </c>
      <c r="BQ22" s="162"/>
      <c r="BR22" s="162">
        <f t="shared" si="57"/>
        <v>0.27999999999999997</v>
      </c>
      <c r="BS22" s="162">
        <f t="shared" si="58"/>
        <v>0.27999999999999997</v>
      </c>
      <c r="BT22" s="162">
        <f t="shared" si="10"/>
        <v>2.1385246621639449</v>
      </c>
      <c r="BU22" s="171">
        <f t="shared" si="59"/>
        <v>2.1385246621639449</v>
      </c>
      <c r="BV22" s="162"/>
      <c r="BW22" s="162">
        <f t="shared" si="60"/>
        <v>0.27999999999999997</v>
      </c>
      <c r="BX22" s="170">
        <f t="shared" si="61"/>
        <v>0.27999999999999997</v>
      </c>
      <c r="BY22" s="162">
        <f t="shared" si="11"/>
        <v>2.1385246621639449</v>
      </c>
      <c r="BZ22" s="171">
        <f t="shared" si="62"/>
        <v>2.1385246621639449</v>
      </c>
      <c r="CA22" s="162"/>
      <c r="CB22" s="162">
        <f t="shared" si="63"/>
        <v>0.27999999999999997</v>
      </c>
      <c r="CC22" s="170">
        <f t="shared" si="64"/>
        <v>0.27999999999999997</v>
      </c>
      <c r="CD22" s="162">
        <f t="shared" si="12"/>
        <v>2.1385246621639449</v>
      </c>
      <c r="CE22" s="171">
        <f t="shared" si="65"/>
        <v>2.1385246621639449</v>
      </c>
      <c r="CF22" s="162"/>
      <c r="CG22" s="172">
        <f t="shared" si="66"/>
        <v>0.27999999999999997</v>
      </c>
      <c r="CH22" s="172">
        <f t="shared" si="67"/>
        <v>0.27999999999999997</v>
      </c>
      <c r="CI22" s="172">
        <f t="shared" si="13"/>
        <v>2.1385246621639449</v>
      </c>
      <c r="CJ22" s="171">
        <f t="shared" si="68"/>
        <v>2.1385246621639449</v>
      </c>
      <c r="CK22" s="172"/>
      <c r="CL22" s="162">
        <f t="shared" si="69"/>
        <v>0.27999999999999997</v>
      </c>
      <c r="CM22" s="170">
        <f t="shared" si="70"/>
        <v>0.27999999999999997</v>
      </c>
      <c r="CN22" s="162">
        <f t="shared" si="14"/>
        <v>2.1385246621639449</v>
      </c>
      <c r="CO22" s="171">
        <f t="shared" si="71"/>
        <v>2.1385246621639449</v>
      </c>
      <c r="CP22" s="162"/>
      <c r="CQ22" s="162">
        <f t="shared" si="72"/>
        <v>0.27999999999999997</v>
      </c>
      <c r="CR22" s="170">
        <f t="shared" si="73"/>
        <v>0.27999999999999997</v>
      </c>
      <c r="CS22" s="162">
        <f t="shared" si="15"/>
        <v>2.1385246621639449</v>
      </c>
      <c r="CT22" s="171">
        <f t="shared" si="74"/>
        <v>2.1385246621639449</v>
      </c>
      <c r="CU22" s="162"/>
      <c r="CV22" s="162">
        <f t="shared" si="75"/>
        <v>0.27999999999999997</v>
      </c>
      <c r="CW22" s="162">
        <f t="shared" si="76"/>
        <v>0.27999999999999997</v>
      </c>
      <c r="CX22" s="162">
        <f t="shared" si="16"/>
        <v>2.1385246621639449</v>
      </c>
      <c r="CY22" s="171">
        <f t="shared" si="77"/>
        <v>2.1385246621639449</v>
      </c>
      <c r="CZ22" s="162"/>
      <c r="DA22" s="162">
        <f t="shared" si="78"/>
        <v>0.27999999999999997</v>
      </c>
      <c r="DB22" s="170">
        <f t="shared" si="79"/>
        <v>0.27999999999999997</v>
      </c>
      <c r="DC22" s="162">
        <f t="shared" si="17"/>
        <v>2.1385246621639449</v>
      </c>
      <c r="DD22" s="171">
        <f t="shared" si="80"/>
        <v>2.1385246621639449</v>
      </c>
      <c r="DE22" s="162"/>
      <c r="DF22" s="162">
        <f t="shared" si="81"/>
        <v>0.27999999999999997</v>
      </c>
      <c r="DG22" s="170">
        <f t="shared" si="82"/>
        <v>0.27999999999999997</v>
      </c>
      <c r="DH22" s="162">
        <f t="shared" si="18"/>
        <v>2.1385246621639449</v>
      </c>
      <c r="DI22" s="171">
        <f t="shared" si="83"/>
        <v>2.1385246621639449</v>
      </c>
      <c r="DJ22" s="162"/>
      <c r="DK22" s="162">
        <f t="shared" si="84"/>
        <v>0.27999999999999997</v>
      </c>
      <c r="DL22" s="162">
        <f t="shared" si="85"/>
        <v>0.27999999999999997</v>
      </c>
      <c r="DM22" s="162">
        <f t="shared" si="19"/>
        <v>2.1385246621639449</v>
      </c>
      <c r="DN22" s="171">
        <f t="shared" si="86"/>
        <v>2.1385246621639449</v>
      </c>
      <c r="DO22" s="162"/>
      <c r="DP22" s="162">
        <f t="shared" si="87"/>
        <v>0.27999999999999997</v>
      </c>
      <c r="DQ22" s="170">
        <f t="shared" si="88"/>
        <v>0.27999999999999997</v>
      </c>
      <c r="DR22" s="162">
        <f t="shared" si="20"/>
        <v>2.1385246621639449</v>
      </c>
      <c r="DS22" s="171">
        <f t="shared" si="89"/>
        <v>2.1385246621639449</v>
      </c>
      <c r="DT22" s="162"/>
      <c r="DU22" s="162">
        <f t="shared" si="90"/>
        <v>0.27999999999999997</v>
      </c>
      <c r="DV22" s="170">
        <f t="shared" si="91"/>
        <v>0.27999999999999997</v>
      </c>
      <c r="DW22" s="162">
        <f t="shared" si="21"/>
        <v>2.1385246621639449</v>
      </c>
      <c r="DX22" s="171">
        <f t="shared" si="92"/>
        <v>2.1385246621639449</v>
      </c>
      <c r="DY22" s="162"/>
      <c r="DZ22" s="162">
        <f t="shared" si="93"/>
        <v>0.27999999999999997</v>
      </c>
      <c r="EA22" s="162">
        <f t="shared" si="94"/>
        <v>0.27999999999999997</v>
      </c>
      <c r="EB22" s="162">
        <f t="shared" si="22"/>
        <v>2.1385246621639449</v>
      </c>
      <c r="EC22" s="171">
        <f t="shared" si="95"/>
        <v>2.1385246621639449</v>
      </c>
      <c r="ED22" s="162"/>
      <c r="EE22" s="162">
        <f t="shared" si="96"/>
        <v>0.27999999999999997</v>
      </c>
      <c r="EF22" s="170">
        <f t="shared" si="97"/>
        <v>0.27999999999999997</v>
      </c>
      <c r="EG22" s="162">
        <f t="shared" si="23"/>
        <v>2.1385246621639449</v>
      </c>
      <c r="EH22" s="171">
        <f t="shared" si="98"/>
        <v>2.1385246621639449</v>
      </c>
      <c r="EI22" s="162"/>
      <c r="EJ22" s="162">
        <f t="shared" si="99"/>
        <v>0.27999999999999997</v>
      </c>
      <c r="EK22" s="170">
        <f t="shared" si="100"/>
        <v>0.27999999999999997</v>
      </c>
      <c r="EL22" s="162">
        <f t="shared" si="24"/>
        <v>2.1385246621639449</v>
      </c>
      <c r="EM22" s="171">
        <f t="shared" si="101"/>
        <v>2.1385246621639449</v>
      </c>
      <c r="EN22" s="162"/>
      <c r="EO22" s="162">
        <f t="shared" si="102"/>
        <v>0.27999999999999997</v>
      </c>
      <c r="EP22" s="162">
        <f t="shared" si="103"/>
        <v>0.27999999999999997</v>
      </c>
      <c r="EQ22" s="162">
        <f t="shared" si="25"/>
        <v>2.1385246621639449</v>
      </c>
      <c r="ER22" s="171">
        <f t="shared" si="104"/>
        <v>2.1385246621639449</v>
      </c>
      <c r="ES22" s="162"/>
      <c r="ET22" s="162">
        <f t="shared" si="105"/>
        <v>0.27999999999999997</v>
      </c>
      <c r="EU22" s="170">
        <f t="shared" si="106"/>
        <v>0.27999999999999997</v>
      </c>
      <c r="EV22" s="162">
        <f t="shared" si="26"/>
        <v>2.1385246621639449</v>
      </c>
      <c r="EW22" s="171">
        <f t="shared" si="107"/>
        <v>2.1385246621639449</v>
      </c>
      <c r="EX22" s="162"/>
    </row>
    <row r="23" spans="3:154" s="181" customFormat="1" ht="15" customHeight="1" x14ac:dyDescent="0.25">
      <c r="C23" s="223" t="s">
        <v>357</v>
      </c>
      <c r="D23" s="224"/>
      <c r="E23" s="224"/>
      <c r="F23" s="224"/>
      <c r="G23" s="225"/>
      <c r="H23" s="160"/>
      <c r="I23" s="160"/>
      <c r="J23" s="160"/>
      <c r="K23" s="160"/>
      <c r="L23" s="160"/>
      <c r="M23" s="160"/>
      <c r="N23" s="160"/>
      <c r="O23" s="160"/>
      <c r="P23" s="160"/>
      <c r="Q23" s="160"/>
      <c r="R23" s="160"/>
      <c r="S23" s="160"/>
      <c r="T23" s="162">
        <f t="shared" si="27"/>
        <v>0.3</v>
      </c>
      <c r="U23" s="170">
        <f t="shared" si="28"/>
        <v>0.3</v>
      </c>
      <c r="V23" s="162">
        <f t="shared" si="0"/>
        <v>2.2566768640025163</v>
      </c>
      <c r="W23" s="171">
        <f t="shared" si="29"/>
        <v>2.2566768640025163</v>
      </c>
      <c r="X23" s="162"/>
      <c r="Y23" s="162">
        <f t="shared" si="30"/>
        <v>0.3</v>
      </c>
      <c r="Z23" s="162">
        <f t="shared" si="31"/>
        <v>0.3</v>
      </c>
      <c r="AA23" s="162">
        <f t="shared" si="1"/>
        <v>2.2566768640025163</v>
      </c>
      <c r="AB23" s="171">
        <f t="shared" si="32"/>
        <v>2.2566768640025163</v>
      </c>
      <c r="AC23" s="162"/>
      <c r="AD23" s="162">
        <f t="shared" si="33"/>
        <v>0.3</v>
      </c>
      <c r="AE23" s="170">
        <f t="shared" si="34"/>
        <v>0.3</v>
      </c>
      <c r="AF23" s="162">
        <f t="shared" si="2"/>
        <v>2.2566768640025163</v>
      </c>
      <c r="AG23" s="171">
        <f t="shared" si="35"/>
        <v>2.2566768640025163</v>
      </c>
      <c r="AH23" s="162"/>
      <c r="AI23" s="162">
        <f t="shared" si="36"/>
        <v>0.3</v>
      </c>
      <c r="AJ23" s="170">
        <f t="shared" si="37"/>
        <v>0.3</v>
      </c>
      <c r="AK23" s="162">
        <f t="shared" si="3"/>
        <v>2.2566768640025163</v>
      </c>
      <c r="AL23" s="171">
        <f t="shared" si="38"/>
        <v>2.2566768640025163</v>
      </c>
      <c r="AM23" s="162"/>
      <c r="AN23" s="162">
        <f t="shared" si="39"/>
        <v>0.3</v>
      </c>
      <c r="AO23" s="162">
        <f t="shared" si="40"/>
        <v>0.3</v>
      </c>
      <c r="AP23" s="162">
        <f t="shared" si="4"/>
        <v>2.2566768640025163</v>
      </c>
      <c r="AQ23" s="171">
        <f t="shared" si="41"/>
        <v>2.2566768640025163</v>
      </c>
      <c r="AR23" s="162"/>
      <c r="AS23" s="162">
        <f t="shared" si="42"/>
        <v>0.3</v>
      </c>
      <c r="AT23" s="170">
        <f t="shared" si="43"/>
        <v>0.3</v>
      </c>
      <c r="AU23" s="162">
        <f t="shared" si="5"/>
        <v>2.2566768640025163</v>
      </c>
      <c r="AV23" s="171">
        <f t="shared" si="44"/>
        <v>2.2566768640025163</v>
      </c>
      <c r="AW23" s="162"/>
      <c r="AX23" s="162">
        <f t="shared" si="45"/>
        <v>0.3</v>
      </c>
      <c r="AY23" s="170">
        <f t="shared" si="46"/>
        <v>0.3</v>
      </c>
      <c r="AZ23" s="162">
        <f t="shared" si="6"/>
        <v>2.2566768640025163</v>
      </c>
      <c r="BA23" s="171">
        <f t="shared" si="47"/>
        <v>2.2566768640025163</v>
      </c>
      <c r="BB23" s="162"/>
      <c r="BC23" s="162">
        <f t="shared" si="48"/>
        <v>0.3</v>
      </c>
      <c r="BD23" s="162">
        <f t="shared" si="49"/>
        <v>0.3</v>
      </c>
      <c r="BE23" s="162">
        <f t="shared" si="7"/>
        <v>2.2566768640025163</v>
      </c>
      <c r="BF23" s="171">
        <f t="shared" si="50"/>
        <v>2.2566768640025163</v>
      </c>
      <c r="BG23" s="162"/>
      <c r="BH23" s="162">
        <f t="shared" si="51"/>
        <v>0.3</v>
      </c>
      <c r="BI23" s="170">
        <f t="shared" si="52"/>
        <v>0.3</v>
      </c>
      <c r="BJ23" s="162">
        <f t="shared" si="8"/>
        <v>2.2566768640025163</v>
      </c>
      <c r="BK23" s="171">
        <f t="shared" si="53"/>
        <v>2.2566768640025163</v>
      </c>
      <c r="BL23" s="162"/>
      <c r="BM23" s="162">
        <f t="shared" si="54"/>
        <v>0.3</v>
      </c>
      <c r="BN23" s="170">
        <f t="shared" si="55"/>
        <v>0.3</v>
      </c>
      <c r="BO23" s="162">
        <f t="shared" si="9"/>
        <v>2.2566768640025163</v>
      </c>
      <c r="BP23" s="171">
        <f t="shared" si="56"/>
        <v>2.2566768640025163</v>
      </c>
      <c r="BQ23" s="162"/>
      <c r="BR23" s="162">
        <f t="shared" si="57"/>
        <v>0.3</v>
      </c>
      <c r="BS23" s="162">
        <f t="shared" si="58"/>
        <v>0.3</v>
      </c>
      <c r="BT23" s="162">
        <f t="shared" si="10"/>
        <v>2.2566768640025163</v>
      </c>
      <c r="BU23" s="171">
        <f t="shared" si="59"/>
        <v>2.2566768640025163</v>
      </c>
      <c r="BV23" s="162"/>
      <c r="BW23" s="162">
        <f t="shared" si="60"/>
        <v>0.3</v>
      </c>
      <c r="BX23" s="170">
        <f t="shared" si="61"/>
        <v>0.3</v>
      </c>
      <c r="BY23" s="162">
        <f t="shared" si="11"/>
        <v>2.2566768640025163</v>
      </c>
      <c r="BZ23" s="171">
        <f t="shared" si="62"/>
        <v>2.2566768640025163</v>
      </c>
      <c r="CA23" s="162"/>
      <c r="CB23" s="162">
        <f t="shared" si="63"/>
        <v>0.3</v>
      </c>
      <c r="CC23" s="170">
        <f t="shared" si="64"/>
        <v>0.3</v>
      </c>
      <c r="CD23" s="162">
        <f t="shared" si="12"/>
        <v>2.2566768640025163</v>
      </c>
      <c r="CE23" s="171">
        <f t="shared" si="65"/>
        <v>2.2566768640025163</v>
      </c>
      <c r="CF23" s="162"/>
      <c r="CG23" s="172">
        <f t="shared" si="66"/>
        <v>0.3</v>
      </c>
      <c r="CH23" s="172">
        <f t="shared" si="67"/>
        <v>0.3</v>
      </c>
      <c r="CI23" s="172">
        <f t="shared" si="13"/>
        <v>2.2566768640025163</v>
      </c>
      <c r="CJ23" s="171">
        <f t="shared" si="68"/>
        <v>2.2566768640025163</v>
      </c>
      <c r="CK23" s="172"/>
      <c r="CL23" s="162">
        <f t="shared" si="69"/>
        <v>0.3</v>
      </c>
      <c r="CM23" s="170">
        <f t="shared" si="70"/>
        <v>0.3</v>
      </c>
      <c r="CN23" s="162">
        <f t="shared" si="14"/>
        <v>2.2566768640025163</v>
      </c>
      <c r="CO23" s="171">
        <f t="shared" si="71"/>
        <v>2.2566768640025163</v>
      </c>
      <c r="CP23" s="162"/>
      <c r="CQ23" s="162">
        <f t="shared" si="72"/>
        <v>0.3</v>
      </c>
      <c r="CR23" s="170">
        <f t="shared" si="73"/>
        <v>0.3</v>
      </c>
      <c r="CS23" s="162">
        <f t="shared" si="15"/>
        <v>2.2566768640025163</v>
      </c>
      <c r="CT23" s="171">
        <f t="shared" si="74"/>
        <v>2.2566768640025163</v>
      </c>
      <c r="CU23" s="162"/>
      <c r="CV23" s="162">
        <f t="shared" si="75"/>
        <v>0.3</v>
      </c>
      <c r="CW23" s="162">
        <f t="shared" si="76"/>
        <v>0.3</v>
      </c>
      <c r="CX23" s="162">
        <f t="shared" si="16"/>
        <v>2.2566768640025163</v>
      </c>
      <c r="CY23" s="171">
        <f t="shared" si="77"/>
        <v>2.2566768640025163</v>
      </c>
      <c r="CZ23" s="162"/>
      <c r="DA23" s="162">
        <f t="shared" si="78"/>
        <v>0.3</v>
      </c>
      <c r="DB23" s="170">
        <f t="shared" si="79"/>
        <v>0.3</v>
      </c>
      <c r="DC23" s="162">
        <f t="shared" si="17"/>
        <v>2.2566768640025163</v>
      </c>
      <c r="DD23" s="171">
        <f t="shared" si="80"/>
        <v>2.2566768640025163</v>
      </c>
      <c r="DE23" s="162"/>
      <c r="DF23" s="162">
        <f t="shared" si="81"/>
        <v>0.3</v>
      </c>
      <c r="DG23" s="170">
        <f t="shared" si="82"/>
        <v>0.3</v>
      </c>
      <c r="DH23" s="162">
        <f t="shared" si="18"/>
        <v>2.2566768640025163</v>
      </c>
      <c r="DI23" s="171">
        <f t="shared" si="83"/>
        <v>2.2566768640025163</v>
      </c>
      <c r="DJ23" s="162"/>
      <c r="DK23" s="162">
        <f t="shared" si="84"/>
        <v>0.3</v>
      </c>
      <c r="DL23" s="162">
        <f t="shared" si="85"/>
        <v>0.3</v>
      </c>
      <c r="DM23" s="162">
        <f t="shared" si="19"/>
        <v>2.2566768640025163</v>
      </c>
      <c r="DN23" s="171">
        <f t="shared" si="86"/>
        <v>2.2566768640025163</v>
      </c>
      <c r="DO23" s="162"/>
      <c r="DP23" s="162">
        <f t="shared" si="87"/>
        <v>0.3</v>
      </c>
      <c r="DQ23" s="170">
        <f t="shared" si="88"/>
        <v>0.3</v>
      </c>
      <c r="DR23" s="162">
        <f t="shared" si="20"/>
        <v>2.2566768640025163</v>
      </c>
      <c r="DS23" s="171">
        <f t="shared" si="89"/>
        <v>2.2566768640025163</v>
      </c>
      <c r="DT23" s="162"/>
      <c r="DU23" s="162">
        <f t="shared" si="90"/>
        <v>0.3</v>
      </c>
      <c r="DV23" s="170">
        <f t="shared" si="91"/>
        <v>0.3</v>
      </c>
      <c r="DW23" s="162">
        <f t="shared" si="21"/>
        <v>2.2566768640025163</v>
      </c>
      <c r="DX23" s="171">
        <f t="shared" si="92"/>
        <v>2.2566768640025163</v>
      </c>
      <c r="DY23" s="162"/>
      <c r="DZ23" s="162">
        <f t="shared" si="93"/>
        <v>0.3</v>
      </c>
      <c r="EA23" s="162">
        <f t="shared" si="94"/>
        <v>0.3</v>
      </c>
      <c r="EB23" s="162">
        <f t="shared" si="22"/>
        <v>2.2566768640025163</v>
      </c>
      <c r="EC23" s="171">
        <f t="shared" si="95"/>
        <v>2.2566768640025163</v>
      </c>
      <c r="ED23" s="162"/>
      <c r="EE23" s="162">
        <f t="shared" si="96"/>
        <v>0.3</v>
      </c>
      <c r="EF23" s="170">
        <f t="shared" si="97"/>
        <v>0.3</v>
      </c>
      <c r="EG23" s="162">
        <f t="shared" si="23"/>
        <v>2.2566768640025163</v>
      </c>
      <c r="EH23" s="171">
        <f t="shared" si="98"/>
        <v>2.2566768640025163</v>
      </c>
      <c r="EI23" s="162"/>
      <c r="EJ23" s="162">
        <f t="shared" si="99"/>
        <v>0.3</v>
      </c>
      <c r="EK23" s="170">
        <f t="shared" si="100"/>
        <v>0.3</v>
      </c>
      <c r="EL23" s="162">
        <f t="shared" si="24"/>
        <v>2.2566768640025163</v>
      </c>
      <c r="EM23" s="171">
        <f t="shared" si="101"/>
        <v>2.2566768640025163</v>
      </c>
      <c r="EN23" s="162"/>
      <c r="EO23" s="162">
        <f t="shared" si="102"/>
        <v>0.3</v>
      </c>
      <c r="EP23" s="162">
        <f t="shared" si="103"/>
        <v>0.3</v>
      </c>
      <c r="EQ23" s="162">
        <f t="shared" si="25"/>
        <v>2.2566768640025163</v>
      </c>
      <c r="ER23" s="171">
        <f t="shared" si="104"/>
        <v>2.2566768640025163</v>
      </c>
      <c r="ES23" s="162"/>
      <c r="ET23" s="162">
        <f t="shared" si="105"/>
        <v>0.3</v>
      </c>
      <c r="EU23" s="170">
        <f t="shared" si="106"/>
        <v>0.3</v>
      </c>
      <c r="EV23" s="162">
        <f t="shared" si="26"/>
        <v>2.2566768640025163</v>
      </c>
      <c r="EW23" s="171">
        <f t="shared" si="107"/>
        <v>2.2566768640025163</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0.32</v>
      </c>
      <c r="U24" s="170">
        <f t="shared" si="28"/>
        <v>0.32</v>
      </c>
      <c r="V24" s="162">
        <f t="shared" si="0"/>
        <v>2.3721205531132408</v>
      </c>
      <c r="W24" s="171">
        <f t="shared" si="29"/>
        <v>2.3721205531132408</v>
      </c>
      <c r="X24" s="162"/>
      <c r="Y24" s="162">
        <f t="shared" si="30"/>
        <v>0.32</v>
      </c>
      <c r="Z24" s="162">
        <f t="shared" si="31"/>
        <v>0.32</v>
      </c>
      <c r="AA24" s="162">
        <f t="shared" si="1"/>
        <v>2.3721205531132408</v>
      </c>
      <c r="AB24" s="171">
        <f t="shared" si="32"/>
        <v>2.3721205531132408</v>
      </c>
      <c r="AC24" s="162"/>
      <c r="AD24" s="162">
        <f t="shared" si="33"/>
        <v>0.32</v>
      </c>
      <c r="AE24" s="170">
        <f t="shared" si="34"/>
        <v>0.32</v>
      </c>
      <c r="AF24" s="162">
        <f t="shared" si="2"/>
        <v>2.3721205531132408</v>
      </c>
      <c r="AG24" s="171">
        <f t="shared" si="35"/>
        <v>2.3721205531132408</v>
      </c>
      <c r="AH24" s="162"/>
      <c r="AI24" s="162">
        <f t="shared" si="36"/>
        <v>0.32</v>
      </c>
      <c r="AJ24" s="170">
        <f t="shared" si="37"/>
        <v>0.32</v>
      </c>
      <c r="AK24" s="162">
        <f t="shared" si="3"/>
        <v>2.3721205531132408</v>
      </c>
      <c r="AL24" s="171">
        <f t="shared" si="38"/>
        <v>2.3721205531132408</v>
      </c>
      <c r="AM24" s="162"/>
      <c r="AN24" s="162">
        <f t="shared" si="39"/>
        <v>0.32</v>
      </c>
      <c r="AO24" s="162">
        <f t="shared" si="40"/>
        <v>0.32</v>
      </c>
      <c r="AP24" s="162">
        <f t="shared" si="4"/>
        <v>2.3721205531132408</v>
      </c>
      <c r="AQ24" s="171">
        <f t="shared" si="41"/>
        <v>2.3721205531132408</v>
      </c>
      <c r="AR24" s="162"/>
      <c r="AS24" s="162">
        <f t="shared" si="42"/>
        <v>0.32</v>
      </c>
      <c r="AT24" s="170">
        <f t="shared" si="43"/>
        <v>0.32</v>
      </c>
      <c r="AU24" s="162">
        <f t="shared" si="5"/>
        <v>2.3721205531132408</v>
      </c>
      <c r="AV24" s="171">
        <f t="shared" si="44"/>
        <v>2.3721205531132408</v>
      </c>
      <c r="AW24" s="162"/>
      <c r="AX24" s="162">
        <f t="shared" si="45"/>
        <v>0.32</v>
      </c>
      <c r="AY24" s="170">
        <f t="shared" si="46"/>
        <v>0.32</v>
      </c>
      <c r="AZ24" s="162">
        <f t="shared" si="6"/>
        <v>2.3721205531132408</v>
      </c>
      <c r="BA24" s="171">
        <f t="shared" si="47"/>
        <v>2.3721205531132408</v>
      </c>
      <c r="BB24" s="162"/>
      <c r="BC24" s="162">
        <f t="shared" si="48"/>
        <v>0.32</v>
      </c>
      <c r="BD24" s="162">
        <f t="shared" si="49"/>
        <v>0.32</v>
      </c>
      <c r="BE24" s="162">
        <f t="shared" si="7"/>
        <v>2.3721205531132408</v>
      </c>
      <c r="BF24" s="171">
        <f t="shared" si="50"/>
        <v>2.3721205531132408</v>
      </c>
      <c r="BG24" s="162"/>
      <c r="BH24" s="162">
        <f t="shared" si="51"/>
        <v>0.32</v>
      </c>
      <c r="BI24" s="170">
        <f t="shared" si="52"/>
        <v>0.32</v>
      </c>
      <c r="BJ24" s="162">
        <f t="shared" si="8"/>
        <v>2.3721205531132408</v>
      </c>
      <c r="BK24" s="171">
        <f t="shared" si="53"/>
        <v>2.3721205531132408</v>
      </c>
      <c r="BL24" s="162"/>
      <c r="BM24" s="162">
        <f t="shared" si="54"/>
        <v>0.32</v>
      </c>
      <c r="BN24" s="170">
        <f t="shared" si="55"/>
        <v>0.32</v>
      </c>
      <c r="BO24" s="162">
        <f t="shared" si="9"/>
        <v>2.3721205531132408</v>
      </c>
      <c r="BP24" s="171">
        <f t="shared" si="56"/>
        <v>2.3721205531132408</v>
      </c>
      <c r="BQ24" s="162"/>
      <c r="BR24" s="162">
        <f t="shared" si="57"/>
        <v>0.32</v>
      </c>
      <c r="BS24" s="162">
        <f t="shared" si="58"/>
        <v>0.32</v>
      </c>
      <c r="BT24" s="162">
        <f t="shared" si="10"/>
        <v>2.3721205531132408</v>
      </c>
      <c r="BU24" s="171">
        <f t="shared" si="59"/>
        <v>2.3721205531132408</v>
      </c>
      <c r="BV24" s="162"/>
      <c r="BW24" s="162">
        <f t="shared" si="60"/>
        <v>0.32</v>
      </c>
      <c r="BX24" s="170">
        <f t="shared" si="61"/>
        <v>0.32</v>
      </c>
      <c r="BY24" s="162">
        <f t="shared" si="11"/>
        <v>2.3721205531132408</v>
      </c>
      <c r="BZ24" s="171">
        <f t="shared" si="62"/>
        <v>2.3721205531132408</v>
      </c>
      <c r="CA24" s="162"/>
      <c r="CB24" s="162">
        <f t="shared" si="63"/>
        <v>0.32</v>
      </c>
      <c r="CC24" s="170">
        <f t="shared" si="64"/>
        <v>0.32</v>
      </c>
      <c r="CD24" s="162">
        <f t="shared" si="12"/>
        <v>2.3721205531132408</v>
      </c>
      <c r="CE24" s="171">
        <f t="shared" si="65"/>
        <v>2.3721205531132408</v>
      </c>
      <c r="CF24" s="162"/>
      <c r="CG24" s="172">
        <f t="shared" si="66"/>
        <v>0.32</v>
      </c>
      <c r="CH24" s="172">
        <f t="shared" si="67"/>
        <v>0.32</v>
      </c>
      <c r="CI24" s="172">
        <f t="shared" si="13"/>
        <v>2.3721205531132408</v>
      </c>
      <c r="CJ24" s="171">
        <f t="shared" si="68"/>
        <v>2.3721205531132408</v>
      </c>
      <c r="CK24" s="172"/>
      <c r="CL24" s="162">
        <f t="shared" si="69"/>
        <v>0.32</v>
      </c>
      <c r="CM24" s="170">
        <f t="shared" si="70"/>
        <v>0.32</v>
      </c>
      <c r="CN24" s="162">
        <f t="shared" si="14"/>
        <v>2.3721205531132408</v>
      </c>
      <c r="CO24" s="171">
        <f t="shared" si="71"/>
        <v>2.3721205531132408</v>
      </c>
      <c r="CP24" s="162"/>
      <c r="CQ24" s="162">
        <f t="shared" si="72"/>
        <v>0.32</v>
      </c>
      <c r="CR24" s="170">
        <f t="shared" si="73"/>
        <v>0.32</v>
      </c>
      <c r="CS24" s="162">
        <f t="shared" si="15"/>
        <v>2.3721205531132408</v>
      </c>
      <c r="CT24" s="171">
        <f t="shared" si="74"/>
        <v>2.3721205531132408</v>
      </c>
      <c r="CU24" s="162"/>
      <c r="CV24" s="162">
        <f t="shared" si="75"/>
        <v>0.32</v>
      </c>
      <c r="CW24" s="162">
        <f t="shared" si="76"/>
        <v>0.32</v>
      </c>
      <c r="CX24" s="162">
        <f t="shared" si="16"/>
        <v>2.3721205531132408</v>
      </c>
      <c r="CY24" s="171">
        <f t="shared" si="77"/>
        <v>2.3721205531132408</v>
      </c>
      <c r="CZ24" s="162"/>
      <c r="DA24" s="162">
        <f t="shared" si="78"/>
        <v>0.32</v>
      </c>
      <c r="DB24" s="170">
        <f t="shared" si="79"/>
        <v>0.32</v>
      </c>
      <c r="DC24" s="162">
        <f t="shared" si="17"/>
        <v>2.3721205531132408</v>
      </c>
      <c r="DD24" s="171">
        <f t="shared" si="80"/>
        <v>2.3721205531132408</v>
      </c>
      <c r="DE24" s="162"/>
      <c r="DF24" s="162">
        <f t="shared" si="81"/>
        <v>0.32</v>
      </c>
      <c r="DG24" s="170">
        <f t="shared" si="82"/>
        <v>0.32</v>
      </c>
      <c r="DH24" s="162">
        <f t="shared" si="18"/>
        <v>2.3721205531132408</v>
      </c>
      <c r="DI24" s="171">
        <f t="shared" si="83"/>
        <v>2.3721205531132408</v>
      </c>
      <c r="DJ24" s="162"/>
      <c r="DK24" s="162">
        <f t="shared" si="84"/>
        <v>0.32</v>
      </c>
      <c r="DL24" s="162">
        <f t="shared" si="85"/>
        <v>0.32</v>
      </c>
      <c r="DM24" s="162">
        <f t="shared" si="19"/>
        <v>2.3721205531132408</v>
      </c>
      <c r="DN24" s="171">
        <f t="shared" si="86"/>
        <v>2.3721205531132408</v>
      </c>
      <c r="DO24" s="162"/>
      <c r="DP24" s="162">
        <f t="shared" si="87"/>
        <v>0.32</v>
      </c>
      <c r="DQ24" s="170">
        <f t="shared" si="88"/>
        <v>0.32</v>
      </c>
      <c r="DR24" s="162">
        <f t="shared" si="20"/>
        <v>2.3721205531132408</v>
      </c>
      <c r="DS24" s="171">
        <f t="shared" si="89"/>
        <v>2.3721205531132408</v>
      </c>
      <c r="DT24" s="162"/>
      <c r="DU24" s="162">
        <f t="shared" si="90"/>
        <v>0.32</v>
      </c>
      <c r="DV24" s="170">
        <f t="shared" si="91"/>
        <v>0.32</v>
      </c>
      <c r="DW24" s="162">
        <f t="shared" si="21"/>
        <v>2.3721205531132408</v>
      </c>
      <c r="DX24" s="171">
        <f t="shared" si="92"/>
        <v>2.3721205531132408</v>
      </c>
      <c r="DY24" s="162"/>
      <c r="DZ24" s="162">
        <f t="shared" si="93"/>
        <v>0.32</v>
      </c>
      <c r="EA24" s="162">
        <f t="shared" si="94"/>
        <v>0.32</v>
      </c>
      <c r="EB24" s="162">
        <f t="shared" si="22"/>
        <v>2.3721205531132408</v>
      </c>
      <c r="EC24" s="171">
        <f t="shared" si="95"/>
        <v>2.3721205531132408</v>
      </c>
      <c r="ED24" s="162"/>
      <c r="EE24" s="162">
        <f t="shared" si="96"/>
        <v>0.32</v>
      </c>
      <c r="EF24" s="170">
        <f t="shared" si="97"/>
        <v>0.32</v>
      </c>
      <c r="EG24" s="162">
        <f t="shared" si="23"/>
        <v>2.3721205531132408</v>
      </c>
      <c r="EH24" s="171">
        <f t="shared" si="98"/>
        <v>2.3721205531132408</v>
      </c>
      <c r="EI24" s="162"/>
      <c r="EJ24" s="162">
        <f t="shared" si="99"/>
        <v>0.32</v>
      </c>
      <c r="EK24" s="170">
        <f t="shared" si="100"/>
        <v>0.32</v>
      </c>
      <c r="EL24" s="162">
        <f t="shared" si="24"/>
        <v>2.3721205531132408</v>
      </c>
      <c r="EM24" s="171">
        <f t="shared" si="101"/>
        <v>2.3721205531132408</v>
      </c>
      <c r="EN24" s="162"/>
      <c r="EO24" s="162">
        <f t="shared" si="102"/>
        <v>0.32</v>
      </c>
      <c r="EP24" s="162">
        <f t="shared" si="103"/>
        <v>0.32</v>
      </c>
      <c r="EQ24" s="162">
        <f t="shared" si="25"/>
        <v>2.3721205531132408</v>
      </c>
      <c r="ER24" s="171">
        <f t="shared" si="104"/>
        <v>2.3721205531132408</v>
      </c>
      <c r="ES24" s="162"/>
      <c r="ET24" s="162">
        <f t="shared" si="105"/>
        <v>0.32</v>
      </c>
      <c r="EU24" s="170">
        <f t="shared" si="106"/>
        <v>0.32</v>
      </c>
      <c r="EV24" s="162">
        <f t="shared" si="26"/>
        <v>2.3721205531132408</v>
      </c>
      <c r="EW24" s="171">
        <f t="shared" si="107"/>
        <v>2.3721205531132408</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0.34</v>
      </c>
      <c r="U25" s="170">
        <f t="shared" si="28"/>
        <v>0.34</v>
      </c>
      <c r="V25" s="162">
        <f t="shared" si="0"/>
        <v>2.4848557294961182</v>
      </c>
      <c r="W25" s="171">
        <f t="shared" si="29"/>
        <v>2.4848557294961182</v>
      </c>
      <c r="X25" s="162"/>
      <c r="Y25" s="162">
        <f t="shared" si="30"/>
        <v>0.34</v>
      </c>
      <c r="Z25" s="162">
        <f t="shared" si="31"/>
        <v>0.34</v>
      </c>
      <c r="AA25" s="162">
        <f t="shared" si="1"/>
        <v>2.4848557294961182</v>
      </c>
      <c r="AB25" s="171">
        <f t="shared" si="32"/>
        <v>2.4848557294961182</v>
      </c>
      <c r="AC25" s="162"/>
      <c r="AD25" s="162">
        <f t="shared" si="33"/>
        <v>0.34</v>
      </c>
      <c r="AE25" s="170">
        <f t="shared" si="34"/>
        <v>0.34</v>
      </c>
      <c r="AF25" s="162">
        <f t="shared" si="2"/>
        <v>2.4848557294961182</v>
      </c>
      <c r="AG25" s="171">
        <f t="shared" si="35"/>
        <v>2.4848557294961182</v>
      </c>
      <c r="AH25" s="162"/>
      <c r="AI25" s="162">
        <f t="shared" si="36"/>
        <v>0.34</v>
      </c>
      <c r="AJ25" s="170">
        <f t="shared" si="37"/>
        <v>0.34</v>
      </c>
      <c r="AK25" s="162">
        <f t="shared" si="3"/>
        <v>2.4848557294961182</v>
      </c>
      <c r="AL25" s="171">
        <f t="shared" si="38"/>
        <v>2.4848557294961182</v>
      </c>
      <c r="AM25" s="162"/>
      <c r="AN25" s="162">
        <f t="shared" si="39"/>
        <v>0.34</v>
      </c>
      <c r="AO25" s="162">
        <f t="shared" si="40"/>
        <v>0.34</v>
      </c>
      <c r="AP25" s="162">
        <f t="shared" si="4"/>
        <v>2.4848557294961182</v>
      </c>
      <c r="AQ25" s="171">
        <f t="shared" si="41"/>
        <v>2.4848557294961182</v>
      </c>
      <c r="AR25" s="162"/>
      <c r="AS25" s="162">
        <f t="shared" si="42"/>
        <v>0.34</v>
      </c>
      <c r="AT25" s="170">
        <f t="shared" si="43"/>
        <v>0.34</v>
      </c>
      <c r="AU25" s="162">
        <f t="shared" si="5"/>
        <v>2.4848557294961182</v>
      </c>
      <c r="AV25" s="171">
        <f t="shared" si="44"/>
        <v>2.4848557294961182</v>
      </c>
      <c r="AW25" s="162"/>
      <c r="AX25" s="162">
        <f t="shared" si="45"/>
        <v>0.34</v>
      </c>
      <c r="AY25" s="170">
        <f t="shared" si="46"/>
        <v>0.34</v>
      </c>
      <c r="AZ25" s="162">
        <f t="shared" si="6"/>
        <v>2.4848557294961182</v>
      </c>
      <c r="BA25" s="171">
        <f t="shared" si="47"/>
        <v>2.4848557294961182</v>
      </c>
      <c r="BB25" s="162"/>
      <c r="BC25" s="162">
        <f t="shared" si="48"/>
        <v>0.34</v>
      </c>
      <c r="BD25" s="162">
        <f t="shared" si="49"/>
        <v>0.34</v>
      </c>
      <c r="BE25" s="162">
        <f t="shared" si="7"/>
        <v>2.4848557294961182</v>
      </c>
      <c r="BF25" s="171">
        <f t="shared" si="50"/>
        <v>2.4848557294961182</v>
      </c>
      <c r="BG25" s="162"/>
      <c r="BH25" s="162">
        <f t="shared" si="51"/>
        <v>0.34</v>
      </c>
      <c r="BI25" s="170">
        <f t="shared" si="52"/>
        <v>0.34</v>
      </c>
      <c r="BJ25" s="162">
        <f t="shared" si="8"/>
        <v>2.4848557294961182</v>
      </c>
      <c r="BK25" s="171">
        <f t="shared" si="53"/>
        <v>2.4848557294961182</v>
      </c>
      <c r="BL25" s="162"/>
      <c r="BM25" s="162">
        <f t="shared" si="54"/>
        <v>0.34</v>
      </c>
      <c r="BN25" s="170">
        <f t="shared" si="55"/>
        <v>0.34</v>
      </c>
      <c r="BO25" s="162">
        <f t="shared" si="9"/>
        <v>2.4848557294961182</v>
      </c>
      <c r="BP25" s="171">
        <f t="shared" si="56"/>
        <v>2.4848557294961182</v>
      </c>
      <c r="BQ25" s="162"/>
      <c r="BR25" s="162">
        <f t="shared" si="57"/>
        <v>0.34</v>
      </c>
      <c r="BS25" s="162">
        <f t="shared" si="58"/>
        <v>0.34</v>
      </c>
      <c r="BT25" s="162">
        <f t="shared" si="10"/>
        <v>2.4848557294961182</v>
      </c>
      <c r="BU25" s="171">
        <f t="shared" si="59"/>
        <v>2.4848557294961182</v>
      </c>
      <c r="BV25" s="162"/>
      <c r="BW25" s="162">
        <f t="shared" si="60"/>
        <v>0.34</v>
      </c>
      <c r="BX25" s="170">
        <f t="shared" si="61"/>
        <v>0.34</v>
      </c>
      <c r="BY25" s="162">
        <f t="shared" si="11"/>
        <v>2.4848557294961182</v>
      </c>
      <c r="BZ25" s="171">
        <f t="shared" si="62"/>
        <v>2.4848557294961182</v>
      </c>
      <c r="CA25" s="162"/>
      <c r="CB25" s="162">
        <f t="shared" si="63"/>
        <v>0.34</v>
      </c>
      <c r="CC25" s="170">
        <f t="shared" si="64"/>
        <v>0.34</v>
      </c>
      <c r="CD25" s="162">
        <f t="shared" si="12"/>
        <v>2.4848557294961182</v>
      </c>
      <c r="CE25" s="171">
        <f t="shared" si="65"/>
        <v>2.4848557294961182</v>
      </c>
      <c r="CF25" s="162"/>
      <c r="CG25" s="172">
        <f t="shared" si="66"/>
        <v>0.34</v>
      </c>
      <c r="CH25" s="172">
        <f t="shared" si="67"/>
        <v>0.34</v>
      </c>
      <c r="CI25" s="172">
        <f t="shared" si="13"/>
        <v>2.4848557294961182</v>
      </c>
      <c r="CJ25" s="171">
        <f t="shared" si="68"/>
        <v>2.4848557294961182</v>
      </c>
      <c r="CK25" s="172"/>
      <c r="CL25" s="162">
        <f t="shared" si="69"/>
        <v>0.34</v>
      </c>
      <c r="CM25" s="170">
        <f t="shared" si="70"/>
        <v>0.34</v>
      </c>
      <c r="CN25" s="162">
        <f t="shared" si="14"/>
        <v>2.4848557294961182</v>
      </c>
      <c r="CO25" s="171">
        <f t="shared" si="71"/>
        <v>2.4848557294961182</v>
      </c>
      <c r="CP25" s="162"/>
      <c r="CQ25" s="162">
        <f t="shared" si="72"/>
        <v>0.34</v>
      </c>
      <c r="CR25" s="170">
        <f t="shared" si="73"/>
        <v>0.34</v>
      </c>
      <c r="CS25" s="162">
        <f t="shared" si="15"/>
        <v>2.4848557294961182</v>
      </c>
      <c r="CT25" s="171">
        <f t="shared" si="74"/>
        <v>2.4848557294961182</v>
      </c>
      <c r="CU25" s="162"/>
      <c r="CV25" s="162">
        <f t="shared" si="75"/>
        <v>0.34</v>
      </c>
      <c r="CW25" s="162">
        <f t="shared" si="76"/>
        <v>0.34</v>
      </c>
      <c r="CX25" s="162">
        <f t="shared" si="16"/>
        <v>2.4848557294961182</v>
      </c>
      <c r="CY25" s="171">
        <f t="shared" si="77"/>
        <v>2.4848557294961182</v>
      </c>
      <c r="CZ25" s="162"/>
      <c r="DA25" s="162">
        <f t="shared" si="78"/>
        <v>0.34</v>
      </c>
      <c r="DB25" s="170">
        <f t="shared" si="79"/>
        <v>0.34</v>
      </c>
      <c r="DC25" s="162">
        <f t="shared" si="17"/>
        <v>2.4848557294961182</v>
      </c>
      <c r="DD25" s="171">
        <f t="shared" si="80"/>
        <v>2.4848557294961182</v>
      </c>
      <c r="DE25" s="162"/>
      <c r="DF25" s="162">
        <f t="shared" si="81"/>
        <v>0.34</v>
      </c>
      <c r="DG25" s="170">
        <f t="shared" si="82"/>
        <v>0.34</v>
      </c>
      <c r="DH25" s="162">
        <f t="shared" si="18"/>
        <v>2.4848557294961182</v>
      </c>
      <c r="DI25" s="171">
        <f t="shared" si="83"/>
        <v>2.4848557294961182</v>
      </c>
      <c r="DJ25" s="162"/>
      <c r="DK25" s="162">
        <f t="shared" si="84"/>
        <v>0.34</v>
      </c>
      <c r="DL25" s="162">
        <f t="shared" si="85"/>
        <v>0.34</v>
      </c>
      <c r="DM25" s="162">
        <f t="shared" si="19"/>
        <v>2.4848557294961182</v>
      </c>
      <c r="DN25" s="171">
        <f t="shared" si="86"/>
        <v>2.4848557294961182</v>
      </c>
      <c r="DO25" s="162"/>
      <c r="DP25" s="162">
        <f t="shared" si="87"/>
        <v>0.34</v>
      </c>
      <c r="DQ25" s="170">
        <f t="shared" si="88"/>
        <v>0.34</v>
      </c>
      <c r="DR25" s="162">
        <f t="shared" si="20"/>
        <v>2.4848557294961182</v>
      </c>
      <c r="DS25" s="171">
        <f t="shared" si="89"/>
        <v>2.4848557294961182</v>
      </c>
      <c r="DT25" s="162"/>
      <c r="DU25" s="162">
        <f t="shared" si="90"/>
        <v>0.34</v>
      </c>
      <c r="DV25" s="170">
        <f t="shared" si="91"/>
        <v>0.34</v>
      </c>
      <c r="DW25" s="162">
        <f t="shared" si="21"/>
        <v>2.4848557294961182</v>
      </c>
      <c r="DX25" s="171">
        <f t="shared" si="92"/>
        <v>2.4848557294961182</v>
      </c>
      <c r="DY25" s="162"/>
      <c r="DZ25" s="162">
        <f t="shared" si="93"/>
        <v>0.34</v>
      </c>
      <c r="EA25" s="162">
        <f t="shared" si="94"/>
        <v>0.34</v>
      </c>
      <c r="EB25" s="162">
        <f t="shared" si="22"/>
        <v>2.4848557294961182</v>
      </c>
      <c r="EC25" s="171">
        <f t="shared" si="95"/>
        <v>2.4848557294961182</v>
      </c>
      <c r="ED25" s="162"/>
      <c r="EE25" s="162">
        <f t="shared" si="96"/>
        <v>0.34</v>
      </c>
      <c r="EF25" s="170">
        <f t="shared" si="97"/>
        <v>0.34</v>
      </c>
      <c r="EG25" s="162">
        <f t="shared" si="23"/>
        <v>2.4848557294961182</v>
      </c>
      <c r="EH25" s="171">
        <f t="shared" si="98"/>
        <v>2.4848557294961182</v>
      </c>
      <c r="EI25" s="162"/>
      <c r="EJ25" s="162">
        <f t="shared" si="99"/>
        <v>0.34</v>
      </c>
      <c r="EK25" s="170">
        <f t="shared" si="100"/>
        <v>0.34</v>
      </c>
      <c r="EL25" s="162">
        <f t="shared" si="24"/>
        <v>2.4848557294961182</v>
      </c>
      <c r="EM25" s="171">
        <f t="shared" si="101"/>
        <v>2.4848557294961182</v>
      </c>
      <c r="EN25" s="162"/>
      <c r="EO25" s="162">
        <f t="shared" si="102"/>
        <v>0.34</v>
      </c>
      <c r="EP25" s="162">
        <f t="shared" si="103"/>
        <v>0.34</v>
      </c>
      <c r="EQ25" s="162">
        <f t="shared" si="25"/>
        <v>2.4848557294961182</v>
      </c>
      <c r="ER25" s="171">
        <f t="shared" si="104"/>
        <v>2.4848557294961182</v>
      </c>
      <c r="ES25" s="162"/>
      <c r="ET25" s="162">
        <f t="shared" si="105"/>
        <v>0.34</v>
      </c>
      <c r="EU25" s="170">
        <f t="shared" si="106"/>
        <v>0.34</v>
      </c>
      <c r="EV25" s="162">
        <f t="shared" si="26"/>
        <v>2.4848557294961182</v>
      </c>
      <c r="EW25" s="171">
        <f t="shared" si="107"/>
        <v>2.4848557294961182</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0.36000000000000004</v>
      </c>
      <c r="U26" s="170">
        <f t="shared" si="28"/>
        <v>0.36000000000000004</v>
      </c>
      <c r="V26" s="162">
        <f t="shared" si="0"/>
        <v>2.5948823931511487</v>
      </c>
      <c r="W26" s="171">
        <f t="shared" si="29"/>
        <v>2.5948823931511487</v>
      </c>
      <c r="X26" s="162"/>
      <c r="Y26" s="162">
        <f t="shared" si="30"/>
        <v>0.36000000000000004</v>
      </c>
      <c r="Z26" s="162">
        <f t="shared" si="31"/>
        <v>0.36000000000000004</v>
      </c>
      <c r="AA26" s="162">
        <f t="shared" si="1"/>
        <v>2.5948823931511487</v>
      </c>
      <c r="AB26" s="171">
        <f t="shared" si="32"/>
        <v>2.5948823931511487</v>
      </c>
      <c r="AC26" s="162"/>
      <c r="AD26" s="162">
        <f t="shared" si="33"/>
        <v>0.36000000000000004</v>
      </c>
      <c r="AE26" s="170">
        <f t="shared" si="34"/>
        <v>0.36000000000000004</v>
      </c>
      <c r="AF26" s="162">
        <f t="shared" si="2"/>
        <v>2.5948823931511487</v>
      </c>
      <c r="AG26" s="171">
        <f t="shared" si="35"/>
        <v>2.5948823931511487</v>
      </c>
      <c r="AH26" s="162"/>
      <c r="AI26" s="162">
        <f t="shared" si="36"/>
        <v>0.36000000000000004</v>
      </c>
      <c r="AJ26" s="170">
        <f t="shared" si="37"/>
        <v>0.36000000000000004</v>
      </c>
      <c r="AK26" s="162">
        <f t="shared" si="3"/>
        <v>2.5948823931511487</v>
      </c>
      <c r="AL26" s="171">
        <f t="shared" si="38"/>
        <v>2.5948823931511487</v>
      </c>
      <c r="AM26" s="162"/>
      <c r="AN26" s="162">
        <f t="shared" si="39"/>
        <v>0.36000000000000004</v>
      </c>
      <c r="AO26" s="162">
        <f t="shared" si="40"/>
        <v>0.36000000000000004</v>
      </c>
      <c r="AP26" s="162">
        <f t="shared" si="4"/>
        <v>2.5948823931511487</v>
      </c>
      <c r="AQ26" s="171">
        <f t="shared" si="41"/>
        <v>2.5948823931511487</v>
      </c>
      <c r="AR26" s="162"/>
      <c r="AS26" s="162">
        <f t="shared" si="42"/>
        <v>0.36000000000000004</v>
      </c>
      <c r="AT26" s="170">
        <f t="shared" si="43"/>
        <v>0.36000000000000004</v>
      </c>
      <c r="AU26" s="162">
        <f t="shared" si="5"/>
        <v>2.5948823931511487</v>
      </c>
      <c r="AV26" s="171">
        <f t="shared" si="44"/>
        <v>2.5948823931511487</v>
      </c>
      <c r="AW26" s="162"/>
      <c r="AX26" s="162">
        <f t="shared" si="45"/>
        <v>0.36000000000000004</v>
      </c>
      <c r="AY26" s="170">
        <f t="shared" si="46"/>
        <v>0.36000000000000004</v>
      </c>
      <c r="AZ26" s="162">
        <f t="shared" si="6"/>
        <v>2.5948823931511487</v>
      </c>
      <c r="BA26" s="171">
        <f t="shared" si="47"/>
        <v>2.5948823931511487</v>
      </c>
      <c r="BB26" s="162"/>
      <c r="BC26" s="162">
        <f t="shared" si="48"/>
        <v>0.36000000000000004</v>
      </c>
      <c r="BD26" s="162">
        <f t="shared" si="49"/>
        <v>0.36000000000000004</v>
      </c>
      <c r="BE26" s="162">
        <f t="shared" si="7"/>
        <v>2.5948823931511487</v>
      </c>
      <c r="BF26" s="171">
        <f t="shared" si="50"/>
        <v>2.5948823931511487</v>
      </c>
      <c r="BG26" s="162"/>
      <c r="BH26" s="162">
        <f t="shared" si="51"/>
        <v>0.36000000000000004</v>
      </c>
      <c r="BI26" s="170">
        <f t="shared" si="52"/>
        <v>0.36000000000000004</v>
      </c>
      <c r="BJ26" s="162">
        <f t="shared" si="8"/>
        <v>2.5948823931511487</v>
      </c>
      <c r="BK26" s="171">
        <f t="shared" si="53"/>
        <v>2.5948823931511487</v>
      </c>
      <c r="BL26" s="162"/>
      <c r="BM26" s="162">
        <f t="shared" si="54"/>
        <v>0.36000000000000004</v>
      </c>
      <c r="BN26" s="170">
        <f t="shared" si="55"/>
        <v>0.36000000000000004</v>
      </c>
      <c r="BO26" s="162">
        <f t="shared" si="9"/>
        <v>2.5948823931511487</v>
      </c>
      <c r="BP26" s="171">
        <f t="shared" si="56"/>
        <v>2.5948823931511487</v>
      </c>
      <c r="BQ26" s="162"/>
      <c r="BR26" s="162">
        <f t="shared" si="57"/>
        <v>0.36000000000000004</v>
      </c>
      <c r="BS26" s="162">
        <f t="shared" si="58"/>
        <v>0.36000000000000004</v>
      </c>
      <c r="BT26" s="162">
        <f t="shared" si="10"/>
        <v>2.5948823931511487</v>
      </c>
      <c r="BU26" s="171">
        <f t="shared" si="59"/>
        <v>2.5948823931511487</v>
      </c>
      <c r="BV26" s="162"/>
      <c r="BW26" s="162">
        <f t="shared" si="60"/>
        <v>0.36000000000000004</v>
      </c>
      <c r="BX26" s="170">
        <f t="shared" si="61"/>
        <v>0.36000000000000004</v>
      </c>
      <c r="BY26" s="162">
        <f t="shared" si="11"/>
        <v>2.5948823931511487</v>
      </c>
      <c r="BZ26" s="171">
        <f t="shared" si="62"/>
        <v>2.5948823931511487</v>
      </c>
      <c r="CA26" s="162"/>
      <c r="CB26" s="162">
        <f t="shared" si="63"/>
        <v>0.36000000000000004</v>
      </c>
      <c r="CC26" s="170">
        <f t="shared" si="64"/>
        <v>0.36000000000000004</v>
      </c>
      <c r="CD26" s="162">
        <f t="shared" si="12"/>
        <v>2.5948823931511487</v>
      </c>
      <c r="CE26" s="171">
        <f t="shared" si="65"/>
        <v>2.5948823931511487</v>
      </c>
      <c r="CF26" s="162"/>
      <c r="CG26" s="172">
        <f t="shared" si="66"/>
        <v>0.36000000000000004</v>
      </c>
      <c r="CH26" s="172">
        <f t="shared" si="67"/>
        <v>0.36000000000000004</v>
      </c>
      <c r="CI26" s="172">
        <f t="shared" si="13"/>
        <v>2.5948823931511487</v>
      </c>
      <c r="CJ26" s="171">
        <f t="shared" si="68"/>
        <v>2.5948823931511487</v>
      </c>
      <c r="CK26" s="172"/>
      <c r="CL26" s="162">
        <f t="shared" si="69"/>
        <v>0.36000000000000004</v>
      </c>
      <c r="CM26" s="170">
        <f t="shared" si="70"/>
        <v>0.36000000000000004</v>
      </c>
      <c r="CN26" s="162">
        <f t="shared" si="14"/>
        <v>2.5948823931511487</v>
      </c>
      <c r="CO26" s="171">
        <f t="shared" si="71"/>
        <v>2.5948823931511487</v>
      </c>
      <c r="CP26" s="162"/>
      <c r="CQ26" s="162">
        <f t="shared" si="72"/>
        <v>0.36000000000000004</v>
      </c>
      <c r="CR26" s="170">
        <f t="shared" si="73"/>
        <v>0.36000000000000004</v>
      </c>
      <c r="CS26" s="162">
        <f t="shared" si="15"/>
        <v>2.5948823931511487</v>
      </c>
      <c r="CT26" s="171">
        <f t="shared" si="74"/>
        <v>2.5948823931511487</v>
      </c>
      <c r="CU26" s="162"/>
      <c r="CV26" s="162">
        <f t="shared" si="75"/>
        <v>0.36000000000000004</v>
      </c>
      <c r="CW26" s="162">
        <f t="shared" si="76"/>
        <v>0.36000000000000004</v>
      </c>
      <c r="CX26" s="162">
        <f t="shared" si="16"/>
        <v>2.5948823931511487</v>
      </c>
      <c r="CY26" s="171">
        <f t="shared" si="77"/>
        <v>2.5948823931511487</v>
      </c>
      <c r="CZ26" s="162"/>
      <c r="DA26" s="162">
        <f t="shared" si="78"/>
        <v>0.36000000000000004</v>
      </c>
      <c r="DB26" s="170">
        <f t="shared" si="79"/>
        <v>0.36000000000000004</v>
      </c>
      <c r="DC26" s="162">
        <f t="shared" si="17"/>
        <v>2.5948823931511487</v>
      </c>
      <c r="DD26" s="171">
        <f t="shared" si="80"/>
        <v>2.5948823931511487</v>
      </c>
      <c r="DE26" s="162"/>
      <c r="DF26" s="162">
        <f t="shared" si="81"/>
        <v>0.36000000000000004</v>
      </c>
      <c r="DG26" s="170">
        <f t="shared" si="82"/>
        <v>0.36000000000000004</v>
      </c>
      <c r="DH26" s="162">
        <f t="shared" si="18"/>
        <v>2.5948823931511487</v>
      </c>
      <c r="DI26" s="171">
        <f t="shared" si="83"/>
        <v>2.5948823931511487</v>
      </c>
      <c r="DJ26" s="162"/>
      <c r="DK26" s="162">
        <f t="shared" si="84"/>
        <v>0.36000000000000004</v>
      </c>
      <c r="DL26" s="162">
        <f t="shared" si="85"/>
        <v>0.36000000000000004</v>
      </c>
      <c r="DM26" s="162">
        <f t="shared" si="19"/>
        <v>2.5948823931511487</v>
      </c>
      <c r="DN26" s="171">
        <f t="shared" si="86"/>
        <v>2.5948823931511487</v>
      </c>
      <c r="DO26" s="162"/>
      <c r="DP26" s="162">
        <f t="shared" si="87"/>
        <v>0.36000000000000004</v>
      </c>
      <c r="DQ26" s="170">
        <f t="shared" si="88"/>
        <v>0.36000000000000004</v>
      </c>
      <c r="DR26" s="162">
        <f t="shared" si="20"/>
        <v>2.5948823931511487</v>
      </c>
      <c r="DS26" s="171">
        <f t="shared" si="89"/>
        <v>2.5948823931511487</v>
      </c>
      <c r="DT26" s="162"/>
      <c r="DU26" s="162">
        <f t="shared" si="90"/>
        <v>0.36000000000000004</v>
      </c>
      <c r="DV26" s="170">
        <f t="shared" si="91"/>
        <v>0.36000000000000004</v>
      </c>
      <c r="DW26" s="162">
        <f t="shared" si="21"/>
        <v>2.5948823931511487</v>
      </c>
      <c r="DX26" s="171">
        <f t="shared" si="92"/>
        <v>2.5948823931511487</v>
      </c>
      <c r="DY26" s="162"/>
      <c r="DZ26" s="162">
        <f t="shared" si="93"/>
        <v>0.36000000000000004</v>
      </c>
      <c r="EA26" s="162">
        <f t="shared" si="94"/>
        <v>0.36000000000000004</v>
      </c>
      <c r="EB26" s="162">
        <f t="shared" si="22"/>
        <v>2.5948823931511487</v>
      </c>
      <c r="EC26" s="171">
        <f t="shared" si="95"/>
        <v>2.5948823931511487</v>
      </c>
      <c r="ED26" s="162"/>
      <c r="EE26" s="162">
        <f t="shared" si="96"/>
        <v>0.36000000000000004</v>
      </c>
      <c r="EF26" s="170">
        <f t="shared" si="97"/>
        <v>0.36000000000000004</v>
      </c>
      <c r="EG26" s="162">
        <f t="shared" si="23"/>
        <v>2.5948823931511487</v>
      </c>
      <c r="EH26" s="171">
        <f t="shared" si="98"/>
        <v>2.5948823931511487</v>
      </c>
      <c r="EI26" s="162"/>
      <c r="EJ26" s="162">
        <f t="shared" si="99"/>
        <v>0.36000000000000004</v>
      </c>
      <c r="EK26" s="170">
        <f t="shared" si="100"/>
        <v>0.36000000000000004</v>
      </c>
      <c r="EL26" s="162">
        <f t="shared" si="24"/>
        <v>2.5948823931511487</v>
      </c>
      <c r="EM26" s="171">
        <f t="shared" si="101"/>
        <v>2.5948823931511487</v>
      </c>
      <c r="EN26" s="162"/>
      <c r="EO26" s="162">
        <f t="shared" si="102"/>
        <v>0.36000000000000004</v>
      </c>
      <c r="EP26" s="162">
        <f t="shared" si="103"/>
        <v>0.36000000000000004</v>
      </c>
      <c r="EQ26" s="162">
        <f t="shared" si="25"/>
        <v>2.5948823931511487</v>
      </c>
      <c r="ER26" s="171">
        <f t="shared" si="104"/>
        <v>2.5948823931511487</v>
      </c>
      <c r="ES26" s="162"/>
      <c r="ET26" s="162">
        <f t="shared" si="105"/>
        <v>0.36000000000000004</v>
      </c>
      <c r="EU26" s="170">
        <f t="shared" si="106"/>
        <v>0.36000000000000004</v>
      </c>
      <c r="EV26" s="162">
        <f t="shared" si="26"/>
        <v>2.5948823931511487</v>
      </c>
      <c r="EW26" s="171">
        <f t="shared" si="107"/>
        <v>2.5948823931511487</v>
      </c>
      <c r="EX26" s="162"/>
    </row>
    <row r="27" spans="3:154" s="181" customFormat="1" ht="15" customHeight="1" x14ac:dyDescent="0.25">
      <c r="H27" s="160"/>
      <c r="I27" s="160"/>
      <c r="J27" s="160"/>
      <c r="K27" s="160"/>
      <c r="L27" s="160"/>
      <c r="M27" s="160"/>
      <c r="N27" s="160"/>
      <c r="O27" s="160"/>
      <c r="P27" s="160"/>
      <c r="Q27" s="160"/>
      <c r="R27" s="160"/>
      <c r="S27" s="160"/>
      <c r="T27" s="162">
        <f t="shared" si="27"/>
        <v>0.38000000000000006</v>
      </c>
      <c r="U27" s="170">
        <f t="shared" si="28"/>
        <v>0.38000000000000006</v>
      </c>
      <c r="V27" s="162">
        <f t="shared" si="0"/>
        <v>2.7022005440783317</v>
      </c>
      <c r="W27" s="171">
        <f t="shared" si="29"/>
        <v>2.7022005440783317</v>
      </c>
      <c r="X27" s="162"/>
      <c r="Y27" s="162">
        <f t="shared" si="30"/>
        <v>0.38000000000000006</v>
      </c>
      <c r="Z27" s="162">
        <f t="shared" si="31"/>
        <v>0.38000000000000006</v>
      </c>
      <c r="AA27" s="162">
        <f t="shared" si="1"/>
        <v>2.7022005440783317</v>
      </c>
      <c r="AB27" s="171">
        <f t="shared" si="32"/>
        <v>2.7022005440783317</v>
      </c>
      <c r="AC27" s="162"/>
      <c r="AD27" s="162">
        <f t="shared" si="33"/>
        <v>0.38000000000000006</v>
      </c>
      <c r="AE27" s="170">
        <f t="shared" si="34"/>
        <v>0.38000000000000006</v>
      </c>
      <c r="AF27" s="162">
        <f t="shared" si="2"/>
        <v>2.7022005440783317</v>
      </c>
      <c r="AG27" s="171">
        <f t="shared" si="35"/>
        <v>2.7022005440783317</v>
      </c>
      <c r="AH27" s="162"/>
      <c r="AI27" s="162">
        <f t="shared" si="36"/>
        <v>0.38000000000000006</v>
      </c>
      <c r="AJ27" s="170">
        <f t="shared" si="37"/>
        <v>0.38000000000000006</v>
      </c>
      <c r="AK27" s="162">
        <f t="shared" si="3"/>
        <v>2.7022005440783317</v>
      </c>
      <c r="AL27" s="171">
        <f t="shared" si="38"/>
        <v>2.7022005440783317</v>
      </c>
      <c r="AM27" s="162"/>
      <c r="AN27" s="162">
        <f t="shared" si="39"/>
        <v>0.38000000000000006</v>
      </c>
      <c r="AO27" s="162">
        <f t="shared" si="40"/>
        <v>0.38000000000000006</v>
      </c>
      <c r="AP27" s="162">
        <f t="shared" si="4"/>
        <v>2.7022005440783317</v>
      </c>
      <c r="AQ27" s="171">
        <f t="shared" si="41"/>
        <v>2.7022005440783317</v>
      </c>
      <c r="AR27" s="162"/>
      <c r="AS27" s="162">
        <f t="shared" si="42"/>
        <v>0.38000000000000006</v>
      </c>
      <c r="AT27" s="170">
        <f t="shared" si="43"/>
        <v>0.38000000000000006</v>
      </c>
      <c r="AU27" s="162">
        <f t="shared" si="5"/>
        <v>2.7022005440783317</v>
      </c>
      <c r="AV27" s="171">
        <f t="shared" si="44"/>
        <v>2.7022005440783317</v>
      </c>
      <c r="AW27" s="162"/>
      <c r="AX27" s="162">
        <f t="shared" si="45"/>
        <v>0.38000000000000006</v>
      </c>
      <c r="AY27" s="170">
        <f t="shared" si="46"/>
        <v>0.38000000000000006</v>
      </c>
      <c r="AZ27" s="162">
        <f t="shared" si="6"/>
        <v>2.7022005440783317</v>
      </c>
      <c r="BA27" s="171">
        <f t="shared" si="47"/>
        <v>2.7022005440783317</v>
      </c>
      <c r="BB27" s="162"/>
      <c r="BC27" s="162">
        <f t="shared" si="48"/>
        <v>0.38000000000000006</v>
      </c>
      <c r="BD27" s="162">
        <f t="shared" si="49"/>
        <v>0.38000000000000006</v>
      </c>
      <c r="BE27" s="162">
        <f t="shared" si="7"/>
        <v>2.7022005440783317</v>
      </c>
      <c r="BF27" s="171">
        <f t="shared" si="50"/>
        <v>2.7022005440783317</v>
      </c>
      <c r="BG27" s="162"/>
      <c r="BH27" s="162">
        <f t="shared" si="51"/>
        <v>0.38000000000000006</v>
      </c>
      <c r="BI27" s="170">
        <f t="shared" si="52"/>
        <v>0.38000000000000006</v>
      </c>
      <c r="BJ27" s="162">
        <f t="shared" si="8"/>
        <v>2.7022005440783317</v>
      </c>
      <c r="BK27" s="171">
        <f t="shared" si="53"/>
        <v>2.7022005440783317</v>
      </c>
      <c r="BL27" s="162"/>
      <c r="BM27" s="162">
        <f t="shared" si="54"/>
        <v>0.38000000000000006</v>
      </c>
      <c r="BN27" s="170">
        <f t="shared" si="55"/>
        <v>0.38000000000000006</v>
      </c>
      <c r="BO27" s="162">
        <f t="shared" si="9"/>
        <v>2.7022005440783317</v>
      </c>
      <c r="BP27" s="171">
        <f t="shared" si="56"/>
        <v>2.7022005440783317</v>
      </c>
      <c r="BQ27" s="162"/>
      <c r="BR27" s="162">
        <f t="shared" si="57"/>
        <v>0.38000000000000006</v>
      </c>
      <c r="BS27" s="162">
        <f t="shared" si="58"/>
        <v>0.38000000000000006</v>
      </c>
      <c r="BT27" s="162">
        <f t="shared" si="10"/>
        <v>2.7022005440783317</v>
      </c>
      <c r="BU27" s="171">
        <f t="shared" si="59"/>
        <v>2.7022005440783317</v>
      </c>
      <c r="BV27" s="162"/>
      <c r="BW27" s="162">
        <f t="shared" si="60"/>
        <v>0.38000000000000006</v>
      </c>
      <c r="BX27" s="170">
        <f t="shared" si="61"/>
        <v>0.38000000000000006</v>
      </c>
      <c r="BY27" s="162">
        <f t="shared" si="11"/>
        <v>2.7022005440783317</v>
      </c>
      <c r="BZ27" s="171">
        <f t="shared" si="62"/>
        <v>2.7022005440783317</v>
      </c>
      <c r="CA27" s="162"/>
      <c r="CB27" s="162">
        <f t="shared" si="63"/>
        <v>0.38000000000000006</v>
      </c>
      <c r="CC27" s="170">
        <f t="shared" si="64"/>
        <v>0.38000000000000006</v>
      </c>
      <c r="CD27" s="162">
        <f t="shared" si="12"/>
        <v>2.7022005440783317</v>
      </c>
      <c r="CE27" s="171">
        <f t="shared" si="65"/>
        <v>2.7022005440783317</v>
      </c>
      <c r="CF27" s="162"/>
      <c r="CG27" s="172">
        <f t="shared" si="66"/>
        <v>0.38000000000000006</v>
      </c>
      <c r="CH27" s="172">
        <f t="shared" si="67"/>
        <v>0.38000000000000006</v>
      </c>
      <c r="CI27" s="172">
        <f t="shared" si="13"/>
        <v>2.7022005440783317</v>
      </c>
      <c r="CJ27" s="171">
        <f t="shared" si="68"/>
        <v>2.7022005440783317</v>
      </c>
      <c r="CK27" s="172"/>
      <c r="CL27" s="162">
        <f t="shared" si="69"/>
        <v>0.38000000000000006</v>
      </c>
      <c r="CM27" s="170">
        <f t="shared" si="70"/>
        <v>0.38000000000000006</v>
      </c>
      <c r="CN27" s="162">
        <f t="shared" si="14"/>
        <v>2.7022005440783317</v>
      </c>
      <c r="CO27" s="171">
        <f t="shared" si="71"/>
        <v>2.7022005440783317</v>
      </c>
      <c r="CP27" s="162"/>
      <c r="CQ27" s="162">
        <f t="shared" si="72"/>
        <v>0.38000000000000006</v>
      </c>
      <c r="CR27" s="170">
        <f t="shared" si="73"/>
        <v>0.38000000000000006</v>
      </c>
      <c r="CS27" s="162">
        <f t="shared" si="15"/>
        <v>2.7022005440783317</v>
      </c>
      <c r="CT27" s="171">
        <f t="shared" si="74"/>
        <v>2.7022005440783317</v>
      </c>
      <c r="CU27" s="162"/>
      <c r="CV27" s="162">
        <f t="shared" si="75"/>
        <v>0.38000000000000006</v>
      </c>
      <c r="CW27" s="162">
        <f t="shared" si="76"/>
        <v>0.38000000000000006</v>
      </c>
      <c r="CX27" s="162">
        <f t="shared" si="16"/>
        <v>2.7022005440783317</v>
      </c>
      <c r="CY27" s="171">
        <f t="shared" si="77"/>
        <v>2.7022005440783317</v>
      </c>
      <c r="CZ27" s="162"/>
      <c r="DA27" s="162">
        <f t="shared" si="78"/>
        <v>0.38000000000000006</v>
      </c>
      <c r="DB27" s="170">
        <f t="shared" si="79"/>
        <v>0.38000000000000006</v>
      </c>
      <c r="DC27" s="162">
        <f t="shared" si="17"/>
        <v>2.7022005440783317</v>
      </c>
      <c r="DD27" s="171">
        <f t="shared" si="80"/>
        <v>2.7022005440783317</v>
      </c>
      <c r="DE27" s="162"/>
      <c r="DF27" s="162">
        <f t="shared" si="81"/>
        <v>0.38000000000000006</v>
      </c>
      <c r="DG27" s="170">
        <f t="shared" si="82"/>
        <v>0.38000000000000006</v>
      </c>
      <c r="DH27" s="162">
        <f t="shared" si="18"/>
        <v>2.7022005440783317</v>
      </c>
      <c r="DI27" s="171">
        <f t="shared" si="83"/>
        <v>2.7022005440783317</v>
      </c>
      <c r="DJ27" s="162"/>
      <c r="DK27" s="162">
        <f t="shared" si="84"/>
        <v>0.38000000000000006</v>
      </c>
      <c r="DL27" s="162">
        <f t="shared" si="85"/>
        <v>0.38000000000000006</v>
      </c>
      <c r="DM27" s="162">
        <f t="shared" si="19"/>
        <v>2.7022005440783317</v>
      </c>
      <c r="DN27" s="171">
        <f t="shared" si="86"/>
        <v>2.7022005440783317</v>
      </c>
      <c r="DO27" s="162"/>
      <c r="DP27" s="162">
        <f t="shared" si="87"/>
        <v>0.38000000000000006</v>
      </c>
      <c r="DQ27" s="170">
        <f t="shared" si="88"/>
        <v>0.38000000000000006</v>
      </c>
      <c r="DR27" s="162">
        <f t="shared" si="20"/>
        <v>2.7022005440783317</v>
      </c>
      <c r="DS27" s="171">
        <f t="shared" si="89"/>
        <v>2.7022005440783317</v>
      </c>
      <c r="DT27" s="162"/>
      <c r="DU27" s="162">
        <f t="shared" si="90"/>
        <v>0.38000000000000006</v>
      </c>
      <c r="DV27" s="170">
        <f t="shared" si="91"/>
        <v>0.38000000000000006</v>
      </c>
      <c r="DW27" s="162">
        <f t="shared" si="21"/>
        <v>2.7022005440783317</v>
      </c>
      <c r="DX27" s="171">
        <f t="shared" si="92"/>
        <v>2.7022005440783317</v>
      </c>
      <c r="DY27" s="162"/>
      <c r="DZ27" s="162">
        <f t="shared" si="93"/>
        <v>0.38000000000000006</v>
      </c>
      <c r="EA27" s="162">
        <f t="shared" si="94"/>
        <v>0.38000000000000006</v>
      </c>
      <c r="EB27" s="162">
        <f t="shared" si="22"/>
        <v>2.7022005440783317</v>
      </c>
      <c r="EC27" s="171">
        <f t="shared" si="95"/>
        <v>2.7022005440783317</v>
      </c>
      <c r="ED27" s="162"/>
      <c r="EE27" s="162">
        <f t="shared" si="96"/>
        <v>0.38000000000000006</v>
      </c>
      <c r="EF27" s="170">
        <f t="shared" si="97"/>
        <v>0.38000000000000006</v>
      </c>
      <c r="EG27" s="162">
        <f t="shared" si="23"/>
        <v>2.7022005440783317</v>
      </c>
      <c r="EH27" s="171">
        <f t="shared" si="98"/>
        <v>2.7022005440783317</v>
      </c>
      <c r="EI27" s="162"/>
      <c r="EJ27" s="162">
        <f t="shared" si="99"/>
        <v>0.38000000000000006</v>
      </c>
      <c r="EK27" s="170">
        <f t="shared" si="100"/>
        <v>0.38000000000000006</v>
      </c>
      <c r="EL27" s="162">
        <f t="shared" si="24"/>
        <v>2.7022005440783317</v>
      </c>
      <c r="EM27" s="171">
        <f t="shared" si="101"/>
        <v>2.7022005440783317</v>
      </c>
      <c r="EN27" s="162"/>
      <c r="EO27" s="162">
        <f t="shared" si="102"/>
        <v>0.38000000000000006</v>
      </c>
      <c r="EP27" s="162">
        <f t="shared" si="103"/>
        <v>0.38000000000000006</v>
      </c>
      <c r="EQ27" s="162">
        <f t="shared" si="25"/>
        <v>2.7022005440783317</v>
      </c>
      <c r="ER27" s="171">
        <f t="shared" si="104"/>
        <v>2.7022005440783317</v>
      </c>
      <c r="ES27" s="162"/>
      <c r="ET27" s="162">
        <f t="shared" si="105"/>
        <v>0.38000000000000006</v>
      </c>
      <c r="EU27" s="170">
        <f t="shared" si="106"/>
        <v>0.38000000000000006</v>
      </c>
      <c r="EV27" s="162">
        <f t="shared" si="26"/>
        <v>2.7022005440783317</v>
      </c>
      <c r="EW27" s="171">
        <f t="shared" si="107"/>
        <v>2.7022005440783317</v>
      </c>
      <c r="EX27" s="162"/>
    </row>
    <row r="28" spans="3:154" s="181" customFormat="1" ht="15" customHeight="1" x14ac:dyDescent="0.25">
      <c r="C28" s="223" t="s">
        <v>349</v>
      </c>
      <c r="D28" s="224"/>
      <c r="E28" s="224"/>
      <c r="F28" s="224"/>
      <c r="G28" s="225"/>
      <c r="H28" s="160"/>
      <c r="I28" s="160"/>
      <c r="J28" s="160"/>
      <c r="K28" s="160"/>
      <c r="L28" s="160"/>
      <c r="M28" s="160"/>
      <c r="N28" s="160"/>
      <c r="O28" s="160"/>
      <c r="P28" s="160"/>
      <c r="Q28" s="160"/>
      <c r="R28" s="160"/>
      <c r="S28" s="160"/>
      <c r="T28" s="162">
        <f t="shared" si="27"/>
        <v>0.40000000000000008</v>
      </c>
      <c r="U28" s="170">
        <f t="shared" si="28"/>
        <v>0.40000000000000008</v>
      </c>
      <c r="V28" s="162">
        <f t="shared" si="0"/>
        <v>2.8068101822776677</v>
      </c>
      <c r="W28" s="171">
        <f t="shared" si="29"/>
        <v>2.8068101822776677</v>
      </c>
      <c r="X28" s="162"/>
      <c r="Y28" s="162">
        <f t="shared" si="30"/>
        <v>0.40000000000000008</v>
      </c>
      <c r="Z28" s="162">
        <f t="shared" si="31"/>
        <v>0.40000000000000008</v>
      </c>
      <c r="AA28" s="162">
        <f t="shared" si="1"/>
        <v>2.8068101822776677</v>
      </c>
      <c r="AB28" s="171">
        <f t="shared" si="32"/>
        <v>2.8068101822776677</v>
      </c>
      <c r="AC28" s="162"/>
      <c r="AD28" s="162">
        <f t="shared" si="33"/>
        <v>0.40000000000000008</v>
      </c>
      <c r="AE28" s="170">
        <f t="shared" si="34"/>
        <v>0.40000000000000008</v>
      </c>
      <c r="AF28" s="162">
        <f t="shared" si="2"/>
        <v>2.8068101822776677</v>
      </c>
      <c r="AG28" s="171">
        <f t="shared" si="35"/>
        <v>2.8068101822776677</v>
      </c>
      <c r="AH28" s="162"/>
      <c r="AI28" s="162">
        <f t="shared" si="36"/>
        <v>0.40000000000000008</v>
      </c>
      <c r="AJ28" s="170">
        <f t="shared" si="37"/>
        <v>0.40000000000000008</v>
      </c>
      <c r="AK28" s="162">
        <f t="shared" si="3"/>
        <v>2.8068101822776677</v>
      </c>
      <c r="AL28" s="171">
        <f t="shared" si="38"/>
        <v>2.8068101822776677</v>
      </c>
      <c r="AM28" s="162"/>
      <c r="AN28" s="162">
        <f t="shared" si="39"/>
        <v>0.40000000000000008</v>
      </c>
      <c r="AO28" s="162">
        <f t="shared" si="40"/>
        <v>0.40000000000000008</v>
      </c>
      <c r="AP28" s="162">
        <f t="shared" si="4"/>
        <v>2.8068101822776677</v>
      </c>
      <c r="AQ28" s="171">
        <f t="shared" si="41"/>
        <v>2.8068101822776677</v>
      </c>
      <c r="AR28" s="162"/>
      <c r="AS28" s="162">
        <f t="shared" si="42"/>
        <v>0.40000000000000008</v>
      </c>
      <c r="AT28" s="170">
        <f t="shared" si="43"/>
        <v>0.40000000000000008</v>
      </c>
      <c r="AU28" s="162">
        <f t="shared" si="5"/>
        <v>2.8068101822776677</v>
      </c>
      <c r="AV28" s="171">
        <f t="shared" si="44"/>
        <v>2.8068101822776677</v>
      </c>
      <c r="AW28" s="162"/>
      <c r="AX28" s="162">
        <f t="shared" si="45"/>
        <v>0.40000000000000008</v>
      </c>
      <c r="AY28" s="170">
        <f t="shared" si="46"/>
        <v>0.40000000000000008</v>
      </c>
      <c r="AZ28" s="162">
        <f t="shared" si="6"/>
        <v>2.8068101822776677</v>
      </c>
      <c r="BA28" s="171">
        <f t="shared" si="47"/>
        <v>2.8068101822776677</v>
      </c>
      <c r="BB28" s="162"/>
      <c r="BC28" s="162">
        <f t="shared" si="48"/>
        <v>0.40000000000000008</v>
      </c>
      <c r="BD28" s="162">
        <f t="shared" si="49"/>
        <v>0.40000000000000008</v>
      </c>
      <c r="BE28" s="162">
        <f t="shared" si="7"/>
        <v>2.8068101822776677</v>
      </c>
      <c r="BF28" s="171">
        <f t="shared" si="50"/>
        <v>2.8068101822776677</v>
      </c>
      <c r="BG28" s="162"/>
      <c r="BH28" s="162">
        <f t="shared" si="51"/>
        <v>0.40000000000000008</v>
      </c>
      <c r="BI28" s="170">
        <f t="shared" si="52"/>
        <v>0.40000000000000008</v>
      </c>
      <c r="BJ28" s="162">
        <f t="shared" si="8"/>
        <v>2.8068101822776677</v>
      </c>
      <c r="BK28" s="171">
        <f t="shared" si="53"/>
        <v>2.8068101822776677</v>
      </c>
      <c r="BL28" s="162"/>
      <c r="BM28" s="162">
        <f t="shared" si="54"/>
        <v>0.40000000000000008</v>
      </c>
      <c r="BN28" s="170">
        <f t="shared" si="55"/>
        <v>0.40000000000000008</v>
      </c>
      <c r="BO28" s="162">
        <f t="shared" si="9"/>
        <v>2.8068101822776677</v>
      </c>
      <c r="BP28" s="171">
        <f t="shared" si="56"/>
        <v>2.8068101822776677</v>
      </c>
      <c r="BQ28" s="162"/>
      <c r="BR28" s="162">
        <f t="shared" si="57"/>
        <v>0.40000000000000008</v>
      </c>
      <c r="BS28" s="162">
        <f t="shared" si="58"/>
        <v>0.40000000000000008</v>
      </c>
      <c r="BT28" s="162">
        <f t="shared" si="10"/>
        <v>2.8068101822776677</v>
      </c>
      <c r="BU28" s="171">
        <f t="shared" si="59"/>
        <v>2.8068101822776677</v>
      </c>
      <c r="BV28" s="162"/>
      <c r="BW28" s="162">
        <f t="shared" si="60"/>
        <v>0.40000000000000008</v>
      </c>
      <c r="BX28" s="170">
        <f t="shared" si="61"/>
        <v>0.40000000000000008</v>
      </c>
      <c r="BY28" s="162">
        <f t="shared" si="11"/>
        <v>2.8068101822776677</v>
      </c>
      <c r="BZ28" s="171">
        <f t="shared" si="62"/>
        <v>2.8068101822776677</v>
      </c>
      <c r="CA28" s="162"/>
      <c r="CB28" s="162">
        <f t="shared" si="63"/>
        <v>0.40000000000000008</v>
      </c>
      <c r="CC28" s="170">
        <f t="shared" si="64"/>
        <v>0.40000000000000008</v>
      </c>
      <c r="CD28" s="162">
        <f t="shared" si="12"/>
        <v>2.8068101822776677</v>
      </c>
      <c r="CE28" s="171">
        <f t="shared" si="65"/>
        <v>2.8068101822776677</v>
      </c>
      <c r="CF28" s="162"/>
      <c r="CG28" s="172">
        <f t="shared" si="66"/>
        <v>0.40000000000000008</v>
      </c>
      <c r="CH28" s="172">
        <f t="shared" si="67"/>
        <v>0.40000000000000008</v>
      </c>
      <c r="CI28" s="172">
        <f t="shared" si="13"/>
        <v>2.8068101822776677</v>
      </c>
      <c r="CJ28" s="171">
        <f t="shared" si="68"/>
        <v>2.8068101822776677</v>
      </c>
      <c r="CK28" s="172"/>
      <c r="CL28" s="162">
        <f t="shared" si="69"/>
        <v>0.40000000000000008</v>
      </c>
      <c r="CM28" s="170">
        <f t="shared" si="70"/>
        <v>0.40000000000000008</v>
      </c>
      <c r="CN28" s="162">
        <f t="shared" si="14"/>
        <v>2.8068101822776677</v>
      </c>
      <c r="CO28" s="171">
        <f t="shared" si="71"/>
        <v>2.8068101822776677</v>
      </c>
      <c r="CP28" s="162"/>
      <c r="CQ28" s="162">
        <f t="shared" si="72"/>
        <v>0.40000000000000008</v>
      </c>
      <c r="CR28" s="170">
        <f t="shared" si="73"/>
        <v>0.40000000000000008</v>
      </c>
      <c r="CS28" s="162">
        <f t="shared" si="15"/>
        <v>2.8068101822776677</v>
      </c>
      <c r="CT28" s="171">
        <f t="shared" si="74"/>
        <v>2.8068101822776677</v>
      </c>
      <c r="CU28" s="162"/>
      <c r="CV28" s="162">
        <f t="shared" si="75"/>
        <v>0.40000000000000008</v>
      </c>
      <c r="CW28" s="162">
        <f t="shared" si="76"/>
        <v>0.40000000000000008</v>
      </c>
      <c r="CX28" s="162">
        <f t="shared" si="16"/>
        <v>2.8068101822776677</v>
      </c>
      <c r="CY28" s="171">
        <f t="shared" si="77"/>
        <v>2.8068101822776677</v>
      </c>
      <c r="CZ28" s="162"/>
      <c r="DA28" s="162">
        <f t="shared" si="78"/>
        <v>0.40000000000000008</v>
      </c>
      <c r="DB28" s="170">
        <f t="shared" si="79"/>
        <v>0.40000000000000008</v>
      </c>
      <c r="DC28" s="162">
        <f t="shared" si="17"/>
        <v>2.8068101822776677</v>
      </c>
      <c r="DD28" s="171">
        <f t="shared" si="80"/>
        <v>2.8068101822776677</v>
      </c>
      <c r="DE28" s="162"/>
      <c r="DF28" s="162">
        <f t="shared" si="81"/>
        <v>0.40000000000000008</v>
      </c>
      <c r="DG28" s="170">
        <f t="shared" si="82"/>
        <v>0.40000000000000008</v>
      </c>
      <c r="DH28" s="162">
        <f t="shared" si="18"/>
        <v>2.8068101822776677</v>
      </c>
      <c r="DI28" s="171">
        <f t="shared" si="83"/>
        <v>2.8068101822776677</v>
      </c>
      <c r="DJ28" s="162"/>
      <c r="DK28" s="162">
        <f t="shared" si="84"/>
        <v>0.40000000000000008</v>
      </c>
      <c r="DL28" s="162">
        <f t="shared" si="85"/>
        <v>0.40000000000000008</v>
      </c>
      <c r="DM28" s="162">
        <f t="shared" si="19"/>
        <v>2.8068101822776677</v>
      </c>
      <c r="DN28" s="171">
        <f t="shared" si="86"/>
        <v>2.8068101822776677</v>
      </c>
      <c r="DO28" s="162"/>
      <c r="DP28" s="162">
        <f t="shared" si="87"/>
        <v>0.40000000000000008</v>
      </c>
      <c r="DQ28" s="170">
        <f t="shared" si="88"/>
        <v>0.40000000000000008</v>
      </c>
      <c r="DR28" s="162">
        <f t="shared" si="20"/>
        <v>2.8068101822776677</v>
      </c>
      <c r="DS28" s="171">
        <f t="shared" si="89"/>
        <v>2.8068101822776677</v>
      </c>
      <c r="DT28" s="162"/>
      <c r="DU28" s="162">
        <f t="shared" si="90"/>
        <v>0.40000000000000008</v>
      </c>
      <c r="DV28" s="170">
        <f t="shared" si="91"/>
        <v>0.40000000000000008</v>
      </c>
      <c r="DW28" s="162">
        <f t="shared" si="21"/>
        <v>2.8068101822776677</v>
      </c>
      <c r="DX28" s="171">
        <f t="shared" si="92"/>
        <v>2.8068101822776677</v>
      </c>
      <c r="DY28" s="162"/>
      <c r="DZ28" s="162">
        <f t="shared" si="93"/>
        <v>0.40000000000000008</v>
      </c>
      <c r="EA28" s="162">
        <f t="shared" si="94"/>
        <v>0.40000000000000008</v>
      </c>
      <c r="EB28" s="162">
        <f t="shared" si="22"/>
        <v>2.8068101822776677</v>
      </c>
      <c r="EC28" s="171">
        <f t="shared" si="95"/>
        <v>2.8068101822776677</v>
      </c>
      <c r="ED28" s="162"/>
      <c r="EE28" s="162">
        <f t="shared" si="96"/>
        <v>0.40000000000000008</v>
      </c>
      <c r="EF28" s="170">
        <f t="shared" si="97"/>
        <v>0.40000000000000008</v>
      </c>
      <c r="EG28" s="162">
        <f t="shared" si="23"/>
        <v>2.8068101822776677</v>
      </c>
      <c r="EH28" s="171">
        <f t="shared" si="98"/>
        <v>2.8068101822776677</v>
      </c>
      <c r="EI28" s="162"/>
      <c r="EJ28" s="162">
        <f t="shared" si="99"/>
        <v>0.40000000000000008</v>
      </c>
      <c r="EK28" s="170">
        <f t="shared" si="100"/>
        <v>0.40000000000000008</v>
      </c>
      <c r="EL28" s="162">
        <f t="shared" si="24"/>
        <v>2.8068101822776677</v>
      </c>
      <c r="EM28" s="171">
        <f t="shared" si="101"/>
        <v>2.8068101822776677</v>
      </c>
      <c r="EN28" s="162"/>
      <c r="EO28" s="162">
        <f t="shared" si="102"/>
        <v>0.40000000000000008</v>
      </c>
      <c r="EP28" s="162">
        <f t="shared" si="103"/>
        <v>0.40000000000000008</v>
      </c>
      <c r="EQ28" s="162">
        <f t="shared" si="25"/>
        <v>2.8068101822776677</v>
      </c>
      <c r="ER28" s="171">
        <f t="shared" si="104"/>
        <v>2.8068101822776677</v>
      </c>
      <c r="ES28" s="162"/>
      <c r="ET28" s="162">
        <f t="shared" si="105"/>
        <v>0.40000000000000008</v>
      </c>
      <c r="EU28" s="170">
        <f t="shared" si="106"/>
        <v>0.40000000000000008</v>
      </c>
      <c r="EV28" s="162">
        <f t="shared" si="26"/>
        <v>2.8068101822776677</v>
      </c>
      <c r="EW28" s="171">
        <f t="shared" si="107"/>
        <v>2.8068101822776677</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0.4200000000000001</v>
      </c>
      <c r="U29" s="170">
        <f t="shared" si="28"/>
        <v>0.4200000000000001</v>
      </c>
      <c r="V29" s="162">
        <f t="shared" si="0"/>
        <v>2.9087113077491566</v>
      </c>
      <c r="W29" s="171">
        <f t="shared" si="29"/>
        <v>2.9087113077491566</v>
      </c>
      <c r="X29" s="162"/>
      <c r="Y29" s="162">
        <f t="shared" si="30"/>
        <v>0.4200000000000001</v>
      </c>
      <c r="Z29" s="162">
        <f t="shared" si="31"/>
        <v>0.4200000000000001</v>
      </c>
      <c r="AA29" s="162">
        <f t="shared" si="1"/>
        <v>2.9087113077491566</v>
      </c>
      <c r="AB29" s="171">
        <f t="shared" si="32"/>
        <v>2.9087113077491566</v>
      </c>
      <c r="AC29" s="162"/>
      <c r="AD29" s="162">
        <f t="shared" si="33"/>
        <v>0.4200000000000001</v>
      </c>
      <c r="AE29" s="170">
        <f t="shared" si="34"/>
        <v>0.4200000000000001</v>
      </c>
      <c r="AF29" s="162">
        <f t="shared" si="2"/>
        <v>2.9087113077491566</v>
      </c>
      <c r="AG29" s="171">
        <f t="shared" si="35"/>
        <v>2.9087113077491566</v>
      </c>
      <c r="AH29" s="162"/>
      <c r="AI29" s="162">
        <f t="shared" si="36"/>
        <v>0.4200000000000001</v>
      </c>
      <c r="AJ29" s="170">
        <f t="shared" si="37"/>
        <v>0.4200000000000001</v>
      </c>
      <c r="AK29" s="162">
        <f t="shared" si="3"/>
        <v>2.9087113077491566</v>
      </c>
      <c r="AL29" s="171">
        <f t="shared" si="38"/>
        <v>2.9087113077491566</v>
      </c>
      <c r="AM29" s="162"/>
      <c r="AN29" s="162">
        <f t="shared" si="39"/>
        <v>0.4200000000000001</v>
      </c>
      <c r="AO29" s="162">
        <f t="shared" si="40"/>
        <v>0.4200000000000001</v>
      </c>
      <c r="AP29" s="162">
        <f t="shared" si="4"/>
        <v>2.9087113077491566</v>
      </c>
      <c r="AQ29" s="171">
        <f t="shared" si="41"/>
        <v>2.9087113077491566</v>
      </c>
      <c r="AR29" s="162"/>
      <c r="AS29" s="162">
        <f t="shared" si="42"/>
        <v>0.4200000000000001</v>
      </c>
      <c r="AT29" s="170">
        <f t="shared" si="43"/>
        <v>0.4200000000000001</v>
      </c>
      <c r="AU29" s="162">
        <f t="shared" si="5"/>
        <v>2.9087113077491566</v>
      </c>
      <c r="AV29" s="171">
        <f t="shared" si="44"/>
        <v>2.9087113077491566</v>
      </c>
      <c r="AW29" s="162"/>
      <c r="AX29" s="162">
        <f t="shared" si="45"/>
        <v>0.4200000000000001</v>
      </c>
      <c r="AY29" s="170">
        <f t="shared" si="46"/>
        <v>0.4200000000000001</v>
      </c>
      <c r="AZ29" s="162">
        <f t="shared" si="6"/>
        <v>2.9087113077491566</v>
      </c>
      <c r="BA29" s="171">
        <f t="shared" si="47"/>
        <v>2.9087113077491566</v>
      </c>
      <c r="BB29" s="162"/>
      <c r="BC29" s="162">
        <f t="shared" si="48"/>
        <v>0.4200000000000001</v>
      </c>
      <c r="BD29" s="162">
        <f t="shared" si="49"/>
        <v>0.4200000000000001</v>
      </c>
      <c r="BE29" s="162">
        <f t="shared" si="7"/>
        <v>2.9087113077491566</v>
      </c>
      <c r="BF29" s="171">
        <f t="shared" si="50"/>
        <v>2.9087113077491566</v>
      </c>
      <c r="BG29" s="162"/>
      <c r="BH29" s="162">
        <f t="shared" si="51"/>
        <v>0.4200000000000001</v>
      </c>
      <c r="BI29" s="170">
        <f t="shared" si="52"/>
        <v>0.4200000000000001</v>
      </c>
      <c r="BJ29" s="162">
        <f t="shared" si="8"/>
        <v>2.9087113077491566</v>
      </c>
      <c r="BK29" s="171">
        <f t="shared" si="53"/>
        <v>2.9087113077491566</v>
      </c>
      <c r="BL29" s="162"/>
      <c r="BM29" s="162">
        <f t="shared" si="54"/>
        <v>0.4200000000000001</v>
      </c>
      <c r="BN29" s="170">
        <f t="shared" si="55"/>
        <v>0.4200000000000001</v>
      </c>
      <c r="BO29" s="162">
        <f t="shared" si="9"/>
        <v>2.9087113077491566</v>
      </c>
      <c r="BP29" s="171">
        <f t="shared" si="56"/>
        <v>2.9087113077491566</v>
      </c>
      <c r="BQ29" s="162"/>
      <c r="BR29" s="162">
        <f t="shared" si="57"/>
        <v>0.4200000000000001</v>
      </c>
      <c r="BS29" s="162">
        <f t="shared" si="58"/>
        <v>0.4200000000000001</v>
      </c>
      <c r="BT29" s="162">
        <f t="shared" si="10"/>
        <v>2.9087113077491566</v>
      </c>
      <c r="BU29" s="171">
        <f t="shared" si="59"/>
        <v>2.9087113077491566</v>
      </c>
      <c r="BV29" s="162"/>
      <c r="BW29" s="162">
        <f t="shared" si="60"/>
        <v>0.4200000000000001</v>
      </c>
      <c r="BX29" s="170">
        <f t="shared" si="61"/>
        <v>0.4200000000000001</v>
      </c>
      <c r="BY29" s="162">
        <f t="shared" si="11"/>
        <v>2.9087113077491566</v>
      </c>
      <c r="BZ29" s="171">
        <f t="shared" si="62"/>
        <v>2.9087113077491566</v>
      </c>
      <c r="CA29" s="162"/>
      <c r="CB29" s="162">
        <f t="shared" si="63"/>
        <v>0.4200000000000001</v>
      </c>
      <c r="CC29" s="170">
        <f t="shared" si="64"/>
        <v>0.4200000000000001</v>
      </c>
      <c r="CD29" s="162">
        <f t="shared" si="12"/>
        <v>2.9087113077491566</v>
      </c>
      <c r="CE29" s="171">
        <f t="shared" si="65"/>
        <v>2.9087113077491566</v>
      </c>
      <c r="CF29" s="162"/>
      <c r="CG29" s="172">
        <f t="shared" si="66"/>
        <v>0.4200000000000001</v>
      </c>
      <c r="CH29" s="172">
        <f t="shared" si="67"/>
        <v>0.4200000000000001</v>
      </c>
      <c r="CI29" s="172">
        <f t="shared" si="13"/>
        <v>2.9087113077491566</v>
      </c>
      <c r="CJ29" s="171">
        <f t="shared" si="68"/>
        <v>2.9087113077491566</v>
      </c>
      <c r="CK29" s="172"/>
      <c r="CL29" s="162">
        <f t="shared" si="69"/>
        <v>0.4200000000000001</v>
      </c>
      <c r="CM29" s="170">
        <f t="shared" si="70"/>
        <v>0.4200000000000001</v>
      </c>
      <c r="CN29" s="162">
        <f t="shared" si="14"/>
        <v>2.9087113077491566</v>
      </c>
      <c r="CO29" s="171">
        <f t="shared" si="71"/>
        <v>2.9087113077491566</v>
      </c>
      <c r="CP29" s="162"/>
      <c r="CQ29" s="162">
        <f t="shared" si="72"/>
        <v>0.4200000000000001</v>
      </c>
      <c r="CR29" s="170">
        <f t="shared" si="73"/>
        <v>0.4200000000000001</v>
      </c>
      <c r="CS29" s="162">
        <f t="shared" si="15"/>
        <v>2.9087113077491566</v>
      </c>
      <c r="CT29" s="171">
        <f t="shared" si="74"/>
        <v>2.9087113077491566</v>
      </c>
      <c r="CU29" s="162"/>
      <c r="CV29" s="162">
        <f t="shared" si="75"/>
        <v>0.4200000000000001</v>
      </c>
      <c r="CW29" s="162">
        <f t="shared" si="76"/>
        <v>0.4200000000000001</v>
      </c>
      <c r="CX29" s="162">
        <f t="shared" si="16"/>
        <v>2.9087113077491566</v>
      </c>
      <c r="CY29" s="171">
        <f t="shared" si="77"/>
        <v>2.9087113077491566</v>
      </c>
      <c r="CZ29" s="162"/>
      <c r="DA29" s="162">
        <f t="shared" si="78"/>
        <v>0.4200000000000001</v>
      </c>
      <c r="DB29" s="170">
        <f t="shared" si="79"/>
        <v>0.4200000000000001</v>
      </c>
      <c r="DC29" s="162">
        <f t="shared" si="17"/>
        <v>2.9087113077491566</v>
      </c>
      <c r="DD29" s="171">
        <f t="shared" si="80"/>
        <v>2.9087113077491566</v>
      </c>
      <c r="DE29" s="162"/>
      <c r="DF29" s="162">
        <f t="shared" si="81"/>
        <v>0.4200000000000001</v>
      </c>
      <c r="DG29" s="170">
        <f t="shared" si="82"/>
        <v>0.4200000000000001</v>
      </c>
      <c r="DH29" s="162">
        <f t="shared" si="18"/>
        <v>2.9087113077491566</v>
      </c>
      <c r="DI29" s="171">
        <f t="shared" si="83"/>
        <v>2.9087113077491566</v>
      </c>
      <c r="DJ29" s="162"/>
      <c r="DK29" s="162">
        <f t="shared" si="84"/>
        <v>0.4200000000000001</v>
      </c>
      <c r="DL29" s="162">
        <f t="shared" si="85"/>
        <v>0.4200000000000001</v>
      </c>
      <c r="DM29" s="162">
        <f t="shared" si="19"/>
        <v>2.9087113077491566</v>
      </c>
      <c r="DN29" s="171">
        <f t="shared" si="86"/>
        <v>2.9087113077491566</v>
      </c>
      <c r="DO29" s="162"/>
      <c r="DP29" s="162">
        <f t="shared" si="87"/>
        <v>0.4200000000000001</v>
      </c>
      <c r="DQ29" s="170">
        <f t="shared" si="88"/>
        <v>0.4200000000000001</v>
      </c>
      <c r="DR29" s="162">
        <f t="shared" si="20"/>
        <v>2.9087113077491566</v>
      </c>
      <c r="DS29" s="171">
        <f t="shared" si="89"/>
        <v>2.9087113077491566</v>
      </c>
      <c r="DT29" s="162"/>
      <c r="DU29" s="162">
        <f t="shared" si="90"/>
        <v>0.4200000000000001</v>
      </c>
      <c r="DV29" s="170">
        <f t="shared" si="91"/>
        <v>0.4200000000000001</v>
      </c>
      <c r="DW29" s="162">
        <f t="shared" si="21"/>
        <v>2.9087113077491566</v>
      </c>
      <c r="DX29" s="171">
        <f t="shared" si="92"/>
        <v>2.9087113077491566</v>
      </c>
      <c r="DY29" s="162"/>
      <c r="DZ29" s="162">
        <f t="shared" si="93"/>
        <v>0.4200000000000001</v>
      </c>
      <c r="EA29" s="162">
        <f t="shared" si="94"/>
        <v>0.4200000000000001</v>
      </c>
      <c r="EB29" s="162">
        <f t="shared" si="22"/>
        <v>2.9087113077491566</v>
      </c>
      <c r="EC29" s="171">
        <f t="shared" si="95"/>
        <v>2.9087113077491566</v>
      </c>
      <c r="ED29" s="162"/>
      <c r="EE29" s="162">
        <f t="shared" si="96"/>
        <v>0.4200000000000001</v>
      </c>
      <c r="EF29" s="170">
        <f t="shared" si="97"/>
        <v>0.4200000000000001</v>
      </c>
      <c r="EG29" s="162">
        <f t="shared" si="23"/>
        <v>2.9087113077491566</v>
      </c>
      <c r="EH29" s="171">
        <f t="shared" si="98"/>
        <v>2.9087113077491566</v>
      </c>
      <c r="EI29" s="162"/>
      <c r="EJ29" s="162">
        <f t="shared" si="99"/>
        <v>0.4200000000000001</v>
      </c>
      <c r="EK29" s="170">
        <f t="shared" si="100"/>
        <v>0.4200000000000001</v>
      </c>
      <c r="EL29" s="162">
        <f t="shared" si="24"/>
        <v>2.9087113077491566</v>
      </c>
      <c r="EM29" s="171">
        <f t="shared" si="101"/>
        <v>2.9087113077491566</v>
      </c>
      <c r="EN29" s="162"/>
      <c r="EO29" s="162">
        <f t="shared" si="102"/>
        <v>0.4200000000000001</v>
      </c>
      <c r="EP29" s="162">
        <f t="shared" si="103"/>
        <v>0.4200000000000001</v>
      </c>
      <c r="EQ29" s="162">
        <f t="shared" si="25"/>
        <v>2.9087113077491566</v>
      </c>
      <c r="ER29" s="171">
        <f t="shared" si="104"/>
        <v>2.9087113077491566</v>
      </c>
      <c r="ES29" s="162"/>
      <c r="ET29" s="162">
        <f t="shared" si="105"/>
        <v>0.4200000000000001</v>
      </c>
      <c r="EU29" s="170">
        <f t="shared" si="106"/>
        <v>0.4200000000000001</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0.44000000000000011</v>
      </c>
      <c r="U30" s="170">
        <f t="shared" si="28"/>
        <v>0.44000000000000011</v>
      </c>
      <c r="V30" s="162">
        <f t="shared" si="0"/>
        <v>3.0079039204927991</v>
      </c>
      <c r="W30" s="171">
        <f t="shared" si="29"/>
        <v>3.0079039204927991</v>
      </c>
      <c r="X30" s="162"/>
      <c r="Y30" s="162">
        <f t="shared" si="30"/>
        <v>0.44000000000000011</v>
      </c>
      <c r="Z30" s="162">
        <f t="shared" si="31"/>
        <v>0.44000000000000011</v>
      </c>
      <c r="AA30" s="162">
        <f t="shared" si="1"/>
        <v>3.0079039204927991</v>
      </c>
      <c r="AB30" s="171">
        <f t="shared" si="32"/>
        <v>3.0079039204927991</v>
      </c>
      <c r="AC30" s="162"/>
      <c r="AD30" s="162">
        <f t="shared" si="33"/>
        <v>0.44000000000000011</v>
      </c>
      <c r="AE30" s="170">
        <f t="shared" si="34"/>
        <v>0.44000000000000011</v>
      </c>
      <c r="AF30" s="162">
        <f t="shared" si="2"/>
        <v>3.0079039204927991</v>
      </c>
      <c r="AG30" s="171">
        <f t="shared" si="35"/>
        <v>3.0079039204927991</v>
      </c>
      <c r="AH30" s="162"/>
      <c r="AI30" s="162">
        <f t="shared" si="36"/>
        <v>0.44000000000000011</v>
      </c>
      <c r="AJ30" s="170">
        <f t="shared" si="37"/>
        <v>0.44000000000000011</v>
      </c>
      <c r="AK30" s="162">
        <f t="shared" si="3"/>
        <v>3.0079039204927991</v>
      </c>
      <c r="AL30" s="171">
        <f t="shared" si="38"/>
        <v>3.0079039204927991</v>
      </c>
      <c r="AM30" s="162"/>
      <c r="AN30" s="162">
        <f t="shared" si="39"/>
        <v>0.44000000000000011</v>
      </c>
      <c r="AO30" s="162">
        <f t="shared" si="40"/>
        <v>0.44000000000000011</v>
      </c>
      <c r="AP30" s="162">
        <f t="shared" si="4"/>
        <v>3.0079039204927991</v>
      </c>
      <c r="AQ30" s="171">
        <f t="shared" si="41"/>
        <v>3.0079039204927991</v>
      </c>
      <c r="AR30" s="162"/>
      <c r="AS30" s="162">
        <f t="shared" si="42"/>
        <v>0.44000000000000011</v>
      </c>
      <c r="AT30" s="170">
        <f t="shared" si="43"/>
        <v>0.44000000000000011</v>
      </c>
      <c r="AU30" s="162">
        <f t="shared" si="5"/>
        <v>3.0079039204927991</v>
      </c>
      <c r="AV30" s="171">
        <f t="shared" si="44"/>
        <v>3.0079039204927991</v>
      </c>
      <c r="AW30" s="162"/>
      <c r="AX30" s="162">
        <f t="shared" si="45"/>
        <v>0.44000000000000011</v>
      </c>
      <c r="AY30" s="170">
        <f t="shared" si="46"/>
        <v>0.44000000000000011</v>
      </c>
      <c r="AZ30" s="162">
        <f t="shared" si="6"/>
        <v>3.0079039204927991</v>
      </c>
      <c r="BA30" s="171">
        <f t="shared" si="47"/>
        <v>3.0079039204927991</v>
      </c>
      <c r="BB30" s="162"/>
      <c r="BC30" s="162">
        <f t="shared" si="48"/>
        <v>0.44000000000000011</v>
      </c>
      <c r="BD30" s="162">
        <f t="shared" si="49"/>
        <v>0.44000000000000011</v>
      </c>
      <c r="BE30" s="162">
        <f t="shared" si="7"/>
        <v>3.0079039204927991</v>
      </c>
      <c r="BF30" s="171">
        <f t="shared" si="50"/>
        <v>3.0079039204927991</v>
      </c>
      <c r="BG30" s="162"/>
      <c r="BH30" s="162">
        <f t="shared" si="51"/>
        <v>0.44000000000000011</v>
      </c>
      <c r="BI30" s="170">
        <f t="shared" si="52"/>
        <v>0.44000000000000011</v>
      </c>
      <c r="BJ30" s="162">
        <f t="shared" si="8"/>
        <v>3.0079039204927991</v>
      </c>
      <c r="BK30" s="171">
        <f t="shared" si="53"/>
        <v>3.0079039204927991</v>
      </c>
      <c r="BL30" s="162"/>
      <c r="BM30" s="162">
        <f t="shared" si="54"/>
        <v>0.44000000000000011</v>
      </c>
      <c r="BN30" s="170">
        <f t="shared" si="55"/>
        <v>0.44000000000000011</v>
      </c>
      <c r="BO30" s="162">
        <f t="shared" si="9"/>
        <v>3.0079039204927991</v>
      </c>
      <c r="BP30" s="171">
        <f t="shared" si="56"/>
        <v>3.0079039204927991</v>
      </c>
      <c r="BQ30" s="162"/>
      <c r="BR30" s="162">
        <f t="shared" si="57"/>
        <v>0.44000000000000011</v>
      </c>
      <c r="BS30" s="162">
        <f t="shared" si="58"/>
        <v>0.44000000000000011</v>
      </c>
      <c r="BT30" s="162">
        <f t="shared" si="10"/>
        <v>3.0079039204927991</v>
      </c>
      <c r="BU30" s="171">
        <f t="shared" si="59"/>
        <v>3.0079039204927991</v>
      </c>
      <c r="BV30" s="162"/>
      <c r="BW30" s="162">
        <f t="shared" si="60"/>
        <v>0.44000000000000011</v>
      </c>
      <c r="BX30" s="170">
        <f t="shared" si="61"/>
        <v>0.44000000000000011</v>
      </c>
      <c r="BY30" s="162">
        <f t="shared" si="11"/>
        <v>3.0079039204927991</v>
      </c>
      <c r="BZ30" s="171">
        <f t="shared" si="62"/>
        <v>3.0079039204927991</v>
      </c>
      <c r="CA30" s="162"/>
      <c r="CB30" s="162">
        <f t="shared" si="63"/>
        <v>0.44000000000000011</v>
      </c>
      <c r="CC30" s="170">
        <f t="shared" si="64"/>
        <v>0.44000000000000011</v>
      </c>
      <c r="CD30" s="162">
        <f t="shared" si="12"/>
        <v>3.0079039204927991</v>
      </c>
      <c r="CE30" s="171">
        <f t="shared" si="65"/>
        <v>3.0079039204927991</v>
      </c>
      <c r="CF30" s="162"/>
      <c r="CG30" s="172">
        <f t="shared" si="66"/>
        <v>0.44000000000000011</v>
      </c>
      <c r="CH30" s="172">
        <f t="shared" si="67"/>
        <v>0.44000000000000011</v>
      </c>
      <c r="CI30" s="172">
        <f t="shared" si="13"/>
        <v>3.0079039204927991</v>
      </c>
      <c r="CJ30" s="171">
        <f t="shared" si="68"/>
        <v>3.0079039204927991</v>
      </c>
      <c r="CK30" s="172"/>
      <c r="CL30" s="162">
        <f t="shared" si="69"/>
        <v>0.44000000000000011</v>
      </c>
      <c r="CM30" s="170">
        <f t="shared" si="70"/>
        <v>0.44000000000000011</v>
      </c>
      <c r="CN30" s="162">
        <f t="shared" si="14"/>
        <v>3.0079039204927991</v>
      </c>
      <c r="CO30" s="171">
        <f t="shared" si="71"/>
        <v>3.0079039204927991</v>
      </c>
      <c r="CP30" s="162"/>
      <c r="CQ30" s="162">
        <f t="shared" si="72"/>
        <v>0.44000000000000011</v>
      </c>
      <c r="CR30" s="170">
        <f t="shared" si="73"/>
        <v>0.44000000000000011</v>
      </c>
      <c r="CS30" s="162">
        <f t="shared" si="15"/>
        <v>3.0079039204927991</v>
      </c>
      <c r="CT30" s="171">
        <f t="shared" si="74"/>
        <v>3.0079039204927991</v>
      </c>
      <c r="CU30" s="162"/>
      <c r="CV30" s="162">
        <f t="shared" si="75"/>
        <v>0.44000000000000011</v>
      </c>
      <c r="CW30" s="162">
        <f t="shared" si="76"/>
        <v>0.44000000000000011</v>
      </c>
      <c r="CX30" s="162">
        <f t="shared" si="16"/>
        <v>3.0079039204927991</v>
      </c>
      <c r="CY30" s="171">
        <f t="shared" si="77"/>
        <v>3.0079039204927991</v>
      </c>
      <c r="CZ30" s="162"/>
      <c r="DA30" s="162">
        <f t="shared" si="78"/>
        <v>0.44000000000000011</v>
      </c>
      <c r="DB30" s="170">
        <f t="shared" si="79"/>
        <v>0.44000000000000011</v>
      </c>
      <c r="DC30" s="162">
        <f t="shared" si="17"/>
        <v>3.0079039204927991</v>
      </c>
      <c r="DD30" s="171">
        <f t="shared" si="80"/>
        <v>3.0079039204927991</v>
      </c>
      <c r="DE30" s="162"/>
      <c r="DF30" s="162">
        <f t="shared" si="81"/>
        <v>0.44000000000000011</v>
      </c>
      <c r="DG30" s="170">
        <f t="shared" si="82"/>
        <v>0.44000000000000011</v>
      </c>
      <c r="DH30" s="162">
        <f t="shared" si="18"/>
        <v>3.0079039204927991</v>
      </c>
      <c r="DI30" s="171">
        <f t="shared" si="83"/>
        <v>3.0079039204927991</v>
      </c>
      <c r="DJ30" s="162"/>
      <c r="DK30" s="162">
        <f t="shared" si="84"/>
        <v>0.44000000000000011</v>
      </c>
      <c r="DL30" s="162">
        <f t="shared" si="85"/>
        <v>0.44000000000000011</v>
      </c>
      <c r="DM30" s="162">
        <f t="shared" si="19"/>
        <v>3.0079039204927991</v>
      </c>
      <c r="DN30" s="171">
        <f t="shared" si="86"/>
        <v>3.0079039204927991</v>
      </c>
      <c r="DO30" s="162"/>
      <c r="DP30" s="162">
        <f t="shared" si="87"/>
        <v>0.44000000000000011</v>
      </c>
      <c r="DQ30" s="170">
        <f t="shared" si="88"/>
        <v>0.44000000000000011</v>
      </c>
      <c r="DR30" s="162">
        <f t="shared" si="20"/>
        <v>3.0079039204927991</v>
      </c>
      <c r="DS30" s="171">
        <f t="shared" si="89"/>
        <v>3.0079039204927991</v>
      </c>
      <c r="DT30" s="162"/>
      <c r="DU30" s="162">
        <f t="shared" si="90"/>
        <v>0.44000000000000011</v>
      </c>
      <c r="DV30" s="170">
        <f t="shared" si="91"/>
        <v>0.44000000000000011</v>
      </c>
      <c r="DW30" s="162">
        <f t="shared" si="21"/>
        <v>3.0079039204927991</v>
      </c>
      <c r="DX30" s="171">
        <f t="shared" si="92"/>
        <v>3.0079039204927991</v>
      </c>
      <c r="DY30" s="162"/>
      <c r="DZ30" s="162">
        <f t="shared" si="93"/>
        <v>0.44000000000000011</v>
      </c>
      <c r="EA30" s="162">
        <f t="shared" si="94"/>
        <v>0.44000000000000011</v>
      </c>
      <c r="EB30" s="162">
        <f t="shared" si="22"/>
        <v>3.0079039204927991</v>
      </c>
      <c r="EC30" s="171">
        <f t="shared" si="95"/>
        <v>3.0079039204927991</v>
      </c>
      <c r="ED30" s="162"/>
      <c r="EE30" s="162">
        <f t="shared" si="96"/>
        <v>0.44000000000000011</v>
      </c>
      <c r="EF30" s="170">
        <f t="shared" si="97"/>
        <v>0.44000000000000011</v>
      </c>
      <c r="EG30" s="162">
        <f t="shared" si="23"/>
        <v>3.0079039204927991</v>
      </c>
      <c r="EH30" s="171">
        <f t="shared" si="98"/>
        <v>3.0079039204927991</v>
      </c>
      <c r="EI30" s="162"/>
      <c r="EJ30" s="162">
        <f t="shared" si="99"/>
        <v>0.44000000000000011</v>
      </c>
      <c r="EK30" s="170">
        <f t="shared" si="100"/>
        <v>0.44000000000000011</v>
      </c>
      <c r="EL30" s="162">
        <f t="shared" si="24"/>
        <v>3.0079039204927991</v>
      </c>
      <c r="EM30" s="171">
        <f t="shared" si="101"/>
        <v>3.0079039204927991</v>
      </c>
      <c r="EN30" s="162"/>
      <c r="EO30" s="162">
        <f t="shared" si="102"/>
        <v>0.44000000000000011</v>
      </c>
      <c r="EP30" s="162">
        <f t="shared" si="103"/>
        <v>0.44000000000000011</v>
      </c>
      <c r="EQ30" s="162">
        <f t="shared" si="25"/>
        <v>3.0079039204927991</v>
      </c>
      <c r="ER30" s="171">
        <f t="shared" si="104"/>
        <v>3.0079039204927991</v>
      </c>
      <c r="ES30" s="162"/>
      <c r="ET30" s="162">
        <f t="shared" si="105"/>
        <v>0.44000000000000011</v>
      </c>
      <c r="EU30" s="170">
        <f t="shared" si="106"/>
        <v>0.44000000000000011</v>
      </c>
      <c r="EV30" s="162">
        <f t="shared" si="26"/>
        <v>3.0079039204927991</v>
      </c>
      <c r="EW30" s="171">
        <f t="shared" si="107"/>
        <v>3.0079039204927991</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0.46000000000000013</v>
      </c>
      <c r="U31" s="170">
        <f t="shared" si="28"/>
        <v>0.46000000000000013</v>
      </c>
      <c r="V31" s="162">
        <f t="shared" si="0"/>
        <v>3.1043880205085941</v>
      </c>
      <c r="W31" s="171">
        <f t="shared" si="29"/>
        <v>3.1043880205085941</v>
      </c>
      <c r="X31" s="162"/>
      <c r="Y31" s="162">
        <f t="shared" si="30"/>
        <v>0.46000000000000013</v>
      </c>
      <c r="Z31" s="162">
        <f t="shared" si="31"/>
        <v>0.46000000000000013</v>
      </c>
      <c r="AA31" s="162">
        <f t="shared" si="1"/>
        <v>3.1043880205085941</v>
      </c>
      <c r="AB31" s="171">
        <f t="shared" si="32"/>
        <v>3.1043880205085941</v>
      </c>
      <c r="AC31" s="162"/>
      <c r="AD31" s="162">
        <f t="shared" si="33"/>
        <v>0.46000000000000013</v>
      </c>
      <c r="AE31" s="170">
        <f t="shared" si="34"/>
        <v>0.46000000000000013</v>
      </c>
      <c r="AF31" s="162">
        <f t="shared" si="2"/>
        <v>3.1043880205085941</v>
      </c>
      <c r="AG31" s="171">
        <f t="shared" si="35"/>
        <v>3.1043880205085941</v>
      </c>
      <c r="AH31" s="162"/>
      <c r="AI31" s="162">
        <f t="shared" si="36"/>
        <v>0.46000000000000013</v>
      </c>
      <c r="AJ31" s="170">
        <f t="shared" si="37"/>
        <v>0.46000000000000013</v>
      </c>
      <c r="AK31" s="162">
        <f t="shared" si="3"/>
        <v>3.1043880205085941</v>
      </c>
      <c r="AL31" s="171">
        <f t="shared" si="38"/>
        <v>3.1043880205085941</v>
      </c>
      <c r="AM31" s="162"/>
      <c r="AN31" s="162">
        <f t="shared" si="39"/>
        <v>0.46000000000000013</v>
      </c>
      <c r="AO31" s="162">
        <f t="shared" si="40"/>
        <v>0.46000000000000013</v>
      </c>
      <c r="AP31" s="162">
        <f t="shared" si="4"/>
        <v>3.1043880205085941</v>
      </c>
      <c r="AQ31" s="171">
        <f t="shared" si="41"/>
        <v>3.1043880205085941</v>
      </c>
      <c r="AR31" s="162"/>
      <c r="AS31" s="162">
        <f t="shared" si="42"/>
        <v>0.46000000000000013</v>
      </c>
      <c r="AT31" s="170">
        <f t="shared" si="43"/>
        <v>0.46000000000000013</v>
      </c>
      <c r="AU31" s="162">
        <f t="shared" si="5"/>
        <v>3.1043880205085941</v>
      </c>
      <c r="AV31" s="171">
        <f t="shared" si="44"/>
        <v>3.1043880205085941</v>
      </c>
      <c r="AW31" s="162"/>
      <c r="AX31" s="162">
        <f t="shared" si="45"/>
        <v>0.46000000000000013</v>
      </c>
      <c r="AY31" s="170">
        <f t="shared" si="46"/>
        <v>0.46000000000000013</v>
      </c>
      <c r="AZ31" s="162">
        <f t="shared" si="6"/>
        <v>3.1043880205085941</v>
      </c>
      <c r="BA31" s="171">
        <f t="shared" si="47"/>
        <v>3.1043880205085941</v>
      </c>
      <c r="BB31" s="162"/>
      <c r="BC31" s="162">
        <f t="shared" si="48"/>
        <v>0.46000000000000013</v>
      </c>
      <c r="BD31" s="162">
        <f t="shared" si="49"/>
        <v>0.46000000000000013</v>
      </c>
      <c r="BE31" s="162">
        <f t="shared" si="7"/>
        <v>3.1043880205085941</v>
      </c>
      <c r="BF31" s="171">
        <f t="shared" si="50"/>
        <v>3.1043880205085941</v>
      </c>
      <c r="BG31" s="162"/>
      <c r="BH31" s="162">
        <f t="shared" si="51"/>
        <v>0.46000000000000013</v>
      </c>
      <c r="BI31" s="170">
        <f t="shared" si="52"/>
        <v>0.46000000000000013</v>
      </c>
      <c r="BJ31" s="162">
        <f t="shared" si="8"/>
        <v>3.1043880205085941</v>
      </c>
      <c r="BK31" s="171">
        <f t="shared" si="53"/>
        <v>3.1043880205085941</v>
      </c>
      <c r="BL31" s="162"/>
      <c r="BM31" s="162">
        <f t="shared" si="54"/>
        <v>0.46000000000000013</v>
      </c>
      <c r="BN31" s="170">
        <f t="shared" si="55"/>
        <v>0.46000000000000013</v>
      </c>
      <c r="BO31" s="162">
        <f t="shared" si="9"/>
        <v>3.1043880205085941</v>
      </c>
      <c r="BP31" s="171">
        <f t="shared" si="56"/>
        <v>3.1043880205085941</v>
      </c>
      <c r="BQ31" s="162"/>
      <c r="BR31" s="162">
        <f t="shared" si="57"/>
        <v>0.46000000000000013</v>
      </c>
      <c r="BS31" s="162">
        <f t="shared" si="58"/>
        <v>0.46000000000000013</v>
      </c>
      <c r="BT31" s="162">
        <f t="shared" si="10"/>
        <v>3.1043880205085941</v>
      </c>
      <c r="BU31" s="171">
        <f t="shared" si="59"/>
        <v>3.1043880205085941</v>
      </c>
      <c r="BV31" s="162"/>
      <c r="BW31" s="162">
        <f t="shared" si="60"/>
        <v>0.46000000000000013</v>
      </c>
      <c r="BX31" s="170">
        <f t="shared" si="61"/>
        <v>0.46000000000000013</v>
      </c>
      <c r="BY31" s="162">
        <f t="shared" si="11"/>
        <v>3.1043880205085941</v>
      </c>
      <c r="BZ31" s="171">
        <f t="shared" si="62"/>
        <v>3.1043880205085941</v>
      </c>
      <c r="CA31" s="162"/>
      <c r="CB31" s="162">
        <f t="shared" si="63"/>
        <v>0.46000000000000013</v>
      </c>
      <c r="CC31" s="170">
        <f t="shared" si="64"/>
        <v>0.46000000000000013</v>
      </c>
      <c r="CD31" s="162">
        <f t="shared" si="12"/>
        <v>3.1043880205085941</v>
      </c>
      <c r="CE31" s="171">
        <f t="shared" si="65"/>
        <v>3.1043880205085941</v>
      </c>
      <c r="CF31" s="162"/>
      <c r="CG31" s="172">
        <f t="shared" si="66"/>
        <v>0.46000000000000013</v>
      </c>
      <c r="CH31" s="172">
        <f t="shared" si="67"/>
        <v>0.46000000000000013</v>
      </c>
      <c r="CI31" s="172">
        <f t="shared" si="13"/>
        <v>3.1043880205085941</v>
      </c>
      <c r="CJ31" s="171">
        <f t="shared" si="68"/>
        <v>3.1043880205085941</v>
      </c>
      <c r="CK31" s="172"/>
      <c r="CL31" s="162">
        <f t="shared" si="69"/>
        <v>0.46000000000000013</v>
      </c>
      <c r="CM31" s="170">
        <f t="shared" si="70"/>
        <v>0.46000000000000013</v>
      </c>
      <c r="CN31" s="162">
        <f t="shared" si="14"/>
        <v>3.1043880205085941</v>
      </c>
      <c r="CO31" s="171">
        <f t="shared" si="71"/>
        <v>3.1043880205085941</v>
      </c>
      <c r="CP31" s="162"/>
      <c r="CQ31" s="162">
        <f t="shared" si="72"/>
        <v>0.46000000000000013</v>
      </c>
      <c r="CR31" s="170">
        <f t="shared" si="73"/>
        <v>0.46000000000000013</v>
      </c>
      <c r="CS31" s="162">
        <f t="shared" si="15"/>
        <v>3.1043880205085941</v>
      </c>
      <c r="CT31" s="171">
        <f t="shared" si="74"/>
        <v>3.1043880205085941</v>
      </c>
      <c r="CU31" s="162"/>
      <c r="CV31" s="162">
        <f t="shared" si="75"/>
        <v>0.46000000000000013</v>
      </c>
      <c r="CW31" s="162">
        <f t="shared" si="76"/>
        <v>0.46000000000000013</v>
      </c>
      <c r="CX31" s="162">
        <f t="shared" si="16"/>
        <v>3.1043880205085941</v>
      </c>
      <c r="CY31" s="171">
        <f t="shared" si="77"/>
        <v>3.1043880205085941</v>
      </c>
      <c r="CZ31" s="162"/>
      <c r="DA31" s="162">
        <f t="shared" si="78"/>
        <v>0.46000000000000013</v>
      </c>
      <c r="DB31" s="170">
        <f t="shared" si="79"/>
        <v>0.46000000000000013</v>
      </c>
      <c r="DC31" s="162">
        <f t="shared" si="17"/>
        <v>3.1043880205085941</v>
      </c>
      <c r="DD31" s="171">
        <f t="shared" si="80"/>
        <v>3.1043880205085941</v>
      </c>
      <c r="DE31" s="162"/>
      <c r="DF31" s="162">
        <f t="shared" si="81"/>
        <v>0.46000000000000013</v>
      </c>
      <c r="DG31" s="170">
        <f t="shared" si="82"/>
        <v>0.46000000000000013</v>
      </c>
      <c r="DH31" s="162">
        <f t="shared" si="18"/>
        <v>3.1043880205085941</v>
      </c>
      <c r="DI31" s="171">
        <f t="shared" si="83"/>
        <v>3.1043880205085941</v>
      </c>
      <c r="DJ31" s="162"/>
      <c r="DK31" s="162">
        <f t="shared" si="84"/>
        <v>0.46000000000000013</v>
      </c>
      <c r="DL31" s="162">
        <f t="shared" si="85"/>
        <v>0.46000000000000013</v>
      </c>
      <c r="DM31" s="162">
        <f t="shared" si="19"/>
        <v>3.1043880205085941</v>
      </c>
      <c r="DN31" s="171">
        <f t="shared" si="86"/>
        <v>3.1043880205085941</v>
      </c>
      <c r="DO31" s="162"/>
      <c r="DP31" s="162">
        <f t="shared" si="87"/>
        <v>0.46000000000000013</v>
      </c>
      <c r="DQ31" s="170">
        <f t="shared" si="88"/>
        <v>0.46000000000000013</v>
      </c>
      <c r="DR31" s="162">
        <f t="shared" si="20"/>
        <v>3.1043880205085941</v>
      </c>
      <c r="DS31" s="171">
        <f t="shared" si="89"/>
        <v>3.1043880205085941</v>
      </c>
      <c r="DT31" s="162"/>
      <c r="DU31" s="162">
        <f t="shared" si="90"/>
        <v>0.46000000000000013</v>
      </c>
      <c r="DV31" s="170">
        <f t="shared" si="91"/>
        <v>0.46000000000000013</v>
      </c>
      <c r="DW31" s="162">
        <f t="shared" si="21"/>
        <v>3.1043880205085941</v>
      </c>
      <c r="DX31" s="171">
        <f t="shared" si="92"/>
        <v>3.1043880205085941</v>
      </c>
      <c r="DY31" s="162"/>
      <c r="DZ31" s="162">
        <f t="shared" si="93"/>
        <v>0.46000000000000013</v>
      </c>
      <c r="EA31" s="162">
        <f t="shared" si="94"/>
        <v>0.46000000000000013</v>
      </c>
      <c r="EB31" s="162">
        <f t="shared" si="22"/>
        <v>3.1043880205085941</v>
      </c>
      <c r="EC31" s="171">
        <f t="shared" si="95"/>
        <v>3.1043880205085941</v>
      </c>
      <c r="ED31" s="162"/>
      <c r="EE31" s="162">
        <f t="shared" si="96"/>
        <v>0.46000000000000013</v>
      </c>
      <c r="EF31" s="170">
        <f t="shared" si="97"/>
        <v>0.46000000000000013</v>
      </c>
      <c r="EG31" s="162">
        <f t="shared" si="23"/>
        <v>3.1043880205085941</v>
      </c>
      <c r="EH31" s="171">
        <f t="shared" si="98"/>
        <v>3.1043880205085941</v>
      </c>
      <c r="EI31" s="162"/>
      <c r="EJ31" s="162">
        <f t="shared" si="99"/>
        <v>0.46000000000000013</v>
      </c>
      <c r="EK31" s="170">
        <f t="shared" si="100"/>
        <v>0.46000000000000013</v>
      </c>
      <c r="EL31" s="162">
        <f t="shared" si="24"/>
        <v>3.1043880205085941</v>
      </c>
      <c r="EM31" s="171">
        <f t="shared" si="101"/>
        <v>3.1043880205085941</v>
      </c>
      <c r="EN31" s="162"/>
      <c r="EO31" s="162">
        <f t="shared" si="102"/>
        <v>0.46000000000000013</v>
      </c>
      <c r="EP31" s="162">
        <f t="shared" si="103"/>
        <v>0.46000000000000013</v>
      </c>
      <c r="EQ31" s="162">
        <f t="shared" si="25"/>
        <v>3.1043880205085941</v>
      </c>
      <c r="ER31" s="171">
        <f t="shared" si="104"/>
        <v>3.1043880205085941</v>
      </c>
      <c r="ES31" s="162"/>
      <c r="ET31" s="162">
        <f t="shared" si="105"/>
        <v>0.46000000000000013</v>
      </c>
      <c r="EU31" s="170">
        <f t="shared" si="106"/>
        <v>0.46000000000000013</v>
      </c>
      <c r="EV31" s="162">
        <f t="shared" si="26"/>
        <v>3.1043880205085941</v>
      </c>
      <c r="EW31" s="171">
        <f t="shared" si="107"/>
        <v>3.1043880205085941</v>
      </c>
      <c r="EX31" s="162"/>
    </row>
    <row r="32" spans="3:154" s="181" customFormat="1" ht="14.45" customHeight="1" x14ac:dyDescent="0.25">
      <c r="C32" s="223" t="s">
        <v>350</v>
      </c>
      <c r="D32" s="224"/>
      <c r="E32" s="224"/>
      <c r="F32" s="224"/>
      <c r="G32" s="225"/>
      <c r="H32" s="160"/>
      <c r="I32" s="160"/>
      <c r="J32" s="160"/>
      <c r="K32" s="160"/>
      <c r="L32" s="160"/>
      <c r="M32" s="160"/>
      <c r="N32" s="160"/>
      <c r="O32" s="160"/>
      <c r="P32" s="160"/>
      <c r="Q32" s="160"/>
      <c r="R32" s="160"/>
      <c r="S32" s="160"/>
      <c r="T32" s="162">
        <f t="shared" si="27"/>
        <v>0.48000000000000015</v>
      </c>
      <c r="U32" s="170">
        <f t="shared" si="28"/>
        <v>0.48000000000000015</v>
      </c>
      <c r="V32" s="162">
        <f t="shared" si="0"/>
        <v>3.1981636077965416</v>
      </c>
      <c r="W32" s="171">
        <f t="shared" si="29"/>
        <v>3.1981636077965416</v>
      </c>
      <c r="X32" s="162"/>
      <c r="Y32" s="162">
        <f t="shared" si="30"/>
        <v>0.48000000000000015</v>
      </c>
      <c r="Z32" s="162">
        <f t="shared" si="31"/>
        <v>0.48000000000000015</v>
      </c>
      <c r="AA32" s="162">
        <f t="shared" si="1"/>
        <v>3.1981636077965416</v>
      </c>
      <c r="AB32" s="171">
        <f t="shared" si="32"/>
        <v>3.1981636077965416</v>
      </c>
      <c r="AC32" s="162"/>
      <c r="AD32" s="162">
        <f t="shared" si="33"/>
        <v>0.48000000000000015</v>
      </c>
      <c r="AE32" s="170">
        <f t="shared" si="34"/>
        <v>0.48000000000000015</v>
      </c>
      <c r="AF32" s="162">
        <f t="shared" si="2"/>
        <v>3.1981636077965416</v>
      </c>
      <c r="AG32" s="171">
        <f t="shared" si="35"/>
        <v>3.1981636077965416</v>
      </c>
      <c r="AH32" s="162"/>
      <c r="AI32" s="162">
        <f t="shared" si="36"/>
        <v>0.48000000000000015</v>
      </c>
      <c r="AJ32" s="170">
        <f t="shared" si="37"/>
        <v>0.48000000000000015</v>
      </c>
      <c r="AK32" s="162">
        <f t="shared" si="3"/>
        <v>3.1981636077965416</v>
      </c>
      <c r="AL32" s="171">
        <f t="shared" si="38"/>
        <v>3.1981636077965416</v>
      </c>
      <c r="AM32" s="162"/>
      <c r="AN32" s="162">
        <f t="shared" si="39"/>
        <v>0.48000000000000015</v>
      </c>
      <c r="AO32" s="162">
        <f t="shared" si="40"/>
        <v>0.48000000000000015</v>
      </c>
      <c r="AP32" s="162">
        <f t="shared" si="4"/>
        <v>3.1981636077965416</v>
      </c>
      <c r="AQ32" s="171">
        <f t="shared" si="41"/>
        <v>3.1981636077965416</v>
      </c>
      <c r="AR32" s="162"/>
      <c r="AS32" s="162">
        <f t="shared" si="42"/>
        <v>0.48000000000000015</v>
      </c>
      <c r="AT32" s="170">
        <f t="shared" si="43"/>
        <v>0.48000000000000015</v>
      </c>
      <c r="AU32" s="162">
        <f t="shared" si="5"/>
        <v>3.1981636077965416</v>
      </c>
      <c r="AV32" s="171">
        <f t="shared" si="44"/>
        <v>3.1981636077965416</v>
      </c>
      <c r="AW32" s="162"/>
      <c r="AX32" s="162">
        <f t="shared" si="45"/>
        <v>0.48000000000000015</v>
      </c>
      <c r="AY32" s="170">
        <f t="shared" si="46"/>
        <v>0.48000000000000015</v>
      </c>
      <c r="AZ32" s="162">
        <f t="shared" si="6"/>
        <v>3.1981636077965416</v>
      </c>
      <c r="BA32" s="171">
        <f t="shared" si="47"/>
        <v>3.1981636077965416</v>
      </c>
      <c r="BB32" s="162"/>
      <c r="BC32" s="162">
        <f t="shared" si="48"/>
        <v>0.48000000000000015</v>
      </c>
      <c r="BD32" s="162">
        <f t="shared" si="49"/>
        <v>0.48000000000000015</v>
      </c>
      <c r="BE32" s="162">
        <f t="shared" si="7"/>
        <v>3.1981636077965416</v>
      </c>
      <c r="BF32" s="171">
        <f t="shared" si="50"/>
        <v>3.1981636077965416</v>
      </c>
      <c r="BG32" s="162"/>
      <c r="BH32" s="162">
        <f t="shared" si="51"/>
        <v>0.48000000000000015</v>
      </c>
      <c r="BI32" s="170">
        <f t="shared" si="52"/>
        <v>0.48000000000000015</v>
      </c>
      <c r="BJ32" s="162">
        <f t="shared" si="8"/>
        <v>3.1981636077965416</v>
      </c>
      <c r="BK32" s="171">
        <f t="shared" si="53"/>
        <v>3.1981636077965416</v>
      </c>
      <c r="BL32" s="162"/>
      <c r="BM32" s="162">
        <f t="shared" si="54"/>
        <v>0.48000000000000015</v>
      </c>
      <c r="BN32" s="170">
        <f t="shared" si="55"/>
        <v>0.48000000000000015</v>
      </c>
      <c r="BO32" s="162">
        <f t="shared" si="9"/>
        <v>3.1981636077965416</v>
      </c>
      <c r="BP32" s="171">
        <f t="shared" si="56"/>
        <v>3.1981636077965416</v>
      </c>
      <c r="BQ32" s="162"/>
      <c r="BR32" s="162">
        <f t="shared" si="57"/>
        <v>0.48000000000000015</v>
      </c>
      <c r="BS32" s="162">
        <f t="shared" si="58"/>
        <v>0.48000000000000015</v>
      </c>
      <c r="BT32" s="162">
        <f t="shared" si="10"/>
        <v>3.1981636077965416</v>
      </c>
      <c r="BU32" s="171">
        <f t="shared" si="59"/>
        <v>3.1981636077965416</v>
      </c>
      <c r="BV32" s="162"/>
      <c r="BW32" s="162">
        <f t="shared" si="60"/>
        <v>0.48000000000000015</v>
      </c>
      <c r="BX32" s="170">
        <f t="shared" si="61"/>
        <v>0.48000000000000015</v>
      </c>
      <c r="BY32" s="162">
        <f t="shared" si="11"/>
        <v>3.1981636077965416</v>
      </c>
      <c r="BZ32" s="171">
        <f t="shared" si="62"/>
        <v>3.1981636077965416</v>
      </c>
      <c r="CA32" s="162"/>
      <c r="CB32" s="162">
        <f t="shared" si="63"/>
        <v>0.48000000000000015</v>
      </c>
      <c r="CC32" s="170">
        <f t="shared" si="64"/>
        <v>0.48000000000000015</v>
      </c>
      <c r="CD32" s="162">
        <f t="shared" si="12"/>
        <v>3.1981636077965416</v>
      </c>
      <c r="CE32" s="171">
        <f t="shared" si="65"/>
        <v>3.1981636077965416</v>
      </c>
      <c r="CF32" s="162"/>
      <c r="CG32" s="172">
        <f t="shared" si="66"/>
        <v>0.48000000000000015</v>
      </c>
      <c r="CH32" s="172">
        <f t="shared" si="67"/>
        <v>0.48000000000000015</v>
      </c>
      <c r="CI32" s="172">
        <f t="shared" si="13"/>
        <v>3.1981636077965416</v>
      </c>
      <c r="CJ32" s="171">
        <f t="shared" si="68"/>
        <v>3.1981636077965416</v>
      </c>
      <c r="CK32" s="172"/>
      <c r="CL32" s="162">
        <f t="shared" si="69"/>
        <v>0.48000000000000015</v>
      </c>
      <c r="CM32" s="170">
        <f t="shared" si="70"/>
        <v>0.48000000000000015</v>
      </c>
      <c r="CN32" s="162">
        <f t="shared" si="14"/>
        <v>3.1981636077965416</v>
      </c>
      <c r="CO32" s="171">
        <f t="shared" si="71"/>
        <v>3.1981636077965416</v>
      </c>
      <c r="CP32" s="162"/>
      <c r="CQ32" s="162">
        <f t="shared" si="72"/>
        <v>0.48000000000000015</v>
      </c>
      <c r="CR32" s="170">
        <f t="shared" si="73"/>
        <v>0.48000000000000015</v>
      </c>
      <c r="CS32" s="162">
        <f t="shared" si="15"/>
        <v>3.1981636077965416</v>
      </c>
      <c r="CT32" s="171">
        <f t="shared" si="74"/>
        <v>3.1981636077965416</v>
      </c>
      <c r="CU32" s="162"/>
      <c r="CV32" s="162">
        <f t="shared" si="75"/>
        <v>0.48000000000000015</v>
      </c>
      <c r="CW32" s="162">
        <f t="shared" si="76"/>
        <v>0.48000000000000015</v>
      </c>
      <c r="CX32" s="162">
        <f t="shared" si="16"/>
        <v>3.1981636077965416</v>
      </c>
      <c r="CY32" s="171">
        <f t="shared" si="77"/>
        <v>3.1981636077965416</v>
      </c>
      <c r="CZ32" s="162"/>
      <c r="DA32" s="162">
        <f t="shared" si="78"/>
        <v>0.48000000000000015</v>
      </c>
      <c r="DB32" s="170">
        <f t="shared" si="79"/>
        <v>0.48000000000000015</v>
      </c>
      <c r="DC32" s="162">
        <f t="shared" si="17"/>
        <v>3.1981636077965416</v>
      </c>
      <c r="DD32" s="171">
        <f t="shared" si="80"/>
        <v>3.1981636077965416</v>
      </c>
      <c r="DE32" s="162"/>
      <c r="DF32" s="162">
        <f t="shared" si="81"/>
        <v>0.48000000000000015</v>
      </c>
      <c r="DG32" s="170">
        <f t="shared" si="82"/>
        <v>0.48000000000000015</v>
      </c>
      <c r="DH32" s="162">
        <f t="shared" si="18"/>
        <v>3.1981636077965416</v>
      </c>
      <c r="DI32" s="171">
        <f t="shared" si="83"/>
        <v>3.1981636077965416</v>
      </c>
      <c r="DJ32" s="162"/>
      <c r="DK32" s="162">
        <f t="shared" si="84"/>
        <v>0.48000000000000015</v>
      </c>
      <c r="DL32" s="162">
        <f t="shared" si="85"/>
        <v>0.48000000000000015</v>
      </c>
      <c r="DM32" s="162">
        <f t="shared" si="19"/>
        <v>3.1981636077965416</v>
      </c>
      <c r="DN32" s="171">
        <f t="shared" si="86"/>
        <v>3.1981636077965416</v>
      </c>
      <c r="DO32" s="162"/>
      <c r="DP32" s="162">
        <f t="shared" si="87"/>
        <v>0.48000000000000015</v>
      </c>
      <c r="DQ32" s="170">
        <f t="shared" si="88"/>
        <v>0.48000000000000015</v>
      </c>
      <c r="DR32" s="162">
        <f t="shared" si="20"/>
        <v>3.1981636077965416</v>
      </c>
      <c r="DS32" s="171">
        <f t="shared" si="89"/>
        <v>3.1981636077965416</v>
      </c>
      <c r="DT32" s="162"/>
      <c r="DU32" s="162">
        <f t="shared" si="90"/>
        <v>0.48000000000000015</v>
      </c>
      <c r="DV32" s="170">
        <f t="shared" si="91"/>
        <v>0.48000000000000015</v>
      </c>
      <c r="DW32" s="162">
        <f t="shared" si="21"/>
        <v>3.1981636077965416</v>
      </c>
      <c r="DX32" s="171">
        <f t="shared" si="92"/>
        <v>3.1981636077965416</v>
      </c>
      <c r="DY32" s="162"/>
      <c r="DZ32" s="162">
        <f t="shared" si="93"/>
        <v>0.48000000000000015</v>
      </c>
      <c r="EA32" s="162">
        <f t="shared" si="94"/>
        <v>0.48000000000000015</v>
      </c>
      <c r="EB32" s="162">
        <f t="shared" si="22"/>
        <v>3.1981636077965416</v>
      </c>
      <c r="EC32" s="171">
        <f t="shared" si="95"/>
        <v>3.1981636077965416</v>
      </c>
      <c r="ED32" s="162"/>
      <c r="EE32" s="162">
        <f t="shared" si="96"/>
        <v>0.48000000000000015</v>
      </c>
      <c r="EF32" s="170">
        <f t="shared" si="97"/>
        <v>0.48000000000000015</v>
      </c>
      <c r="EG32" s="162">
        <f t="shared" si="23"/>
        <v>3.1981636077965416</v>
      </c>
      <c r="EH32" s="171">
        <f t="shared" si="98"/>
        <v>3.1981636077965416</v>
      </c>
      <c r="EI32" s="162"/>
      <c r="EJ32" s="162">
        <f t="shared" si="99"/>
        <v>0.48000000000000015</v>
      </c>
      <c r="EK32" s="170">
        <f t="shared" si="100"/>
        <v>0.48000000000000015</v>
      </c>
      <c r="EL32" s="162">
        <f t="shared" si="24"/>
        <v>3.1981636077965416</v>
      </c>
      <c r="EM32" s="171">
        <f t="shared" si="101"/>
        <v>3.1981636077965416</v>
      </c>
      <c r="EN32" s="162"/>
      <c r="EO32" s="162">
        <f t="shared" si="102"/>
        <v>0.48000000000000015</v>
      </c>
      <c r="EP32" s="162">
        <f t="shared" si="103"/>
        <v>0.48000000000000015</v>
      </c>
      <c r="EQ32" s="162">
        <f t="shared" si="25"/>
        <v>3.1981636077965416</v>
      </c>
      <c r="ER32" s="171">
        <f t="shared" si="104"/>
        <v>3.1981636077965416</v>
      </c>
      <c r="ES32" s="162"/>
      <c r="ET32" s="162">
        <f t="shared" si="105"/>
        <v>0.48000000000000015</v>
      </c>
      <c r="EU32" s="170">
        <f t="shared" si="106"/>
        <v>0.48000000000000015</v>
      </c>
      <c r="EV32" s="162">
        <f t="shared" si="26"/>
        <v>3.1981636077965416</v>
      </c>
      <c r="EW32" s="171">
        <f t="shared" si="107"/>
        <v>3.1981636077965416</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3:154" s="181" customFormat="1" x14ac:dyDescent="0.25">
      <c r="C35" s="229"/>
      <c r="D35" s="230"/>
      <c r="E35" s="230"/>
      <c r="F35" s="230"/>
      <c r="G35" s="231"/>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3:154" s="181" customFormat="1" x14ac:dyDescent="0.25">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3:154" s="181" customFormat="1" x14ac:dyDescent="0.25">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3:154" s="181" customFormat="1" x14ac:dyDescent="0.25">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3:154" s="181" customFormat="1" x14ac:dyDescent="0.25">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3:154" s="181" customFormat="1" x14ac:dyDescent="0.25">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3:154" s="181" customFormat="1" x14ac:dyDescent="0.25">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3: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3: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3: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2</v>
      </c>
      <c r="U116" s="163">
        <f>$G$8</f>
        <v>2</v>
      </c>
      <c r="V116" s="163">
        <f>$G$8+$G$9</f>
        <v>2</v>
      </c>
      <c r="W116" s="163">
        <f>$G$8-$G$9</f>
        <v>2</v>
      </c>
      <c r="X116" s="163">
        <f t="shared" ref="X116" si="251">$G$8</f>
        <v>2</v>
      </c>
      <c r="Y116" s="163">
        <f>$G$8+$G$9</f>
        <v>2</v>
      </c>
      <c r="Z116" s="163">
        <f>$G$8-$G$9</f>
        <v>2</v>
      </c>
      <c r="AA116" s="163">
        <f t="shared" ref="AA116" si="252">$G$8</f>
        <v>2</v>
      </c>
      <c r="AB116" s="163">
        <f>$G$8+$G$9</f>
        <v>2</v>
      </c>
      <c r="AC116" s="163">
        <f>$G$8-$G$9</f>
        <v>2</v>
      </c>
      <c r="AD116" s="163">
        <f>$G$8</f>
        <v>2</v>
      </c>
      <c r="AE116" s="163">
        <f>$G$8+$G$9</f>
        <v>2</v>
      </c>
      <c r="AF116" s="163">
        <f>$G$8-$G$9</f>
        <v>2</v>
      </c>
      <c r="AG116" s="163">
        <f t="shared" ref="AG116" si="253">$G$8</f>
        <v>2</v>
      </c>
      <c r="AH116" s="163">
        <f>$G$8+$G$9</f>
        <v>2</v>
      </c>
      <c r="AI116" s="163">
        <f>$G$8-$G$9</f>
        <v>2</v>
      </c>
      <c r="AJ116" s="163">
        <f t="shared" ref="AJ116" si="254">$G$8</f>
        <v>2</v>
      </c>
      <c r="AK116" s="163">
        <f>$G$8+$G$9</f>
        <v>2</v>
      </c>
      <c r="AL116" s="163">
        <f>$G$8-$G$9</f>
        <v>2</v>
      </c>
      <c r="AM116" s="163">
        <f>$G$8</f>
        <v>2</v>
      </c>
      <c r="AN116" s="163">
        <f>$G$8+$G$9</f>
        <v>2</v>
      </c>
      <c r="AO116" s="163">
        <f>$G$8-$G$9</f>
        <v>2</v>
      </c>
      <c r="AP116" s="163">
        <f t="shared" ref="AP116" si="255">$G$8</f>
        <v>2</v>
      </c>
      <c r="AQ116" s="163">
        <f>$G$8+$G$9</f>
        <v>2</v>
      </c>
      <c r="AR116" s="163">
        <f>$G$8-$G$9</f>
        <v>2</v>
      </c>
      <c r="AS116" s="163">
        <f t="shared" ref="AS116" si="256">$G$8</f>
        <v>2</v>
      </c>
      <c r="AT116" s="163">
        <f>$G$8+$G$9</f>
        <v>2</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9.5489346835634272</v>
      </c>
      <c r="U119" s="163">
        <f t="shared" ref="U119:AB119" si="268">SQRT((IF($B$4, 9.807, 32.174)*U116)/(ABS(TAN(RADIANS(U120))-TAN(RADIANS(U118)))))/COS(RADIANS(U120))</f>
        <v>9.5489346835634272</v>
      </c>
      <c r="V119" s="163">
        <f t="shared" si="268"/>
        <v>9.5489346835634272</v>
      </c>
      <c r="W119" s="163">
        <f t="shared" si="268"/>
        <v>9.5489346835634272</v>
      </c>
      <c r="X119" s="163">
        <f t="shared" si="268"/>
        <v>9.5489346835634272</v>
      </c>
      <c r="Y119" s="163">
        <f t="shared" si="268"/>
        <v>9.5489346835634272</v>
      </c>
      <c r="Z119" s="163">
        <f t="shared" si="268"/>
        <v>9.5489346835634272</v>
      </c>
      <c r="AA119" s="163">
        <f t="shared" si="268"/>
        <v>9.5489346835634272</v>
      </c>
      <c r="AB119" s="163">
        <f t="shared" si="268"/>
        <v>9.5489346835634272</v>
      </c>
      <c r="AC119" s="163">
        <f>SQRT((IF($B$4, 9.807, 32.174)*AC116)/(ABS(TAN(RADIANS(AC120))-TAN(RADIANS(AC118)))))/COS(RADIANS(AC120))</f>
        <v>9.5489346835634272</v>
      </c>
      <c r="AD119" s="163">
        <f t="shared" ref="AD119:AK119" si="269">SQRT((IF($B$4, 9.807, 32.174)*AD116)/(ABS(TAN(RADIANS(AD120))-TAN(RADIANS(AD118)))))/COS(RADIANS(AD120))</f>
        <v>9.5489346835634272</v>
      </c>
      <c r="AE119" s="163">
        <f t="shared" si="269"/>
        <v>9.5489346835634272</v>
      </c>
      <c r="AF119" s="163">
        <f t="shared" si="269"/>
        <v>9.5489346835634272</v>
      </c>
      <c r="AG119" s="163">
        <f t="shared" si="269"/>
        <v>9.5489346835634272</v>
      </c>
      <c r="AH119" s="163">
        <f t="shared" si="269"/>
        <v>9.5489346835634272</v>
      </c>
      <c r="AI119" s="163">
        <f t="shared" si="269"/>
        <v>9.5489346835634272</v>
      </c>
      <c r="AJ119" s="163">
        <f t="shared" si="269"/>
        <v>9.5489346835634272</v>
      </c>
      <c r="AK119" s="163">
        <f t="shared" si="269"/>
        <v>9.5489346835634272</v>
      </c>
      <c r="AL119" s="163">
        <f>SQRT((IF($B$4, 9.807, 32.174)*AL116)/(ABS(TAN(RADIANS(AL120))-TAN(RADIANS(AL118)))))/COS(RADIANS(AL120))</f>
        <v>9.5489346835634272</v>
      </c>
      <c r="AM119" s="163">
        <f t="shared" ref="AM119:AT119" si="270">SQRT((IF($B$4, 9.807, 32.174)*AM116)/(ABS(TAN(RADIANS(AM120))-TAN(RADIANS(AM118)))))/COS(RADIANS(AM120))</f>
        <v>9.5489346835634272</v>
      </c>
      <c r="AN119" s="163">
        <f t="shared" si="270"/>
        <v>9.5489346835634272</v>
      </c>
      <c r="AO119" s="163">
        <f t="shared" si="270"/>
        <v>9.5489346835634272</v>
      </c>
      <c r="AP119" s="163">
        <f t="shared" si="270"/>
        <v>9.5489346835634272</v>
      </c>
      <c r="AQ119" s="163">
        <f t="shared" si="270"/>
        <v>9.5489346835634272</v>
      </c>
      <c r="AR119" s="163">
        <f t="shared" si="270"/>
        <v>9.5489346835634272</v>
      </c>
      <c r="AS119" s="163">
        <f t="shared" si="270"/>
        <v>9.5489346835634272</v>
      </c>
      <c r="AT119" s="163">
        <f t="shared" si="270"/>
        <v>9.5489346835634272</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65" priority="39" operator="lessThanOrEqual">
      <formula>0</formula>
    </cfRule>
  </conditionalFormatting>
  <conditionalFormatting sqref="G7 G9:G11 G13 D7 D9 D11 D13 D15:D16 G15:G16">
    <cfRule type="cellIs" dxfId="64" priority="38" operator="lessThan">
      <formula>0</formula>
    </cfRule>
  </conditionalFormatting>
  <conditionalFormatting sqref="G12">
    <cfRule type="expression" dxfId="63" priority="36">
      <formula>OR($G$12+$G$13&gt;=90, $G$12-$G$13&lt;=-90)</formula>
    </cfRule>
  </conditionalFormatting>
  <conditionalFormatting sqref="D7:D13 G7:G13 D15:D16 G15:G16">
    <cfRule type="expression" dxfId="62" priority="34">
      <formula>ISTEXT(D7)</formula>
    </cfRule>
  </conditionalFormatting>
  <conditionalFormatting sqref="D7:D13 G7:G13 I3">
    <cfRule type="containsBlanks" dxfId="61" priority="33">
      <formula>LEN(TRIM(D3))=0</formula>
    </cfRule>
  </conditionalFormatting>
  <conditionalFormatting sqref="D12">
    <cfRule type="expression" dxfId="60" priority="35">
      <formula>OR($D$12+$D$13&gt;=90, $D$12-$D$13&lt;=-90)</formula>
    </cfRule>
  </conditionalFormatting>
  <conditionalFormatting sqref="D18:D19">
    <cfRule type="cellIs" dxfId="59" priority="29" operator="lessThanOrEqual">
      <formula>0</formula>
    </cfRule>
  </conditionalFormatting>
  <conditionalFormatting sqref="D21">
    <cfRule type="cellIs" dxfId="58" priority="13" operator="lessThanOrEqual">
      <formula>0</formula>
    </cfRule>
  </conditionalFormatting>
  <conditionalFormatting sqref="G9">
    <cfRule type="cellIs" dxfId="57" priority="3" operator="greaterThanOrEqual">
      <formula>$G$8</formula>
    </cfRule>
  </conditionalFormatting>
  <conditionalFormatting sqref="D9">
    <cfRule type="cellIs" dxfId="56" priority="2" operator="greaterThanOrEqual">
      <formula>$D$8</formula>
    </cfRule>
  </conditionalFormatting>
  <conditionalFormatting sqref="D11">
    <cfRule type="cellIs" dxfId="55" priority="1" operator="greaterThanOrEqual">
      <formula>1</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226</v>
      </c>
      <c r="N7" s="115" t="s">
        <v>227</v>
      </c>
      <c r="O7" s="114" t="s">
        <v>221</v>
      </c>
      <c r="P7" s="114" t="s">
        <v>228</v>
      </c>
      <c r="Q7" s="114" t="s">
        <v>229</v>
      </c>
      <c r="R7" s="114" t="s">
        <v>230</v>
      </c>
      <c r="S7" s="116" t="s">
        <v>231</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54" priority="3">
      <formula>ISTEXT(D7)</formula>
    </cfRule>
    <cfRule type="cellIs" dxfId="53" priority="8" operator="lessThanOrEqual">
      <formula>0</formula>
    </cfRule>
  </conditionalFormatting>
  <conditionalFormatting sqref="D7 D9 D12 G7 J7:J9">
    <cfRule type="containsBlanks" dxfId="52" priority="4">
      <formula>LEN(TRIM(D7))=0</formula>
    </cfRule>
    <cfRule type="containsBlanks" dxfId="51" priority="7">
      <formula>LEN(TRIM(D7))=0</formula>
    </cfRule>
  </conditionalFormatting>
  <conditionalFormatting sqref="G11:G13">
    <cfRule type="expression" dxfId="50" priority="2">
      <formula>ISERROR($G$11)</formula>
    </cfRule>
    <cfRule type="expression" dxfId="49" priority="6">
      <formula>$G$13&lt;=0</formula>
    </cfRule>
  </conditionalFormatting>
  <conditionalFormatting sqref="J11:J14">
    <cfRule type="expression" dxfId="48" priority="1">
      <formula>ISERROR($J$11)</formula>
    </cfRule>
    <cfRule type="expression" dxfId="47"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46" priority="4">
      <formula>LEN(TRIM(D7))=0</formula>
    </cfRule>
    <cfRule type="cellIs" dxfId="45" priority="5" operator="lessThanOrEqual">
      <formula>0</formula>
    </cfRule>
  </conditionalFormatting>
  <conditionalFormatting sqref="G10:G11">
    <cfRule type="expression" dxfId="44" priority="3">
      <formula>$G$10&lt;=0</formula>
    </cfRule>
  </conditionalFormatting>
  <conditionalFormatting sqref="J10:J11">
    <cfRule type="expression" dxfId="43" priority="2">
      <formula>$J$10&lt;=0</formula>
    </cfRule>
  </conditionalFormatting>
  <conditionalFormatting sqref="D7:D8 D10:D12 J7:J8">
    <cfRule type="expression" dxfId="42"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41" priority="5">
      <formula>NOT(AND(INT($D$11)=$D$11, INT($D$15)=$D$15))</formula>
    </cfRule>
  </conditionalFormatting>
  <conditionalFormatting sqref="C19:D20">
    <cfRule type="expression" dxfId="40" priority="4">
      <formula>AND(INT($D$11)=$D$11, INT($D$15)=$D$15)</formula>
    </cfRule>
  </conditionalFormatting>
  <conditionalFormatting sqref="D6 D8:D9">
    <cfRule type="expression" dxfId="39" priority="1">
      <formula>ISTEXT(D6)</formula>
    </cfRule>
    <cfRule type="containsBlanks" dxfId="38" priority="2">
      <formula>LEN(TRIM(D6))=0</formula>
    </cfRule>
    <cfRule type="cellIs" dxfId="37"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6" priority="5">
      <formula>AND(COUNTBLANK(D$7:D$16)&lt;10, ISBLANK(D7))</formula>
    </cfRule>
    <cfRule type="cellIs" dxfId="35" priority="8" operator="lessThan">
      <formula>0</formula>
    </cfRule>
  </conditionalFormatting>
  <conditionalFormatting sqref="N16:N17">
    <cfRule type="cellIs" dxfId="34" priority="7" operator="lessThanOrEqual">
      <formula>$I$40</formula>
    </cfRule>
  </conditionalFormatting>
  <conditionalFormatting sqref="N7:Q9">
    <cfRule type="expression" dxfId="33" priority="3">
      <formula>AND(COUNTBLANK(N$7:N$9)&lt;3, ISBLANK(N7))</formula>
    </cfRule>
  </conditionalFormatting>
  <conditionalFormatting sqref="D7:K10 D12:K12 D14:K16 N7:Q9 N14:N15">
    <cfRule type="expression" dxfId="32" priority="4">
      <formula>ISTEXT(D7)</formula>
    </cfRule>
  </conditionalFormatting>
  <conditionalFormatting sqref="D8:K8">
    <cfRule type="cellIs" dxfId="31"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208</v>
      </c>
    </row>
    <row r="3" spans="3:16" ht="14.45" x14ac:dyDescent="0.3">
      <c r="K3" s="78" t="s">
        <v>98</v>
      </c>
      <c r="M3" s="111" t="b">
        <v>1</v>
      </c>
      <c r="N3" s="109"/>
      <c r="O3" s="112" t="b">
        <v>1</v>
      </c>
      <c r="P3" s="110"/>
    </row>
    <row r="4" spans="3:16" ht="18.75" x14ac:dyDescent="0.25">
      <c r="C4" s="216" t="s">
        <v>95</v>
      </c>
      <c r="D4" s="216"/>
      <c r="F4" s="216" t="s">
        <v>98</v>
      </c>
      <c r="G4" s="216"/>
      <c r="I4" s="239" t="s">
        <v>225</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223</v>
      </c>
      <c r="L30" s="238"/>
      <c r="M30" s="238"/>
      <c r="N30" s="238"/>
      <c r="O30" s="238"/>
      <c r="P30" s="238"/>
      <c r="Q30" s="238"/>
      <c r="R30" s="238"/>
    </row>
    <row r="31" spans="11:18" x14ac:dyDescent="0.25">
      <c r="K31" s="1" t="s">
        <v>224</v>
      </c>
    </row>
    <row r="32" spans="11:18" x14ac:dyDescent="0.25">
      <c r="K32" s="1" t="s">
        <v>178</v>
      </c>
    </row>
    <row r="33" spans="11:18" x14ac:dyDescent="0.25">
      <c r="K33" s="3" t="s">
        <v>167</v>
      </c>
      <c r="L33" s="3" t="s">
        <v>168</v>
      </c>
      <c r="M33" s="3" t="s">
        <v>169</v>
      </c>
      <c r="N33" s="3" t="s">
        <v>170</v>
      </c>
      <c r="O33" s="3" t="s">
        <v>175</v>
      </c>
      <c r="P33" s="3" t="s">
        <v>176</v>
      </c>
      <c r="Q33" s="3" t="s">
        <v>221</v>
      </c>
      <c r="R33" s="3" t="s">
        <v>222</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30" priority="7" operator="lessThan">
      <formula>0</formula>
    </cfRule>
  </conditionalFormatting>
  <conditionalFormatting sqref="D7 G5">
    <cfRule type="cellIs" dxfId="29" priority="6" operator="equal">
      <formula>0</formula>
    </cfRule>
  </conditionalFormatting>
  <conditionalFormatting sqref="D5:D10 G5:G10">
    <cfRule type="expression" dxfId="28" priority="4">
      <formula>ISTEXT(D5)</formula>
    </cfRule>
  </conditionalFormatting>
  <conditionalFormatting sqref="D5:D10 G5:G10 K3">
    <cfRule type="containsBlanks" dxfId="27" priority="5">
      <formula>LEN(TRIM(D3))=0</formula>
    </cfRule>
  </conditionalFormatting>
  <conditionalFormatting sqref="D5:D10">
    <cfRule type="expression" dxfId="26" priority="3">
      <formula>ISERROR($D$12:$D$13)</formula>
    </cfRule>
  </conditionalFormatting>
  <conditionalFormatting sqref="G9:G10">
    <cfRule type="cellIs" dxfId="25" priority="2" operator="notBetween">
      <formula>180</formula>
      <formula>-90</formula>
    </cfRule>
  </conditionalFormatting>
  <conditionalFormatting sqref="G5:G10">
    <cfRule type="expression" dxfId="24"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233</v>
      </c>
      <c r="B1" s="132" t="s">
        <v>234</v>
      </c>
      <c r="C1" s="132" t="s">
        <v>336</v>
      </c>
      <c r="E1" s="132" t="s">
        <v>235</v>
      </c>
      <c r="F1" s="132" t="s">
        <v>337</v>
      </c>
      <c r="G1" s="132" t="s">
        <v>339</v>
      </c>
      <c r="H1" s="132" t="s">
        <v>338</v>
      </c>
      <c r="I1" s="132" t="s">
        <v>236</v>
      </c>
      <c r="J1" s="132" t="s">
        <v>340</v>
      </c>
      <c r="K1" s="132" t="s">
        <v>341</v>
      </c>
      <c r="L1" s="132" t="s">
        <v>342</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326</v>
      </c>
      <c r="C3" s="132">
        <v>-1</v>
      </c>
      <c r="D3" s="132" t="str">
        <f t="shared" ref="D3:D11" si="1">A3&amp;" "&amp;B3&amp;" "&amp;C3</f>
        <v>1/2" Hex BB RS-550 -1</v>
      </c>
      <c r="E3" s="132">
        <v>1</v>
      </c>
      <c r="F3" s="132">
        <v>1</v>
      </c>
      <c r="G3" s="132">
        <v>1</v>
      </c>
      <c r="H3" s="132">
        <v>1</v>
      </c>
      <c r="I3" s="132">
        <v>1</v>
      </c>
      <c r="O3" s="132" t="s">
        <v>237</v>
      </c>
    </row>
    <row r="4" spans="1:21" ht="14.25" customHeight="1" x14ac:dyDescent="0.25">
      <c r="A4" s="132" t="s">
        <v>117</v>
      </c>
      <c r="B4" s="132" t="s">
        <v>327</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238</v>
      </c>
      <c r="U4" s="132" t="s">
        <v>239</v>
      </c>
    </row>
    <row r="5" spans="1:21" ht="14.25" customHeight="1" x14ac:dyDescent="0.25">
      <c r="A5" s="132" t="s">
        <v>117</v>
      </c>
      <c r="B5" s="132" t="s">
        <v>8</v>
      </c>
      <c r="C5" s="132">
        <v>-1</v>
      </c>
      <c r="D5" s="132" t="str">
        <f t="shared" si="1"/>
        <v>1/2" Hex BAG Motor -1</v>
      </c>
      <c r="E5" s="132">
        <v>1</v>
      </c>
      <c r="F5" s="132">
        <v>1</v>
      </c>
      <c r="G5" s="132">
        <v>1</v>
      </c>
      <c r="H5" s="132">
        <v>1</v>
      </c>
      <c r="I5" s="132">
        <v>1</v>
      </c>
      <c r="O5" s="132" t="s">
        <v>240</v>
      </c>
      <c r="P5" s="132">
        <v>39.99</v>
      </c>
      <c r="Q5" s="132">
        <f>Q6+9.99</f>
        <v>27.979999999999997</v>
      </c>
      <c r="R5" s="132">
        <v>0.34</v>
      </c>
      <c r="S5" s="132">
        <v>0.22</v>
      </c>
      <c r="T5" s="132" t="s">
        <v>241</v>
      </c>
      <c r="U5" s="132" t="s">
        <v>242</v>
      </c>
    </row>
    <row r="6" spans="1:21" ht="14.25" customHeight="1" x14ac:dyDescent="0.25">
      <c r="A6" s="132" t="s">
        <v>117</v>
      </c>
      <c r="B6" s="132" t="s">
        <v>255</v>
      </c>
      <c r="C6" s="132">
        <v>-1</v>
      </c>
      <c r="D6" s="132" t="str">
        <f t="shared" si="1"/>
        <v>1/2" Hex 775pro -1</v>
      </c>
      <c r="E6" s="132">
        <v>1</v>
      </c>
      <c r="F6" s="132">
        <v>1</v>
      </c>
      <c r="G6" s="132">
        <v>1</v>
      </c>
      <c r="H6" s="132">
        <v>1</v>
      </c>
      <c r="I6" s="132">
        <v>1</v>
      </c>
      <c r="O6" s="132" t="s">
        <v>243</v>
      </c>
      <c r="P6" s="132">
        <v>39.99</v>
      </c>
      <c r="Q6" s="132">
        <v>17.989999999999998</v>
      </c>
      <c r="R6" s="132">
        <v>0.34</v>
      </c>
      <c r="S6" s="132">
        <v>0.22</v>
      </c>
      <c r="T6" s="132" t="s">
        <v>244</v>
      </c>
      <c r="U6" s="132" t="s">
        <v>245</v>
      </c>
    </row>
    <row r="7" spans="1:21" ht="14.25" customHeight="1" x14ac:dyDescent="0.25">
      <c r="A7" s="132" t="s">
        <v>117</v>
      </c>
      <c r="B7" s="132" t="s">
        <v>7</v>
      </c>
      <c r="C7" s="132">
        <v>-1</v>
      </c>
      <c r="D7" s="132" t="str">
        <f t="shared" si="1"/>
        <v>1/2" Hex Mini CIM -1</v>
      </c>
      <c r="E7" s="132">
        <v>1</v>
      </c>
      <c r="F7" s="132">
        <v>1</v>
      </c>
      <c r="G7" s="132">
        <v>1</v>
      </c>
      <c r="H7" s="132">
        <v>1</v>
      </c>
      <c r="I7" s="132">
        <v>0</v>
      </c>
      <c r="O7" s="132" t="s">
        <v>246</v>
      </c>
      <c r="P7" s="132">
        <v>39.99</v>
      </c>
      <c r="Q7" s="132">
        <f>Q6+9.99</f>
        <v>27.979999999999997</v>
      </c>
      <c r="R7" s="132">
        <v>0.34</v>
      </c>
      <c r="S7" s="132">
        <v>0.22</v>
      </c>
      <c r="T7" s="132" t="s">
        <v>247</v>
      </c>
      <c r="U7" s="132" t="s">
        <v>248</v>
      </c>
    </row>
    <row r="8" spans="1:21" ht="14.25" customHeight="1" x14ac:dyDescent="0.25">
      <c r="A8" s="132" t="s">
        <v>117</v>
      </c>
      <c r="B8" s="132" t="s">
        <v>6</v>
      </c>
      <c r="C8" s="132">
        <v>-1</v>
      </c>
      <c r="D8" s="132" t="str">
        <f t="shared" si="1"/>
        <v>1/2" Hex CIM -1</v>
      </c>
      <c r="E8" s="132">
        <v>1</v>
      </c>
      <c r="F8" s="132">
        <v>1</v>
      </c>
      <c r="G8" s="132">
        <v>1</v>
      </c>
      <c r="H8" s="132">
        <v>1</v>
      </c>
      <c r="I8" s="132">
        <v>0</v>
      </c>
      <c r="O8" s="132" t="s">
        <v>249</v>
      </c>
      <c r="P8" s="132">
        <v>44.99</v>
      </c>
      <c r="Q8" s="132">
        <v>24.99</v>
      </c>
      <c r="R8" s="132">
        <v>0.34</v>
      </c>
      <c r="S8" s="132">
        <v>0.22</v>
      </c>
      <c r="T8" s="132" t="s">
        <v>250</v>
      </c>
      <c r="U8" s="132" t="s">
        <v>251</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333</v>
      </c>
      <c r="C10" s="132">
        <v>-1</v>
      </c>
      <c r="D10" s="132" t="str">
        <f t="shared" si="1"/>
        <v>1/2" Hex Falcon 500 -1</v>
      </c>
      <c r="E10" s="132">
        <v>1</v>
      </c>
      <c r="F10" s="132">
        <v>1</v>
      </c>
      <c r="G10" s="132">
        <v>1</v>
      </c>
      <c r="H10" s="132">
        <v>1</v>
      </c>
      <c r="I10" s="132">
        <v>0</v>
      </c>
    </row>
    <row r="11" spans="1:21" ht="14.25" customHeight="1" x14ac:dyDescent="0.25">
      <c r="A11" s="132" t="s">
        <v>240</v>
      </c>
      <c r="B11" s="132" t="s">
        <v>11</v>
      </c>
      <c r="C11" s="132">
        <v>-1</v>
      </c>
      <c r="D11" s="132" t="str">
        <f t="shared" si="1"/>
        <v>1/2" Round AM 9015 -1</v>
      </c>
      <c r="E11" s="132">
        <v>1</v>
      </c>
      <c r="F11" s="132">
        <v>1</v>
      </c>
      <c r="G11" s="132">
        <v>1</v>
      </c>
      <c r="H11" s="132">
        <v>1</v>
      </c>
      <c r="I11" s="132">
        <v>1</v>
      </c>
      <c r="O11" s="132" t="s">
        <v>252</v>
      </c>
    </row>
    <row r="12" spans="1:21" ht="14.25" customHeight="1" x14ac:dyDescent="0.25">
      <c r="A12" s="132" t="s">
        <v>240</v>
      </c>
      <c r="B12" s="132" t="s">
        <v>326</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253</v>
      </c>
    </row>
    <row r="13" spans="1:21" ht="14.25" customHeight="1" x14ac:dyDescent="0.25">
      <c r="A13" s="132" t="s">
        <v>240</v>
      </c>
      <c r="B13" s="132" t="s">
        <v>327</v>
      </c>
      <c r="C13" s="132">
        <v>-1</v>
      </c>
      <c r="D13" s="132" t="str">
        <f t="shared" si="2"/>
        <v>1/2" Round BB RS-775 -1</v>
      </c>
      <c r="E13" s="132">
        <v>1</v>
      </c>
      <c r="F13" s="132">
        <v>1</v>
      </c>
      <c r="G13" s="132">
        <v>1</v>
      </c>
      <c r="H13" s="132">
        <v>1</v>
      </c>
      <c r="I13" s="132">
        <v>1</v>
      </c>
      <c r="O13" s="132" t="s">
        <v>330</v>
      </c>
      <c r="P13" s="132">
        <v>0</v>
      </c>
      <c r="Q13" s="132">
        <v>0</v>
      </c>
      <c r="R13" s="132">
        <v>0</v>
      </c>
      <c r="S13" s="132">
        <v>0</v>
      </c>
    </row>
    <row r="14" spans="1:21" ht="14.25" customHeight="1" x14ac:dyDescent="0.25">
      <c r="A14" s="132" t="s">
        <v>240</v>
      </c>
      <c r="B14" s="132" t="s">
        <v>8</v>
      </c>
      <c r="C14" s="132">
        <v>-1</v>
      </c>
      <c r="D14" s="132" t="str">
        <f t="shared" si="2"/>
        <v>1/2" Round BAG Motor -1</v>
      </c>
      <c r="E14" s="132">
        <v>1</v>
      </c>
      <c r="F14" s="132">
        <v>1</v>
      </c>
      <c r="G14" s="132">
        <v>1</v>
      </c>
      <c r="H14" s="132">
        <v>1</v>
      </c>
      <c r="I14" s="132">
        <v>1</v>
      </c>
      <c r="O14" s="132" t="s">
        <v>326</v>
      </c>
      <c r="P14" s="132">
        <v>0</v>
      </c>
      <c r="Q14" s="132">
        <v>0</v>
      </c>
      <c r="R14" s="132">
        <v>0</v>
      </c>
      <c r="S14" s="132">
        <v>0</v>
      </c>
    </row>
    <row r="15" spans="1:21" ht="14.25" customHeight="1" x14ac:dyDescent="0.25">
      <c r="A15" s="132" t="s">
        <v>240</v>
      </c>
      <c r="B15" s="132" t="s">
        <v>255</v>
      </c>
      <c r="C15" s="132">
        <v>-1</v>
      </c>
      <c r="D15" s="132" t="str">
        <f t="shared" si="2"/>
        <v>1/2" Round 775pro -1</v>
      </c>
      <c r="E15" s="132">
        <v>1</v>
      </c>
      <c r="F15" s="132">
        <v>1</v>
      </c>
      <c r="G15" s="132">
        <v>1</v>
      </c>
      <c r="H15" s="132">
        <v>1</v>
      </c>
      <c r="I15" s="132">
        <v>1</v>
      </c>
      <c r="O15" s="132" t="s">
        <v>327</v>
      </c>
      <c r="P15" s="132">
        <v>0</v>
      </c>
      <c r="Q15" s="132">
        <v>12.98</v>
      </c>
      <c r="R15" s="132">
        <v>0</v>
      </c>
      <c r="S15" s="132">
        <v>0</v>
      </c>
      <c r="U15" s="132" t="s">
        <v>253</v>
      </c>
    </row>
    <row r="16" spans="1:21" ht="14.25" customHeight="1" x14ac:dyDescent="0.25">
      <c r="A16" s="132" t="s">
        <v>240</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253</v>
      </c>
    </row>
    <row r="17" spans="1:21" ht="14.25" customHeight="1" x14ac:dyDescent="0.25">
      <c r="A17" s="132" t="s">
        <v>240</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254</v>
      </c>
      <c r="U17" s="132" t="s">
        <v>254</v>
      </c>
    </row>
    <row r="18" spans="1:21" ht="14.25" customHeight="1" x14ac:dyDescent="0.25">
      <c r="A18" s="132" t="s">
        <v>240</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254</v>
      </c>
      <c r="U18" s="132" t="s">
        <v>254</v>
      </c>
    </row>
    <row r="19" spans="1:21" ht="14.25" customHeight="1" x14ac:dyDescent="0.25">
      <c r="A19" s="132" t="s">
        <v>240</v>
      </c>
      <c r="B19" s="132" t="s">
        <v>333</v>
      </c>
      <c r="C19" s="132">
        <v>-1</v>
      </c>
      <c r="D19" s="132" t="str">
        <f t="shared" si="2"/>
        <v>1/2" Round Falcon 500 -1</v>
      </c>
      <c r="E19" s="132">
        <v>1</v>
      </c>
      <c r="F19" s="132">
        <v>1</v>
      </c>
      <c r="G19" s="132">
        <v>1</v>
      </c>
      <c r="H19" s="132">
        <v>1</v>
      </c>
      <c r="I19" s="132">
        <v>0</v>
      </c>
      <c r="O19" s="132" t="s">
        <v>255</v>
      </c>
      <c r="P19" s="132">
        <v>0</v>
      </c>
      <c r="Q19" s="132">
        <v>12.98</v>
      </c>
      <c r="R19" s="132">
        <v>0</v>
      </c>
      <c r="S19" s="132">
        <v>0</v>
      </c>
      <c r="U19" s="132" t="s">
        <v>253</v>
      </c>
    </row>
    <row r="20" spans="1:21" ht="14.25" customHeight="1" x14ac:dyDescent="0.25">
      <c r="A20" s="132" t="s">
        <v>243</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254</v>
      </c>
      <c r="U20" s="132" t="s">
        <v>254</v>
      </c>
    </row>
    <row r="21" spans="1:21" ht="14.25" customHeight="1" x14ac:dyDescent="0.25">
      <c r="A21" s="132" t="s">
        <v>243</v>
      </c>
      <c r="B21" s="132" t="s">
        <v>326</v>
      </c>
      <c r="C21" s="132">
        <v>-1</v>
      </c>
      <c r="D21" s="132" t="str">
        <f t="shared" ref="D21:D46" si="3">A21&amp;" "&amp;B21&amp;" "&amp;C21</f>
        <v>3/8" Hex BB RS-550 -1</v>
      </c>
      <c r="E21" s="132">
        <v>1</v>
      </c>
      <c r="F21" s="132">
        <v>1</v>
      </c>
      <c r="G21" s="132">
        <v>1</v>
      </c>
      <c r="H21" s="132">
        <v>1</v>
      </c>
      <c r="I21" s="132">
        <v>1</v>
      </c>
      <c r="O21" s="132" t="s">
        <v>333</v>
      </c>
      <c r="P21" s="132">
        <v>4.99</v>
      </c>
      <c r="Q21" s="132">
        <v>11.98</v>
      </c>
      <c r="R21" s="132">
        <v>0.7</v>
      </c>
      <c r="S21" s="132">
        <v>0.7</v>
      </c>
      <c r="T21" s="132" t="s">
        <v>254</v>
      </c>
      <c r="U21" s="132" t="s">
        <v>254</v>
      </c>
    </row>
    <row r="22" spans="1:21" ht="14.25" customHeight="1" x14ac:dyDescent="0.25">
      <c r="A22" s="132" t="s">
        <v>243</v>
      </c>
      <c r="B22" s="132" t="s">
        <v>327</v>
      </c>
      <c r="C22" s="132">
        <v>-1</v>
      </c>
      <c r="D22" s="132" t="str">
        <f t="shared" si="3"/>
        <v>3/8" Hex BB RS-775 -1</v>
      </c>
      <c r="E22" s="132">
        <v>1</v>
      </c>
      <c r="F22" s="132">
        <v>1</v>
      </c>
      <c r="G22" s="132">
        <v>1</v>
      </c>
      <c r="H22" s="132">
        <v>1</v>
      </c>
      <c r="I22" s="132">
        <v>1</v>
      </c>
    </row>
    <row r="23" spans="1:21" ht="14.25" customHeight="1" x14ac:dyDescent="0.25">
      <c r="A23" s="132" t="s">
        <v>243</v>
      </c>
      <c r="B23" s="132" t="s">
        <v>8</v>
      </c>
      <c r="C23" s="132">
        <v>-1</v>
      </c>
      <c r="D23" s="132" t="str">
        <f t="shared" si="3"/>
        <v>3/8" Hex BAG Motor -1</v>
      </c>
      <c r="E23" s="132">
        <v>1</v>
      </c>
      <c r="F23" s="132">
        <v>1</v>
      </c>
      <c r="G23" s="132">
        <v>1</v>
      </c>
      <c r="H23" s="132">
        <v>1</v>
      </c>
      <c r="I23" s="132">
        <v>1</v>
      </c>
    </row>
    <row r="24" spans="1:21" ht="14.25" customHeight="1" x14ac:dyDescent="0.25">
      <c r="A24" s="132" t="s">
        <v>243</v>
      </c>
      <c r="B24" s="132" t="s">
        <v>255</v>
      </c>
      <c r="C24" s="132">
        <v>-1</v>
      </c>
      <c r="D24" s="132" t="str">
        <f t="shared" si="3"/>
        <v>3/8" Hex 775pro -1</v>
      </c>
      <c r="E24" s="132">
        <v>1</v>
      </c>
      <c r="F24" s="132">
        <v>1</v>
      </c>
      <c r="G24" s="132">
        <v>1</v>
      </c>
      <c r="H24" s="132">
        <v>1</v>
      </c>
      <c r="I24" s="132">
        <v>1</v>
      </c>
      <c r="O24" s="132" t="s">
        <v>256</v>
      </c>
    </row>
    <row r="25" spans="1:21" ht="14.25" customHeight="1" x14ac:dyDescent="0.25">
      <c r="A25" s="132" t="s">
        <v>243</v>
      </c>
      <c r="B25" s="132" t="s">
        <v>7</v>
      </c>
      <c r="C25" s="132">
        <v>-1</v>
      </c>
      <c r="D25" s="132" t="str">
        <f t="shared" si="3"/>
        <v>3/8" Hex Mini CIM -1</v>
      </c>
      <c r="E25" s="132">
        <v>1</v>
      </c>
      <c r="F25" s="132">
        <v>1</v>
      </c>
      <c r="G25" s="132">
        <v>1</v>
      </c>
      <c r="H25" s="132">
        <v>1</v>
      </c>
      <c r="I25" s="132">
        <v>0</v>
      </c>
      <c r="O25" s="132" t="s">
        <v>257</v>
      </c>
      <c r="P25" s="132">
        <v>0</v>
      </c>
      <c r="Q25" s="132">
        <v>0</v>
      </c>
      <c r="R25" s="132">
        <v>0</v>
      </c>
      <c r="S25" s="132">
        <v>0</v>
      </c>
    </row>
    <row r="26" spans="1:21" ht="14.25" customHeight="1" x14ac:dyDescent="0.25">
      <c r="A26" s="132" t="s">
        <v>243</v>
      </c>
      <c r="B26" s="132" t="s">
        <v>6</v>
      </c>
      <c r="C26" s="132">
        <v>-1</v>
      </c>
      <c r="D26" s="132" t="str">
        <f t="shared" si="3"/>
        <v>3/8" Hex CIM -1</v>
      </c>
      <c r="E26" s="132">
        <v>1</v>
      </c>
      <c r="F26" s="132">
        <v>1</v>
      </c>
      <c r="G26" s="132">
        <v>1</v>
      </c>
      <c r="H26" s="132">
        <v>1</v>
      </c>
      <c r="I26" s="132">
        <v>0</v>
      </c>
      <c r="O26" s="132" t="s">
        <v>258</v>
      </c>
      <c r="P26" s="132">
        <v>24.98</v>
      </c>
      <c r="Q26" s="132">
        <v>16.98</v>
      </c>
      <c r="R26" s="132">
        <v>0.2</v>
      </c>
      <c r="S26" s="132">
        <v>0.18</v>
      </c>
      <c r="T26" s="132" t="s">
        <v>259</v>
      </c>
      <c r="U26" s="132" t="s">
        <v>260</v>
      </c>
    </row>
    <row r="27" spans="1:21" ht="14.25" customHeight="1" x14ac:dyDescent="0.25">
      <c r="A27" s="132" t="s">
        <v>243</v>
      </c>
      <c r="B27" s="132" t="s">
        <v>9</v>
      </c>
      <c r="C27" s="132">
        <v>-1</v>
      </c>
      <c r="D27" s="132" t="str">
        <f t="shared" si="3"/>
        <v>3/8" Hex NEO -1</v>
      </c>
      <c r="E27" s="132">
        <v>1</v>
      </c>
      <c r="F27" s="132">
        <v>1</v>
      </c>
      <c r="G27" s="132">
        <v>1</v>
      </c>
      <c r="H27" s="132">
        <v>1</v>
      </c>
      <c r="I27" s="132">
        <v>0</v>
      </c>
      <c r="O27" s="132" t="s">
        <v>261</v>
      </c>
      <c r="P27" s="132">
        <v>24.98</v>
      </c>
      <c r="Q27" s="132">
        <v>16.98</v>
      </c>
      <c r="R27" s="132">
        <v>0.2</v>
      </c>
      <c r="S27" s="132">
        <v>0.18</v>
      </c>
      <c r="T27" s="132" t="s">
        <v>262</v>
      </c>
      <c r="U27" s="132" t="s">
        <v>263</v>
      </c>
    </row>
    <row r="28" spans="1:21" ht="14.25" customHeight="1" x14ac:dyDescent="0.25">
      <c r="A28" s="132" t="s">
        <v>243</v>
      </c>
      <c r="B28" s="132" t="s">
        <v>333</v>
      </c>
      <c r="C28" s="132">
        <v>-1</v>
      </c>
      <c r="D28" s="132" t="str">
        <f t="shared" si="3"/>
        <v>3/8" Hex Falcon 500 -1</v>
      </c>
      <c r="E28" s="132">
        <v>1</v>
      </c>
      <c r="F28" s="132">
        <v>1</v>
      </c>
      <c r="G28" s="132">
        <v>1</v>
      </c>
      <c r="H28" s="132">
        <v>1</v>
      </c>
      <c r="I28" s="132">
        <v>0</v>
      </c>
      <c r="O28" s="132" t="s">
        <v>264</v>
      </c>
      <c r="P28" s="132">
        <v>24.98</v>
      </c>
      <c r="Q28" s="132">
        <v>16.98</v>
      </c>
      <c r="R28" s="132">
        <v>0.2</v>
      </c>
      <c r="S28" s="132">
        <v>0.18</v>
      </c>
      <c r="T28" s="132" t="s">
        <v>265</v>
      </c>
      <c r="U28" s="132" t="s">
        <v>266</v>
      </c>
    </row>
    <row r="29" spans="1:21" ht="14.25" customHeight="1" x14ac:dyDescent="0.25">
      <c r="A29" s="132" t="s">
        <v>246</v>
      </c>
      <c r="B29" s="132" t="s">
        <v>11</v>
      </c>
      <c r="C29" s="132">
        <v>-1</v>
      </c>
      <c r="D29" s="132" t="str">
        <f t="shared" si="3"/>
        <v>CIM Motor AM 9015 -1</v>
      </c>
      <c r="E29" s="132">
        <v>1</v>
      </c>
      <c r="F29" s="132">
        <v>1</v>
      </c>
      <c r="G29" s="132">
        <v>1</v>
      </c>
      <c r="H29" s="132">
        <v>1</v>
      </c>
      <c r="I29" s="132">
        <v>1</v>
      </c>
      <c r="O29" s="132" t="s">
        <v>267</v>
      </c>
      <c r="P29" s="132">
        <v>24.98</v>
      </c>
      <c r="Q29" s="132">
        <v>16.98</v>
      </c>
      <c r="R29" s="132">
        <v>0.2</v>
      </c>
      <c r="S29" s="132">
        <v>0.18</v>
      </c>
      <c r="T29" s="132" t="s">
        <v>268</v>
      </c>
      <c r="U29" s="132" t="s">
        <v>269</v>
      </c>
    </row>
    <row r="30" spans="1:21" ht="14.25" customHeight="1" x14ac:dyDescent="0.25">
      <c r="A30" s="132" t="s">
        <v>246</v>
      </c>
      <c r="B30" s="132" t="s">
        <v>326</v>
      </c>
      <c r="C30" s="132">
        <v>-1</v>
      </c>
      <c r="D30" s="132" t="str">
        <f t="shared" si="3"/>
        <v>CIM Motor BB RS-550 -1</v>
      </c>
      <c r="E30" s="132">
        <v>1</v>
      </c>
      <c r="F30" s="132">
        <v>1</v>
      </c>
      <c r="G30" s="132">
        <v>1</v>
      </c>
      <c r="H30" s="132">
        <v>1</v>
      </c>
      <c r="I30" s="132">
        <v>1</v>
      </c>
      <c r="O30" s="132" t="s">
        <v>270</v>
      </c>
      <c r="P30" s="132">
        <v>24.98</v>
      </c>
      <c r="Q30" s="132">
        <v>16.98</v>
      </c>
      <c r="R30" s="132">
        <v>0.2</v>
      </c>
      <c r="S30" s="132">
        <v>0.18</v>
      </c>
      <c r="T30" s="132" t="s">
        <v>271</v>
      </c>
      <c r="U30" s="132" t="s">
        <v>272</v>
      </c>
    </row>
    <row r="31" spans="1:21" ht="14.25" customHeight="1" x14ac:dyDescent="0.25">
      <c r="A31" s="132" t="s">
        <v>246</v>
      </c>
      <c r="B31" s="132" t="s">
        <v>327</v>
      </c>
      <c r="C31" s="132">
        <v>-1</v>
      </c>
      <c r="D31" s="132" t="str">
        <f t="shared" si="3"/>
        <v>CIM Motor BB RS-775 -1</v>
      </c>
      <c r="E31" s="132">
        <v>1</v>
      </c>
      <c r="F31" s="132">
        <v>1</v>
      </c>
      <c r="G31" s="132">
        <v>1</v>
      </c>
      <c r="H31" s="132">
        <v>1</v>
      </c>
      <c r="I31" s="132">
        <v>1</v>
      </c>
      <c r="O31" s="132" t="s">
        <v>273</v>
      </c>
      <c r="P31" s="132">
        <v>24.98</v>
      </c>
      <c r="Q31" s="132">
        <v>16.98</v>
      </c>
      <c r="R31" s="132">
        <v>0.2</v>
      </c>
      <c r="S31" s="132">
        <v>0.18</v>
      </c>
      <c r="T31" s="132" t="s">
        <v>274</v>
      </c>
      <c r="U31" s="132" t="s">
        <v>275</v>
      </c>
    </row>
    <row r="32" spans="1:21" ht="14.25" customHeight="1" x14ac:dyDescent="0.25">
      <c r="A32" s="132" t="s">
        <v>246</v>
      </c>
      <c r="B32" s="132" t="s">
        <v>8</v>
      </c>
      <c r="C32" s="132">
        <v>-1</v>
      </c>
      <c r="D32" s="132" t="str">
        <f t="shared" si="3"/>
        <v>CIM Motor BAG Motor -1</v>
      </c>
      <c r="E32" s="132">
        <v>1</v>
      </c>
      <c r="F32" s="132">
        <v>1</v>
      </c>
      <c r="G32" s="132">
        <v>1</v>
      </c>
      <c r="H32" s="132">
        <v>1</v>
      </c>
      <c r="I32" s="132">
        <v>1</v>
      </c>
    </row>
    <row r="33" spans="1:22" ht="14.25" customHeight="1" x14ac:dyDescent="0.25">
      <c r="A33" s="132" t="s">
        <v>246</v>
      </c>
      <c r="B33" s="132" t="s">
        <v>255</v>
      </c>
      <c r="C33" s="132">
        <v>-1</v>
      </c>
      <c r="D33" s="132" t="str">
        <f t="shared" si="3"/>
        <v>CIM Motor 775pro -1</v>
      </c>
      <c r="E33" s="132">
        <v>1</v>
      </c>
      <c r="F33" s="132">
        <v>1</v>
      </c>
      <c r="G33" s="132">
        <v>1</v>
      </c>
      <c r="H33" s="132">
        <v>1</v>
      </c>
      <c r="I33" s="132">
        <v>1</v>
      </c>
    </row>
    <row r="34" spans="1:22" ht="14.25" customHeight="1" x14ac:dyDescent="0.25">
      <c r="A34" s="132" t="s">
        <v>246</v>
      </c>
      <c r="B34" s="132" t="s">
        <v>7</v>
      </c>
      <c r="C34" s="132">
        <v>-1</v>
      </c>
      <c r="D34" s="132" t="str">
        <f t="shared" si="3"/>
        <v>CIM Motor Mini CIM -1</v>
      </c>
      <c r="E34" s="132">
        <v>1</v>
      </c>
      <c r="F34" s="132">
        <v>1</v>
      </c>
      <c r="G34" s="132">
        <v>1</v>
      </c>
      <c r="H34" s="132">
        <v>1</v>
      </c>
      <c r="I34" s="132">
        <v>0</v>
      </c>
      <c r="O34" s="132" t="s">
        <v>276</v>
      </c>
    </row>
    <row r="35" spans="1:22" ht="14.25" customHeight="1" x14ac:dyDescent="0.25">
      <c r="A35" s="132" t="s">
        <v>246</v>
      </c>
      <c r="B35" s="132" t="s">
        <v>6</v>
      </c>
      <c r="C35" s="132">
        <v>-1</v>
      </c>
      <c r="D35" s="132" t="str">
        <f t="shared" si="3"/>
        <v>CIM Motor CIM -1</v>
      </c>
      <c r="E35" s="132">
        <v>1</v>
      </c>
      <c r="F35" s="132">
        <v>1</v>
      </c>
      <c r="G35" s="132">
        <v>1</v>
      </c>
      <c r="H35" s="132">
        <v>1</v>
      </c>
      <c r="I35" s="132">
        <v>0</v>
      </c>
      <c r="O35" s="132" t="s">
        <v>257</v>
      </c>
      <c r="P35" s="132">
        <v>0</v>
      </c>
      <c r="R35" s="132">
        <v>0</v>
      </c>
    </row>
    <row r="36" spans="1:22" ht="14.25" customHeight="1" x14ac:dyDescent="0.25">
      <c r="A36" s="132" t="s">
        <v>246</v>
      </c>
      <c r="B36" s="132" t="s">
        <v>9</v>
      </c>
      <c r="C36" s="132">
        <v>-1</v>
      </c>
      <c r="D36" s="132" t="str">
        <f t="shared" si="3"/>
        <v>CIM Motor NEO -1</v>
      </c>
      <c r="E36" s="132">
        <v>1</v>
      </c>
      <c r="F36" s="132">
        <v>1</v>
      </c>
      <c r="G36" s="132">
        <v>1</v>
      </c>
      <c r="H36" s="132">
        <v>1</v>
      </c>
      <c r="I36" s="132">
        <v>0</v>
      </c>
      <c r="O36" s="132" t="s">
        <v>277</v>
      </c>
      <c r="P36" s="132">
        <v>41.97</v>
      </c>
      <c r="R36" s="132">
        <v>0.31</v>
      </c>
      <c r="T36" s="132" t="s">
        <v>278</v>
      </c>
      <c r="U36" s="132" t="s">
        <v>278</v>
      </c>
      <c r="V36" s="132" t="s">
        <v>278</v>
      </c>
    </row>
    <row r="37" spans="1:22" ht="14.25" customHeight="1" x14ac:dyDescent="0.25">
      <c r="A37" s="132" t="s">
        <v>246</v>
      </c>
      <c r="B37" s="132" t="s">
        <v>333</v>
      </c>
      <c r="C37" s="132">
        <v>-1</v>
      </c>
      <c r="D37" s="132" t="str">
        <f t="shared" si="3"/>
        <v>CIM Motor Falcon 500 -1</v>
      </c>
      <c r="E37" s="132">
        <v>1</v>
      </c>
      <c r="F37" s="132">
        <v>1</v>
      </c>
      <c r="G37" s="132">
        <v>1</v>
      </c>
      <c r="H37" s="132">
        <v>1</v>
      </c>
      <c r="I37" s="132">
        <v>0</v>
      </c>
      <c r="O37" s="132" t="s">
        <v>279</v>
      </c>
      <c r="P37" s="132">
        <v>42.97</v>
      </c>
      <c r="R37" s="132">
        <v>0.31</v>
      </c>
      <c r="T37" s="132" t="s">
        <v>280</v>
      </c>
      <c r="U37" s="132" t="s">
        <v>281</v>
      </c>
      <c r="V37" s="132" t="s">
        <v>282</v>
      </c>
    </row>
    <row r="38" spans="1:22" ht="14.25" customHeight="1" x14ac:dyDescent="0.25">
      <c r="A38" s="132" t="s">
        <v>249</v>
      </c>
      <c r="B38" s="132" t="s">
        <v>11</v>
      </c>
      <c r="C38" s="132">
        <v>-1</v>
      </c>
      <c r="D38" s="132" t="str">
        <f t="shared" si="3"/>
        <v>Female AM 9015 -1</v>
      </c>
      <c r="E38" s="132">
        <v>1</v>
      </c>
      <c r="F38" s="132">
        <v>1</v>
      </c>
      <c r="G38" s="132">
        <v>1</v>
      </c>
      <c r="H38" s="132">
        <v>1</v>
      </c>
      <c r="I38" s="132">
        <v>1</v>
      </c>
      <c r="O38" s="132" t="s">
        <v>283</v>
      </c>
      <c r="P38" s="132">
        <v>42.97</v>
      </c>
      <c r="R38" s="132">
        <v>0.31</v>
      </c>
      <c r="T38" s="132" t="s">
        <v>284</v>
      </c>
      <c r="U38" s="132" t="s">
        <v>285</v>
      </c>
      <c r="V38" s="132" t="s">
        <v>286</v>
      </c>
    </row>
    <row r="39" spans="1:22" ht="14.25" customHeight="1" x14ac:dyDescent="0.25">
      <c r="A39" s="132" t="s">
        <v>249</v>
      </c>
      <c r="B39" s="132" t="s">
        <v>326</v>
      </c>
      <c r="C39" s="132">
        <v>-1</v>
      </c>
      <c r="D39" s="132" t="str">
        <f t="shared" si="3"/>
        <v>Female BB RS-550 -1</v>
      </c>
      <c r="E39" s="132">
        <v>1</v>
      </c>
      <c r="F39" s="132">
        <v>1</v>
      </c>
      <c r="G39" s="132">
        <v>1</v>
      </c>
      <c r="H39" s="132">
        <v>1</v>
      </c>
      <c r="I39" s="132">
        <v>1</v>
      </c>
      <c r="O39" s="132" t="s">
        <v>287</v>
      </c>
      <c r="P39" s="132">
        <v>56.97</v>
      </c>
      <c r="R39" s="132">
        <v>0.34</v>
      </c>
      <c r="T39" s="132" t="s">
        <v>288</v>
      </c>
      <c r="U39" s="132" t="s">
        <v>288</v>
      </c>
      <c r="V39" s="132" t="s">
        <v>288</v>
      </c>
    </row>
    <row r="40" spans="1:22" ht="14.25" customHeight="1" x14ac:dyDescent="0.25">
      <c r="A40" s="132" t="s">
        <v>249</v>
      </c>
      <c r="B40" s="132" t="s">
        <v>327</v>
      </c>
      <c r="C40" s="132">
        <v>-1</v>
      </c>
      <c r="D40" s="132" t="str">
        <f t="shared" si="3"/>
        <v>Female BB RS-775 -1</v>
      </c>
      <c r="E40" s="132">
        <v>1</v>
      </c>
      <c r="F40" s="132">
        <v>1</v>
      </c>
      <c r="G40" s="132">
        <v>1</v>
      </c>
      <c r="H40" s="132">
        <v>1</v>
      </c>
      <c r="I40" s="132">
        <v>1</v>
      </c>
      <c r="O40" s="132" t="s">
        <v>289</v>
      </c>
      <c r="P40" s="132">
        <v>57.97</v>
      </c>
      <c r="R40" s="132">
        <v>0.34</v>
      </c>
      <c r="T40" s="132" t="s">
        <v>290</v>
      </c>
      <c r="U40" s="132" t="s">
        <v>291</v>
      </c>
      <c r="V40" s="132" t="s">
        <v>292</v>
      </c>
    </row>
    <row r="41" spans="1:22" ht="14.25" customHeight="1" x14ac:dyDescent="0.25">
      <c r="A41" s="132" t="s">
        <v>249</v>
      </c>
      <c r="B41" s="132" t="s">
        <v>8</v>
      </c>
      <c r="C41" s="132">
        <v>-1</v>
      </c>
      <c r="D41" s="132" t="str">
        <f t="shared" si="3"/>
        <v>Female BAG Motor -1</v>
      </c>
      <c r="E41" s="132">
        <v>1</v>
      </c>
      <c r="F41" s="132">
        <v>1</v>
      </c>
      <c r="G41" s="132">
        <v>1</v>
      </c>
      <c r="H41" s="132">
        <v>1</v>
      </c>
      <c r="I41" s="132">
        <v>1</v>
      </c>
      <c r="O41" s="132" t="s">
        <v>293</v>
      </c>
      <c r="P41" s="132">
        <v>57.97</v>
      </c>
      <c r="R41" s="132">
        <v>0.34</v>
      </c>
      <c r="T41" s="132" t="s">
        <v>294</v>
      </c>
      <c r="U41" s="132" t="s">
        <v>295</v>
      </c>
      <c r="V41" s="132" t="s">
        <v>296</v>
      </c>
    </row>
    <row r="42" spans="1:22" ht="14.25" customHeight="1" x14ac:dyDescent="0.25">
      <c r="A42" s="132" t="s">
        <v>249</v>
      </c>
      <c r="B42" s="132" t="s">
        <v>255</v>
      </c>
      <c r="C42" s="132">
        <v>-1</v>
      </c>
      <c r="D42" s="132" t="str">
        <f t="shared" si="3"/>
        <v>Female 775pro -1</v>
      </c>
      <c r="E42" s="132">
        <v>1</v>
      </c>
      <c r="F42" s="132">
        <v>1</v>
      </c>
      <c r="G42" s="132">
        <v>1</v>
      </c>
      <c r="H42" s="132">
        <v>1</v>
      </c>
      <c r="I42" s="132">
        <v>1</v>
      </c>
      <c r="O42" s="132" t="s">
        <v>276</v>
      </c>
      <c r="P42" s="132">
        <v>14.98</v>
      </c>
      <c r="R42" s="132">
        <v>0.2</v>
      </c>
      <c r="T42" s="132" t="s">
        <v>297</v>
      </c>
    </row>
    <row r="43" spans="1:22" ht="14.25" customHeight="1" x14ac:dyDescent="0.25">
      <c r="A43" s="132" t="s">
        <v>249</v>
      </c>
      <c r="B43" s="132" t="s">
        <v>7</v>
      </c>
      <c r="C43" s="132">
        <v>-1</v>
      </c>
      <c r="D43" s="132" t="str">
        <f t="shared" si="3"/>
        <v>Female Mini CIM -1</v>
      </c>
      <c r="E43" s="132">
        <v>1</v>
      </c>
      <c r="F43" s="132">
        <v>1</v>
      </c>
      <c r="G43" s="132">
        <v>1</v>
      </c>
      <c r="H43" s="132">
        <v>1</v>
      </c>
      <c r="I43" s="132">
        <v>0</v>
      </c>
    </row>
    <row r="44" spans="1:22" ht="14.25" customHeight="1" x14ac:dyDescent="0.25">
      <c r="A44" s="132" t="s">
        <v>249</v>
      </c>
      <c r="B44" s="132" t="s">
        <v>6</v>
      </c>
      <c r="C44" s="132">
        <v>-1</v>
      </c>
      <c r="D44" s="132" t="str">
        <f t="shared" si="3"/>
        <v>Female CIM -1</v>
      </c>
      <c r="E44" s="132">
        <v>1</v>
      </c>
      <c r="F44" s="132">
        <v>1</v>
      </c>
      <c r="G44" s="132">
        <v>1</v>
      </c>
      <c r="H44" s="132">
        <v>1</v>
      </c>
      <c r="I44" s="132">
        <v>0</v>
      </c>
    </row>
    <row r="45" spans="1:22" ht="14.25" customHeight="1" x14ac:dyDescent="0.25">
      <c r="A45" s="132" t="s">
        <v>249</v>
      </c>
      <c r="B45" s="132" t="s">
        <v>9</v>
      </c>
      <c r="C45" s="132">
        <v>-1</v>
      </c>
      <c r="D45" s="132" t="str">
        <f t="shared" si="3"/>
        <v>Female NEO -1</v>
      </c>
      <c r="E45" s="132">
        <v>1</v>
      </c>
      <c r="F45" s="132">
        <v>1</v>
      </c>
      <c r="G45" s="132">
        <v>1</v>
      </c>
      <c r="H45" s="132">
        <v>1</v>
      </c>
      <c r="I45" s="132">
        <v>0</v>
      </c>
      <c r="O45" s="132" t="s">
        <v>298</v>
      </c>
    </row>
    <row r="46" spans="1:22" ht="14.25" customHeight="1" x14ac:dyDescent="0.25">
      <c r="A46" s="132" t="s">
        <v>249</v>
      </c>
      <c r="B46" s="132" t="s">
        <v>333</v>
      </c>
      <c r="C46" s="132">
        <v>-1</v>
      </c>
      <c r="D46" s="132" t="str">
        <f t="shared" si="3"/>
        <v>Female Falcon 500 -1</v>
      </c>
      <c r="E46" s="132">
        <v>1</v>
      </c>
      <c r="F46" s="132">
        <v>1</v>
      </c>
      <c r="G46" s="132">
        <v>1</v>
      </c>
      <c r="H46" s="132">
        <v>1</v>
      </c>
      <c r="I46" s="132">
        <v>0</v>
      </c>
      <c r="O46" s="132" t="s">
        <v>60</v>
      </c>
      <c r="P46" s="132">
        <v>67.95</v>
      </c>
      <c r="R46" s="132">
        <v>0.28000000000000003</v>
      </c>
      <c r="T46" s="132" t="s">
        <v>299</v>
      </c>
      <c r="U46" s="132" t="s">
        <v>300</v>
      </c>
      <c r="V46" s="132" t="s">
        <v>301</v>
      </c>
    </row>
    <row r="47" spans="1:22" ht="14.25" customHeight="1" x14ac:dyDescent="0.25">
      <c r="A47" s="132" t="s">
        <v>117</v>
      </c>
      <c r="B47" s="132" t="s">
        <v>11</v>
      </c>
      <c r="C47" s="132">
        <v>-3</v>
      </c>
      <c r="D47" s="132" t="str">
        <f>A47&amp;" "&amp;B47&amp;" "&amp;C47</f>
        <v>1/2" Hex AM 9015 -3</v>
      </c>
      <c r="E47" s="132">
        <v>1</v>
      </c>
      <c r="I47" s="132">
        <v>1</v>
      </c>
      <c r="O47" s="132" t="s">
        <v>302</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303</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304</v>
      </c>
    </row>
    <row r="52" spans="1:20" ht="14.25" customHeight="1" x14ac:dyDescent="0.25">
      <c r="A52" s="132" t="s">
        <v>117</v>
      </c>
      <c r="B52" s="132" t="s">
        <v>11</v>
      </c>
      <c r="C52" s="132">
        <v>-10</v>
      </c>
      <c r="D52" s="132" t="str">
        <f t="shared" si="4"/>
        <v>1/2" Hex AM 9015 -10</v>
      </c>
      <c r="E52" s="132">
        <v>1</v>
      </c>
      <c r="I52" s="132">
        <v>1</v>
      </c>
      <c r="O52" s="132" t="s">
        <v>302</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305</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306</v>
      </c>
    </row>
    <row r="57" spans="1:20" ht="14.25" customHeight="1" x14ac:dyDescent="0.25">
      <c r="A57" s="132" t="s">
        <v>117</v>
      </c>
      <c r="B57" s="132" t="s">
        <v>11</v>
      </c>
      <c r="C57" s="132">
        <v>20</v>
      </c>
      <c r="D57" s="132" t="str">
        <f t="shared" si="5"/>
        <v>1/2" Hex AM 9015 20</v>
      </c>
      <c r="E57" s="132">
        <v>10</v>
      </c>
      <c r="I57" s="132">
        <v>4</v>
      </c>
      <c r="O57" s="132" t="s">
        <v>302</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307</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308</v>
      </c>
    </row>
    <row r="61" spans="1:20" ht="14.25" customHeight="1" x14ac:dyDescent="0.25">
      <c r="A61" s="132" t="s">
        <v>117</v>
      </c>
      <c r="B61" s="132" t="s">
        <v>11</v>
      </c>
      <c r="C61" s="132">
        <v>28</v>
      </c>
      <c r="D61" s="132" t="str">
        <f t="shared" si="5"/>
        <v>1/2" Hex AM 9015 28</v>
      </c>
      <c r="E61" s="132">
        <v>7</v>
      </c>
      <c r="I61" s="132">
        <v>3</v>
      </c>
      <c r="O61" s="132" t="s">
        <v>302</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326</v>
      </c>
      <c r="C74" s="132">
        <v>-3</v>
      </c>
      <c r="D74" s="132" t="str">
        <f t="shared" si="5"/>
        <v>1/2" Hex BB RS-550 -3</v>
      </c>
      <c r="E74" s="132">
        <v>1</v>
      </c>
      <c r="F74" s="132">
        <v>1</v>
      </c>
      <c r="G74" s="132">
        <v>1</v>
      </c>
      <c r="H74" s="132">
        <v>1</v>
      </c>
      <c r="I74" s="132">
        <v>1</v>
      </c>
    </row>
    <row r="75" spans="1:9" ht="14.25" customHeight="1" x14ac:dyDescent="0.25">
      <c r="A75" s="132" t="s">
        <v>117</v>
      </c>
      <c r="B75" s="132" t="s">
        <v>326</v>
      </c>
      <c r="C75" s="132">
        <v>-4</v>
      </c>
      <c r="D75" s="132" t="str">
        <f t="shared" si="5"/>
        <v>1/2" Hex BB RS-550 -4</v>
      </c>
      <c r="E75" s="132">
        <v>1</v>
      </c>
      <c r="F75" s="132">
        <v>1</v>
      </c>
      <c r="G75" s="132">
        <v>1</v>
      </c>
      <c r="H75" s="132">
        <v>1</v>
      </c>
      <c r="I75" s="132">
        <v>1</v>
      </c>
    </row>
    <row r="76" spans="1:9" ht="14.25" customHeight="1" x14ac:dyDescent="0.25">
      <c r="A76" s="132" t="s">
        <v>117</v>
      </c>
      <c r="B76" s="132" t="s">
        <v>326</v>
      </c>
      <c r="C76" s="132">
        <v>-5</v>
      </c>
      <c r="D76" s="132" t="str">
        <f t="shared" si="5"/>
        <v>1/2" Hex BB RS-550 -5</v>
      </c>
      <c r="E76" s="132">
        <v>1</v>
      </c>
      <c r="F76" s="132">
        <v>1</v>
      </c>
      <c r="G76" s="132">
        <v>1</v>
      </c>
      <c r="H76" s="132">
        <v>1</v>
      </c>
      <c r="I76" s="132">
        <v>1</v>
      </c>
    </row>
    <row r="77" spans="1:9" ht="14.25" customHeight="1" x14ac:dyDescent="0.25">
      <c r="A77" s="132" t="s">
        <v>117</v>
      </c>
      <c r="B77" s="132" t="s">
        <v>326</v>
      </c>
      <c r="C77" s="132">
        <v>-7</v>
      </c>
      <c r="D77" s="132" t="str">
        <f t="shared" si="5"/>
        <v>1/2" Hex BB RS-550 -7</v>
      </c>
      <c r="E77" s="132">
        <v>1</v>
      </c>
      <c r="F77" s="132">
        <v>1</v>
      </c>
      <c r="G77" s="132">
        <v>1</v>
      </c>
      <c r="H77" s="132">
        <v>0</v>
      </c>
      <c r="I77" s="132">
        <v>1</v>
      </c>
    </row>
    <row r="78" spans="1:9" ht="14.25" customHeight="1" x14ac:dyDescent="0.25">
      <c r="A78" s="132" t="s">
        <v>117</v>
      </c>
      <c r="B78" s="132" t="s">
        <v>326</v>
      </c>
      <c r="C78" s="132">
        <v>-9</v>
      </c>
      <c r="D78" s="132" t="str">
        <f t="shared" si="5"/>
        <v>1/2" Hex BB RS-550 -9</v>
      </c>
      <c r="E78" s="132">
        <v>1</v>
      </c>
      <c r="F78" s="132">
        <v>1</v>
      </c>
      <c r="G78" s="132">
        <v>0</v>
      </c>
      <c r="H78" s="132">
        <v>0</v>
      </c>
      <c r="I78" s="132">
        <v>1</v>
      </c>
    </row>
    <row r="79" spans="1:9" ht="14.25" customHeight="1" x14ac:dyDescent="0.25">
      <c r="A79" s="132" t="s">
        <v>117</v>
      </c>
      <c r="B79" s="132" t="s">
        <v>326</v>
      </c>
      <c r="C79" s="132">
        <v>-10</v>
      </c>
      <c r="D79" s="132" t="str">
        <f t="shared" si="5"/>
        <v>1/2" Hex BB RS-550 -10</v>
      </c>
      <c r="E79" s="132">
        <v>1</v>
      </c>
      <c r="F79" s="132">
        <v>1</v>
      </c>
      <c r="G79" s="132">
        <v>0</v>
      </c>
      <c r="H79" s="132">
        <v>0</v>
      </c>
      <c r="I79" s="132">
        <v>1</v>
      </c>
    </row>
    <row r="80" spans="1:9" ht="14.25" customHeight="1" x14ac:dyDescent="0.25">
      <c r="A80" s="132" t="s">
        <v>117</v>
      </c>
      <c r="B80" s="132" t="s">
        <v>326</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326</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326</v>
      </c>
      <c r="C82" s="132">
        <v>15</v>
      </c>
      <c r="D82" s="132" t="str">
        <f t="shared" si="6"/>
        <v>1/2" Hex BB RS-550 15</v>
      </c>
      <c r="E82" s="132">
        <v>10</v>
      </c>
      <c r="F82" s="132">
        <v>5</v>
      </c>
      <c r="G82" s="132">
        <v>0</v>
      </c>
      <c r="H82" s="132">
        <v>0</v>
      </c>
      <c r="I82" s="132">
        <v>5</v>
      </c>
    </row>
    <row r="83" spans="1:9" ht="14.25" customHeight="1" x14ac:dyDescent="0.25">
      <c r="A83" s="132" t="s">
        <v>117</v>
      </c>
      <c r="B83" s="132" t="s">
        <v>326</v>
      </c>
      <c r="C83" s="132">
        <v>16</v>
      </c>
      <c r="D83" s="132" t="str">
        <f t="shared" si="6"/>
        <v>1/2" Hex BB RS-550 16</v>
      </c>
      <c r="E83" s="132">
        <v>10</v>
      </c>
      <c r="F83" s="132">
        <v>5</v>
      </c>
      <c r="G83" s="132">
        <v>0</v>
      </c>
      <c r="H83" s="132">
        <v>0</v>
      </c>
      <c r="I83" s="132">
        <v>5</v>
      </c>
    </row>
    <row r="84" spans="1:9" ht="14.25" customHeight="1" x14ac:dyDescent="0.25">
      <c r="A84" s="132" t="s">
        <v>117</v>
      </c>
      <c r="B84" s="132" t="s">
        <v>326</v>
      </c>
      <c r="C84" s="132">
        <v>20</v>
      </c>
      <c r="D84" s="132" t="str">
        <f t="shared" si="6"/>
        <v>1/2" Hex BB RS-550 20</v>
      </c>
      <c r="E84" s="132">
        <v>9</v>
      </c>
      <c r="F84" s="132">
        <v>5</v>
      </c>
      <c r="G84" s="132">
        <v>0</v>
      </c>
      <c r="H84" s="132">
        <v>0</v>
      </c>
      <c r="I84" s="132">
        <v>4</v>
      </c>
    </row>
    <row r="85" spans="1:9" ht="14.25" customHeight="1" x14ac:dyDescent="0.25">
      <c r="A85" s="132" t="s">
        <v>117</v>
      </c>
      <c r="B85" s="132" t="s">
        <v>326</v>
      </c>
      <c r="C85" s="132">
        <v>21</v>
      </c>
      <c r="D85" s="132" t="str">
        <f t="shared" si="6"/>
        <v>1/2" Hex BB RS-550 21</v>
      </c>
      <c r="E85" s="132">
        <v>9</v>
      </c>
      <c r="F85" s="132">
        <v>5</v>
      </c>
      <c r="G85" s="132">
        <v>0</v>
      </c>
      <c r="H85" s="132">
        <v>0</v>
      </c>
      <c r="I85" s="132">
        <v>4</v>
      </c>
    </row>
    <row r="86" spans="1:9" ht="14.25" customHeight="1" x14ac:dyDescent="0.25">
      <c r="A86" s="132" t="s">
        <v>117</v>
      </c>
      <c r="B86" s="132" t="s">
        <v>326</v>
      </c>
      <c r="C86" s="132">
        <v>25</v>
      </c>
      <c r="D86" s="132" t="str">
        <f t="shared" si="6"/>
        <v>1/2" Hex BB RS-550 25</v>
      </c>
      <c r="E86" s="132">
        <v>7</v>
      </c>
      <c r="F86" s="132">
        <v>5</v>
      </c>
      <c r="G86" s="132">
        <v>0</v>
      </c>
      <c r="H86" s="132">
        <v>0</v>
      </c>
      <c r="I86" s="132">
        <v>3</v>
      </c>
    </row>
    <row r="87" spans="1:9" ht="14.25" customHeight="1" x14ac:dyDescent="0.25">
      <c r="A87" s="132" t="s">
        <v>117</v>
      </c>
      <c r="B87" s="132" t="s">
        <v>326</v>
      </c>
      <c r="C87" s="132">
        <v>27</v>
      </c>
      <c r="D87" s="132" t="str">
        <f t="shared" si="6"/>
        <v>1/2" Hex BB RS-550 27</v>
      </c>
      <c r="E87" s="132">
        <v>7</v>
      </c>
      <c r="F87" s="132">
        <v>5</v>
      </c>
      <c r="G87" s="132">
        <v>0</v>
      </c>
      <c r="H87" s="132">
        <v>0</v>
      </c>
      <c r="I87" s="132">
        <v>3</v>
      </c>
    </row>
    <row r="88" spans="1:9" ht="14.25" customHeight="1" x14ac:dyDescent="0.25">
      <c r="A88" s="132" t="s">
        <v>117</v>
      </c>
      <c r="B88" s="132" t="s">
        <v>326</v>
      </c>
      <c r="C88" s="132">
        <v>28</v>
      </c>
      <c r="D88" s="132" t="str">
        <f t="shared" si="6"/>
        <v>1/2" Hex BB RS-550 28</v>
      </c>
      <c r="E88" s="132">
        <v>7</v>
      </c>
      <c r="F88" s="132">
        <v>5</v>
      </c>
      <c r="G88" s="132">
        <v>0</v>
      </c>
      <c r="H88" s="132">
        <v>0</v>
      </c>
      <c r="I88" s="132">
        <v>3</v>
      </c>
    </row>
    <row r="89" spans="1:9" ht="14.25" customHeight="1" x14ac:dyDescent="0.25">
      <c r="A89" s="132" t="s">
        <v>117</v>
      </c>
      <c r="B89" s="132" t="s">
        <v>326</v>
      </c>
      <c r="C89" s="132">
        <v>30</v>
      </c>
      <c r="D89" s="132" t="str">
        <f t="shared" si="6"/>
        <v>1/2" Hex BB RS-550 30</v>
      </c>
      <c r="E89" s="132">
        <v>5</v>
      </c>
      <c r="F89" s="132">
        <v>5</v>
      </c>
      <c r="G89" s="132">
        <v>0</v>
      </c>
      <c r="H89" s="132">
        <v>0</v>
      </c>
      <c r="I89" s="132">
        <v>3</v>
      </c>
    </row>
    <row r="90" spans="1:9" ht="14.25" customHeight="1" x14ac:dyDescent="0.25">
      <c r="A90" s="132" t="s">
        <v>117</v>
      </c>
      <c r="B90" s="132" t="s">
        <v>326</v>
      </c>
      <c r="C90" s="132">
        <v>35</v>
      </c>
      <c r="D90" s="132" t="str">
        <f t="shared" si="6"/>
        <v>1/2" Hex BB RS-550 35</v>
      </c>
      <c r="E90" s="132">
        <v>5</v>
      </c>
      <c r="F90" s="132">
        <v>4</v>
      </c>
      <c r="G90" s="132">
        <v>0</v>
      </c>
      <c r="H90" s="132">
        <v>0</v>
      </c>
      <c r="I90" s="132">
        <v>1</v>
      </c>
    </row>
    <row r="91" spans="1:9" ht="14.25" customHeight="1" x14ac:dyDescent="0.25">
      <c r="A91" s="132" t="s">
        <v>117</v>
      </c>
      <c r="B91" s="132" t="s">
        <v>326</v>
      </c>
      <c r="C91" s="132">
        <v>36</v>
      </c>
      <c r="D91" s="132" t="str">
        <f t="shared" si="6"/>
        <v>1/2" Hex BB RS-550 36</v>
      </c>
      <c r="E91" s="132">
        <v>5</v>
      </c>
      <c r="F91" s="132">
        <v>4</v>
      </c>
      <c r="G91" s="132">
        <v>0</v>
      </c>
      <c r="H91" s="132">
        <v>0</v>
      </c>
      <c r="I91" s="132">
        <v>1</v>
      </c>
    </row>
    <row r="92" spans="1:9" ht="14.25" customHeight="1" x14ac:dyDescent="0.25">
      <c r="A92" s="132" t="s">
        <v>117</v>
      </c>
      <c r="B92" s="132" t="s">
        <v>326</v>
      </c>
      <c r="C92" s="132">
        <v>40</v>
      </c>
      <c r="D92" s="132" t="str">
        <f t="shared" si="6"/>
        <v>1/2" Hex BB RS-550 40</v>
      </c>
      <c r="E92" s="132">
        <v>5</v>
      </c>
      <c r="F92" s="132">
        <v>3</v>
      </c>
      <c r="G92" s="132">
        <v>0</v>
      </c>
      <c r="H92" s="132">
        <v>0</v>
      </c>
      <c r="I92" s="132">
        <v>5</v>
      </c>
    </row>
    <row r="93" spans="1:9" ht="14.25" customHeight="1" x14ac:dyDescent="0.25">
      <c r="A93" s="132" t="s">
        <v>117</v>
      </c>
      <c r="B93" s="132" t="s">
        <v>326</v>
      </c>
      <c r="C93" s="132">
        <v>45</v>
      </c>
      <c r="D93" s="132" t="str">
        <f t="shared" si="6"/>
        <v>1/2" Hex BB RS-550 45</v>
      </c>
      <c r="E93" s="132">
        <v>5</v>
      </c>
      <c r="F93" s="132">
        <v>3</v>
      </c>
      <c r="G93" s="132">
        <v>0</v>
      </c>
      <c r="H93" s="132">
        <v>0</v>
      </c>
      <c r="I93" s="132">
        <v>4</v>
      </c>
    </row>
    <row r="94" spans="1:9" ht="14.25" customHeight="1" x14ac:dyDescent="0.25">
      <c r="A94" s="132" t="s">
        <v>117</v>
      </c>
      <c r="B94" s="132" t="s">
        <v>326</v>
      </c>
      <c r="C94" s="132">
        <v>49</v>
      </c>
      <c r="D94" s="132" t="str">
        <f t="shared" si="6"/>
        <v>1/2" Hex BB RS-550 49</v>
      </c>
      <c r="E94" s="132">
        <v>5</v>
      </c>
      <c r="F94" s="132">
        <v>3</v>
      </c>
      <c r="G94" s="132">
        <v>0</v>
      </c>
      <c r="H94" s="132">
        <v>0</v>
      </c>
      <c r="I94" s="132">
        <v>4</v>
      </c>
    </row>
    <row r="95" spans="1:9" ht="14.25" customHeight="1" x14ac:dyDescent="0.25">
      <c r="A95" s="132" t="s">
        <v>117</v>
      </c>
      <c r="B95" s="132" t="s">
        <v>326</v>
      </c>
      <c r="C95" s="132">
        <v>50</v>
      </c>
      <c r="D95" s="132" t="str">
        <f t="shared" si="6"/>
        <v>1/2" Hex BB RS-550 50</v>
      </c>
      <c r="E95" s="132">
        <v>5</v>
      </c>
      <c r="F95" s="132">
        <v>3</v>
      </c>
      <c r="G95" s="132">
        <v>0</v>
      </c>
      <c r="H95" s="132">
        <v>0</v>
      </c>
      <c r="I95" s="132">
        <v>1</v>
      </c>
    </row>
    <row r="96" spans="1:9" ht="14.25" customHeight="1" x14ac:dyDescent="0.25">
      <c r="A96" s="132" t="s">
        <v>117</v>
      </c>
      <c r="B96" s="132" t="s">
        <v>326</v>
      </c>
      <c r="C96" s="132">
        <v>63</v>
      </c>
      <c r="D96" s="132" t="str">
        <f t="shared" si="6"/>
        <v>1/2" Hex BB RS-550 63</v>
      </c>
      <c r="E96" s="132">
        <v>4</v>
      </c>
      <c r="F96" s="132">
        <v>1</v>
      </c>
      <c r="G96" s="132">
        <v>0</v>
      </c>
      <c r="H96" s="132">
        <v>0</v>
      </c>
      <c r="I96" s="132">
        <v>1</v>
      </c>
    </row>
    <row r="97" spans="1:9" ht="14.25" customHeight="1" x14ac:dyDescent="0.25">
      <c r="A97" s="132" t="s">
        <v>117</v>
      </c>
      <c r="B97" s="132" t="s">
        <v>326</v>
      </c>
      <c r="C97" s="132">
        <v>70</v>
      </c>
      <c r="D97" s="132" t="str">
        <f t="shared" si="6"/>
        <v>1/2" Hex BB RS-550 70</v>
      </c>
      <c r="E97" s="132">
        <v>4</v>
      </c>
      <c r="F97" s="132">
        <v>1</v>
      </c>
      <c r="G97" s="132">
        <v>0</v>
      </c>
      <c r="H97" s="132">
        <v>0</v>
      </c>
      <c r="I97" s="132">
        <v>1</v>
      </c>
    </row>
    <row r="98" spans="1:9" ht="14.25" customHeight="1" x14ac:dyDescent="0.25">
      <c r="A98" s="132" t="s">
        <v>117</v>
      </c>
      <c r="B98" s="132" t="s">
        <v>326</v>
      </c>
      <c r="C98" s="132">
        <v>81</v>
      </c>
      <c r="D98" s="132" t="str">
        <f t="shared" si="6"/>
        <v>1/2" Hex BB RS-550 81</v>
      </c>
      <c r="E98" s="132">
        <v>3</v>
      </c>
      <c r="F98" s="132">
        <v>1</v>
      </c>
      <c r="G98" s="132">
        <v>0</v>
      </c>
      <c r="H98" s="132">
        <v>0</v>
      </c>
      <c r="I98" s="132">
        <v>1</v>
      </c>
    </row>
    <row r="99" spans="1:9" ht="14.25" customHeight="1" x14ac:dyDescent="0.25">
      <c r="A99" s="132" t="s">
        <v>117</v>
      </c>
      <c r="B99" s="132" t="s">
        <v>326</v>
      </c>
      <c r="C99" s="132">
        <v>90</v>
      </c>
      <c r="D99" s="132" t="str">
        <f t="shared" si="6"/>
        <v>1/2" Hex BB RS-550 90</v>
      </c>
      <c r="E99" s="132">
        <v>3</v>
      </c>
      <c r="F99" s="132">
        <v>1</v>
      </c>
      <c r="G99" s="132">
        <v>0</v>
      </c>
      <c r="H99" s="132">
        <v>0</v>
      </c>
      <c r="I99" s="132">
        <v>1</v>
      </c>
    </row>
    <row r="100" spans="1:9" ht="14.25" customHeight="1" x14ac:dyDescent="0.25">
      <c r="A100" s="132" t="s">
        <v>117</v>
      </c>
      <c r="B100" s="132" t="s">
        <v>326</v>
      </c>
      <c r="C100" s="132">
        <v>100</v>
      </c>
      <c r="D100" s="132" t="str">
        <f t="shared" si="6"/>
        <v>1/2" Hex BB RS-550 100</v>
      </c>
      <c r="E100" s="132">
        <v>3</v>
      </c>
      <c r="F100" s="132">
        <v>0</v>
      </c>
      <c r="G100" s="132">
        <v>0</v>
      </c>
      <c r="H100" s="132">
        <v>0</v>
      </c>
      <c r="I100" s="132">
        <v>0</v>
      </c>
    </row>
    <row r="101" spans="1:9" ht="14.25" customHeight="1" x14ac:dyDescent="0.25">
      <c r="A101" s="132" t="s">
        <v>117</v>
      </c>
      <c r="B101" s="132" t="s">
        <v>327</v>
      </c>
      <c r="C101" s="132">
        <v>-3</v>
      </c>
      <c r="D101" s="132" t="str">
        <f t="shared" si="6"/>
        <v>1/2" Hex BB RS-775 -3</v>
      </c>
      <c r="E101" s="132">
        <v>1</v>
      </c>
      <c r="F101" s="132">
        <v>1</v>
      </c>
      <c r="G101" s="132">
        <v>1</v>
      </c>
      <c r="H101" s="132">
        <v>0</v>
      </c>
      <c r="I101" s="132">
        <v>1</v>
      </c>
    </row>
    <row r="102" spans="1:9" ht="14.25" customHeight="1" x14ac:dyDescent="0.25">
      <c r="A102" s="132" t="s">
        <v>117</v>
      </c>
      <c r="B102" s="132" t="s">
        <v>327</v>
      </c>
      <c r="C102" s="132">
        <v>-4</v>
      </c>
      <c r="D102" s="132" t="str">
        <f t="shared" si="6"/>
        <v>1/2" Hex BB RS-775 -4</v>
      </c>
      <c r="E102" s="132">
        <v>1</v>
      </c>
      <c r="F102" s="132">
        <v>1</v>
      </c>
      <c r="G102" s="132">
        <v>1</v>
      </c>
      <c r="H102" s="132">
        <v>0</v>
      </c>
      <c r="I102" s="132">
        <v>1</v>
      </c>
    </row>
    <row r="103" spans="1:9" ht="14.25" customHeight="1" x14ac:dyDescent="0.25">
      <c r="A103" s="132" t="s">
        <v>117</v>
      </c>
      <c r="B103" s="132" t="s">
        <v>327</v>
      </c>
      <c r="C103" s="132">
        <v>-5</v>
      </c>
      <c r="D103" s="132" t="str">
        <f t="shared" si="6"/>
        <v>1/2" Hex BB RS-775 -5</v>
      </c>
      <c r="E103" s="132">
        <v>1</v>
      </c>
      <c r="F103" s="132">
        <v>1</v>
      </c>
      <c r="G103" s="132">
        <v>1</v>
      </c>
      <c r="H103" s="132">
        <v>0</v>
      </c>
      <c r="I103" s="132">
        <v>1</v>
      </c>
    </row>
    <row r="104" spans="1:9" ht="14.25" customHeight="1" x14ac:dyDescent="0.25">
      <c r="A104" s="132" t="s">
        <v>117</v>
      </c>
      <c r="B104" s="132" t="s">
        <v>327</v>
      </c>
      <c r="C104" s="132">
        <v>-7</v>
      </c>
      <c r="D104" s="132" t="str">
        <f t="shared" si="6"/>
        <v>1/2" Hex BB RS-775 -7</v>
      </c>
      <c r="E104" s="132">
        <v>1</v>
      </c>
      <c r="F104" s="132">
        <v>1</v>
      </c>
      <c r="G104" s="132">
        <v>0</v>
      </c>
      <c r="H104" s="132">
        <v>0</v>
      </c>
      <c r="I104" s="132">
        <v>1</v>
      </c>
    </row>
    <row r="105" spans="1:9" ht="14.25" customHeight="1" x14ac:dyDescent="0.25">
      <c r="A105" s="132" t="s">
        <v>117</v>
      </c>
      <c r="B105" s="132" t="s">
        <v>327</v>
      </c>
      <c r="C105" s="132">
        <v>-9</v>
      </c>
      <c r="D105" s="132" t="str">
        <f t="shared" si="6"/>
        <v>1/2" Hex BB RS-775 -9</v>
      </c>
      <c r="E105" s="132">
        <v>1</v>
      </c>
      <c r="F105" s="132">
        <v>1</v>
      </c>
      <c r="G105" s="132">
        <v>0</v>
      </c>
      <c r="H105" s="132">
        <v>0</v>
      </c>
      <c r="I105" s="132">
        <v>1</v>
      </c>
    </row>
    <row r="106" spans="1:9" ht="14.25" customHeight="1" x14ac:dyDescent="0.25">
      <c r="A106" s="132" t="s">
        <v>117</v>
      </c>
      <c r="B106" s="132" t="s">
        <v>327</v>
      </c>
      <c r="C106" s="132">
        <v>-10</v>
      </c>
      <c r="D106" s="132" t="str">
        <f t="shared" si="6"/>
        <v>1/2" Hex BB RS-775 -10</v>
      </c>
      <c r="E106" s="132">
        <v>1</v>
      </c>
      <c r="F106" s="132">
        <v>1</v>
      </c>
      <c r="G106" s="132">
        <v>0</v>
      </c>
      <c r="H106" s="132">
        <v>0</v>
      </c>
      <c r="I106" s="132">
        <v>1</v>
      </c>
    </row>
    <row r="107" spans="1:9" ht="14.25" customHeight="1" x14ac:dyDescent="0.25">
      <c r="A107" s="132" t="s">
        <v>117</v>
      </c>
      <c r="B107" s="132" t="s">
        <v>327</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327</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327</v>
      </c>
      <c r="C109" s="132">
        <v>15</v>
      </c>
      <c r="D109" s="132" t="str">
        <f t="shared" si="7"/>
        <v>1/2" Hex BB RS-775 15</v>
      </c>
      <c r="E109" s="132">
        <v>10</v>
      </c>
      <c r="F109" s="132">
        <v>5</v>
      </c>
      <c r="G109" s="132">
        <v>0</v>
      </c>
      <c r="H109" s="132">
        <v>0</v>
      </c>
      <c r="I109" s="132">
        <v>7</v>
      </c>
    </row>
    <row r="110" spans="1:9" ht="14.25" customHeight="1" x14ac:dyDescent="0.25">
      <c r="A110" s="132" t="s">
        <v>117</v>
      </c>
      <c r="B110" s="132" t="s">
        <v>327</v>
      </c>
      <c r="C110" s="132">
        <v>16</v>
      </c>
      <c r="D110" s="132" t="str">
        <f t="shared" si="7"/>
        <v>1/2" Hex BB RS-775 16</v>
      </c>
      <c r="E110" s="132">
        <v>10</v>
      </c>
      <c r="F110" s="132">
        <v>5</v>
      </c>
      <c r="G110" s="132">
        <v>0</v>
      </c>
      <c r="H110" s="132">
        <v>0</v>
      </c>
      <c r="I110" s="132">
        <v>7</v>
      </c>
    </row>
    <row r="111" spans="1:9" ht="14.25" customHeight="1" x14ac:dyDescent="0.25">
      <c r="A111" s="132" t="s">
        <v>117</v>
      </c>
      <c r="B111" s="132" t="s">
        <v>327</v>
      </c>
      <c r="C111" s="132">
        <v>20</v>
      </c>
      <c r="D111" s="132" t="str">
        <f t="shared" si="7"/>
        <v>1/2" Hex BB RS-775 20</v>
      </c>
      <c r="E111" s="132">
        <v>10</v>
      </c>
      <c r="F111" s="132">
        <v>4</v>
      </c>
      <c r="G111" s="132">
        <v>0</v>
      </c>
      <c r="H111" s="132">
        <v>0</v>
      </c>
      <c r="I111" s="132">
        <v>5</v>
      </c>
    </row>
    <row r="112" spans="1:9" ht="14.25" customHeight="1" x14ac:dyDescent="0.25">
      <c r="A112" s="132" t="s">
        <v>117</v>
      </c>
      <c r="B112" s="132" t="s">
        <v>327</v>
      </c>
      <c r="C112" s="132">
        <v>21</v>
      </c>
      <c r="D112" s="132" t="str">
        <f t="shared" si="7"/>
        <v>1/2" Hex BB RS-775 21</v>
      </c>
      <c r="E112" s="132">
        <v>10</v>
      </c>
      <c r="F112" s="132">
        <v>4</v>
      </c>
      <c r="G112" s="132">
        <v>0</v>
      </c>
      <c r="H112" s="132">
        <v>0</v>
      </c>
      <c r="I112" s="132">
        <v>5</v>
      </c>
    </row>
    <row r="113" spans="1:9" ht="14.25" customHeight="1" x14ac:dyDescent="0.25">
      <c r="A113" s="132" t="s">
        <v>117</v>
      </c>
      <c r="B113" s="132" t="s">
        <v>327</v>
      </c>
      <c r="C113" s="132">
        <v>25</v>
      </c>
      <c r="D113" s="132" t="str">
        <f t="shared" si="7"/>
        <v>1/2" Hex BB RS-775 25</v>
      </c>
      <c r="E113" s="132">
        <v>7</v>
      </c>
      <c r="F113" s="132">
        <v>3</v>
      </c>
      <c r="G113" s="132">
        <v>0</v>
      </c>
      <c r="H113" s="132">
        <v>0</v>
      </c>
      <c r="I113" s="132">
        <v>5</v>
      </c>
    </row>
    <row r="114" spans="1:9" ht="14.25" customHeight="1" x14ac:dyDescent="0.25">
      <c r="A114" s="132" t="s">
        <v>117</v>
      </c>
      <c r="B114" s="132" t="s">
        <v>327</v>
      </c>
      <c r="C114" s="132">
        <v>27</v>
      </c>
      <c r="D114" s="132" t="str">
        <f t="shared" si="7"/>
        <v>1/2" Hex BB RS-775 27</v>
      </c>
      <c r="E114" s="132">
        <v>7</v>
      </c>
      <c r="F114" s="132">
        <v>3</v>
      </c>
      <c r="G114" s="132">
        <v>0</v>
      </c>
      <c r="H114" s="132">
        <v>0</v>
      </c>
      <c r="I114" s="132">
        <v>4</v>
      </c>
    </row>
    <row r="115" spans="1:9" ht="14.25" customHeight="1" x14ac:dyDescent="0.25">
      <c r="A115" s="132" t="s">
        <v>117</v>
      </c>
      <c r="B115" s="132" t="s">
        <v>327</v>
      </c>
      <c r="C115" s="132">
        <v>28</v>
      </c>
      <c r="D115" s="132" t="str">
        <f t="shared" si="7"/>
        <v>1/2" Hex BB RS-775 28</v>
      </c>
      <c r="E115" s="132">
        <v>7</v>
      </c>
      <c r="F115" s="132">
        <v>3</v>
      </c>
      <c r="G115" s="132">
        <v>0</v>
      </c>
      <c r="H115" s="132">
        <v>0</v>
      </c>
      <c r="I115" s="132">
        <v>4</v>
      </c>
    </row>
    <row r="116" spans="1:9" ht="14.25" customHeight="1" x14ac:dyDescent="0.25">
      <c r="A116" s="132" t="s">
        <v>117</v>
      </c>
      <c r="B116" s="132" t="s">
        <v>327</v>
      </c>
      <c r="C116" s="132">
        <v>30</v>
      </c>
      <c r="D116" s="132" t="str">
        <f t="shared" si="7"/>
        <v>1/2" Hex BB RS-775 30</v>
      </c>
      <c r="E116" s="132">
        <v>7</v>
      </c>
      <c r="F116" s="132">
        <v>3</v>
      </c>
      <c r="G116" s="132">
        <v>0</v>
      </c>
      <c r="H116" s="132">
        <v>0</v>
      </c>
      <c r="I116" s="132">
        <v>4</v>
      </c>
    </row>
    <row r="117" spans="1:9" ht="14.25" customHeight="1" x14ac:dyDescent="0.25">
      <c r="A117" s="132" t="s">
        <v>117</v>
      </c>
      <c r="B117" s="132" t="s">
        <v>327</v>
      </c>
      <c r="C117" s="132">
        <v>35</v>
      </c>
      <c r="D117" s="132" t="str">
        <f t="shared" si="7"/>
        <v>1/2" Hex BB RS-775 35</v>
      </c>
      <c r="E117" s="132">
        <v>5</v>
      </c>
      <c r="F117" s="132">
        <v>1</v>
      </c>
      <c r="G117" s="132">
        <v>0</v>
      </c>
      <c r="H117" s="132">
        <v>0</v>
      </c>
      <c r="I117" s="132">
        <v>3</v>
      </c>
    </row>
    <row r="118" spans="1:9" ht="14.25" customHeight="1" x14ac:dyDescent="0.25">
      <c r="A118" s="132" t="s">
        <v>117</v>
      </c>
      <c r="B118" s="132" t="s">
        <v>327</v>
      </c>
      <c r="C118" s="132">
        <v>36</v>
      </c>
      <c r="D118" s="132" t="str">
        <f t="shared" si="7"/>
        <v>1/2" Hex BB RS-775 36</v>
      </c>
      <c r="E118" s="132">
        <v>5</v>
      </c>
      <c r="F118" s="132">
        <v>1</v>
      </c>
      <c r="G118" s="132">
        <v>0</v>
      </c>
      <c r="H118" s="132">
        <v>0</v>
      </c>
      <c r="I118" s="132">
        <v>3</v>
      </c>
    </row>
    <row r="119" spans="1:9" ht="14.25" customHeight="1" x14ac:dyDescent="0.25">
      <c r="A119" s="132" t="s">
        <v>117</v>
      </c>
      <c r="B119" s="132" t="s">
        <v>327</v>
      </c>
      <c r="C119" s="132">
        <v>40</v>
      </c>
      <c r="D119" s="132" t="str">
        <f t="shared" si="7"/>
        <v>1/2" Hex BB RS-775 40</v>
      </c>
      <c r="E119" s="132">
        <v>5</v>
      </c>
      <c r="F119" s="132">
        <v>1</v>
      </c>
      <c r="G119" s="132">
        <v>0</v>
      </c>
      <c r="H119" s="132">
        <v>0</v>
      </c>
      <c r="I119" s="132">
        <v>3</v>
      </c>
    </row>
    <row r="120" spans="1:9" ht="14.25" customHeight="1" x14ac:dyDescent="0.25">
      <c r="A120" s="132" t="s">
        <v>117</v>
      </c>
      <c r="B120" s="132" t="s">
        <v>327</v>
      </c>
      <c r="C120" s="132">
        <v>45</v>
      </c>
      <c r="D120" s="132" t="str">
        <f t="shared" si="7"/>
        <v>1/2" Hex BB RS-775 45</v>
      </c>
      <c r="E120" s="132">
        <v>5</v>
      </c>
      <c r="F120" s="132">
        <v>1</v>
      </c>
      <c r="G120" s="132">
        <v>0</v>
      </c>
      <c r="H120" s="132">
        <v>0</v>
      </c>
      <c r="I120" s="132">
        <v>1</v>
      </c>
    </row>
    <row r="121" spans="1:9" ht="14.25" customHeight="1" x14ac:dyDescent="0.25">
      <c r="A121" s="132" t="s">
        <v>117</v>
      </c>
      <c r="B121" s="132" t="s">
        <v>327</v>
      </c>
      <c r="C121" s="132">
        <v>49</v>
      </c>
      <c r="D121" s="132" t="str">
        <f t="shared" si="7"/>
        <v>1/2" Hex BB RS-775 49</v>
      </c>
      <c r="E121" s="132">
        <v>5</v>
      </c>
      <c r="F121" s="132">
        <v>1</v>
      </c>
      <c r="G121" s="132">
        <v>0</v>
      </c>
      <c r="H121" s="132">
        <v>0</v>
      </c>
      <c r="I121" s="132">
        <v>1</v>
      </c>
    </row>
    <row r="122" spans="1:9" ht="14.25" customHeight="1" x14ac:dyDescent="0.25">
      <c r="A122" s="132" t="s">
        <v>117</v>
      </c>
      <c r="B122" s="132" t="s">
        <v>327</v>
      </c>
      <c r="C122" s="132">
        <v>50</v>
      </c>
      <c r="D122" s="132" t="str">
        <f t="shared" si="7"/>
        <v>1/2" Hex BB RS-775 50</v>
      </c>
      <c r="E122" s="132">
        <v>5</v>
      </c>
      <c r="F122" s="132">
        <v>1</v>
      </c>
      <c r="G122" s="132">
        <v>0</v>
      </c>
      <c r="H122" s="132">
        <v>0</v>
      </c>
      <c r="I122" s="132">
        <v>1</v>
      </c>
    </row>
    <row r="123" spans="1:9" ht="14.25" customHeight="1" x14ac:dyDescent="0.25">
      <c r="A123" s="132" t="s">
        <v>117</v>
      </c>
      <c r="B123" s="132" t="s">
        <v>327</v>
      </c>
      <c r="C123" s="132">
        <v>63</v>
      </c>
      <c r="D123" s="132" t="str">
        <f t="shared" si="7"/>
        <v>1/2" Hex BB RS-775 63</v>
      </c>
      <c r="E123" s="132">
        <v>5</v>
      </c>
      <c r="F123" s="132">
        <v>0</v>
      </c>
      <c r="G123" s="132">
        <v>0</v>
      </c>
      <c r="H123" s="132">
        <v>0</v>
      </c>
      <c r="I123" s="132">
        <v>1</v>
      </c>
    </row>
    <row r="124" spans="1:9" ht="14.25" customHeight="1" x14ac:dyDescent="0.25">
      <c r="A124" s="132" t="s">
        <v>117</v>
      </c>
      <c r="B124" s="132" t="s">
        <v>327</v>
      </c>
      <c r="C124" s="132">
        <v>70</v>
      </c>
      <c r="D124" s="132" t="str">
        <f t="shared" si="7"/>
        <v>1/2" Hex BB RS-775 70</v>
      </c>
      <c r="E124" s="132">
        <v>4</v>
      </c>
      <c r="F124" s="132">
        <v>0</v>
      </c>
      <c r="G124" s="132">
        <v>0</v>
      </c>
      <c r="H124" s="132">
        <v>0</v>
      </c>
      <c r="I124" s="132">
        <v>1</v>
      </c>
    </row>
    <row r="125" spans="1:9" ht="14.25" customHeight="1" x14ac:dyDescent="0.25">
      <c r="A125" s="132" t="s">
        <v>117</v>
      </c>
      <c r="B125" s="132" t="s">
        <v>327</v>
      </c>
      <c r="C125" s="132">
        <v>81</v>
      </c>
      <c r="D125" s="132" t="str">
        <f t="shared" si="7"/>
        <v>1/2" Hex BB RS-775 81</v>
      </c>
      <c r="E125" s="132">
        <v>4</v>
      </c>
      <c r="F125" s="132">
        <v>0</v>
      </c>
      <c r="G125" s="132">
        <v>0</v>
      </c>
      <c r="H125" s="132">
        <v>0</v>
      </c>
      <c r="I125" s="132">
        <v>1</v>
      </c>
    </row>
    <row r="126" spans="1:9" ht="14.25" customHeight="1" x14ac:dyDescent="0.25">
      <c r="A126" s="132" t="s">
        <v>117</v>
      </c>
      <c r="B126" s="132" t="s">
        <v>327</v>
      </c>
      <c r="C126" s="132">
        <v>90</v>
      </c>
      <c r="D126" s="132" t="str">
        <f t="shared" si="7"/>
        <v>1/2" Hex BB RS-775 90</v>
      </c>
      <c r="E126" s="132">
        <v>3</v>
      </c>
      <c r="F126" s="132">
        <v>0</v>
      </c>
      <c r="G126" s="132">
        <v>0</v>
      </c>
      <c r="H126" s="132">
        <v>0</v>
      </c>
      <c r="I126" s="132">
        <v>1</v>
      </c>
    </row>
    <row r="127" spans="1:9" ht="14.25" customHeight="1" x14ac:dyDescent="0.25">
      <c r="A127" s="132" t="s">
        <v>117</v>
      </c>
      <c r="B127" s="132" t="s">
        <v>327</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255</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255</v>
      </c>
      <c r="C156" s="132">
        <v>-4</v>
      </c>
      <c r="D156" s="132" t="str">
        <f t="shared" si="9"/>
        <v>1/2" Hex 775pro -4</v>
      </c>
      <c r="E156" s="132">
        <v>1</v>
      </c>
      <c r="F156" s="132">
        <v>1</v>
      </c>
      <c r="G156" s="132">
        <v>1</v>
      </c>
      <c r="H156" s="132">
        <v>0</v>
      </c>
      <c r="I156" s="132">
        <v>1</v>
      </c>
    </row>
    <row r="157" spans="1:9" ht="14.25" customHeight="1" x14ac:dyDescent="0.25">
      <c r="A157" s="132" t="s">
        <v>117</v>
      </c>
      <c r="B157" s="132" t="s">
        <v>255</v>
      </c>
      <c r="C157" s="132">
        <v>-5</v>
      </c>
      <c r="D157" s="132" t="str">
        <f t="shared" si="9"/>
        <v>1/2" Hex 775pro -5</v>
      </c>
      <c r="E157" s="132">
        <v>1</v>
      </c>
      <c r="F157" s="132">
        <v>1</v>
      </c>
      <c r="G157" s="132">
        <v>1</v>
      </c>
      <c r="H157" s="132">
        <v>0</v>
      </c>
      <c r="I157" s="132">
        <v>1</v>
      </c>
    </row>
    <row r="158" spans="1:9" ht="14.25" customHeight="1" x14ac:dyDescent="0.25">
      <c r="A158" s="132" t="s">
        <v>117</v>
      </c>
      <c r="B158" s="132" t="s">
        <v>255</v>
      </c>
      <c r="C158" s="132">
        <v>-7</v>
      </c>
      <c r="D158" s="132" t="str">
        <f t="shared" si="9"/>
        <v>1/2" Hex 775pro -7</v>
      </c>
      <c r="E158" s="132">
        <v>1</v>
      </c>
      <c r="F158" s="132">
        <v>1</v>
      </c>
      <c r="G158" s="132">
        <v>0</v>
      </c>
      <c r="H158" s="132">
        <v>0</v>
      </c>
      <c r="I158" s="132">
        <v>1</v>
      </c>
    </row>
    <row r="159" spans="1:9" ht="14.25" customHeight="1" x14ac:dyDescent="0.25">
      <c r="A159" s="132" t="s">
        <v>117</v>
      </c>
      <c r="B159" s="132" t="s">
        <v>255</v>
      </c>
      <c r="C159" s="132">
        <v>-9</v>
      </c>
      <c r="D159" s="132" t="str">
        <f t="shared" si="9"/>
        <v>1/2" Hex 775pro -9</v>
      </c>
      <c r="E159" s="132">
        <v>1</v>
      </c>
      <c r="F159" s="132">
        <v>1</v>
      </c>
      <c r="G159" s="132">
        <v>0</v>
      </c>
      <c r="H159" s="132">
        <v>0</v>
      </c>
      <c r="I159" s="132">
        <v>1</v>
      </c>
    </row>
    <row r="160" spans="1:9" ht="14.25" customHeight="1" x14ac:dyDescent="0.25">
      <c r="A160" s="132" t="s">
        <v>117</v>
      </c>
      <c r="B160" s="132" t="s">
        <v>255</v>
      </c>
      <c r="C160" s="132">
        <v>-10</v>
      </c>
      <c r="D160" s="132" t="str">
        <f t="shared" si="9"/>
        <v>1/2" Hex 775pro -10</v>
      </c>
      <c r="E160" s="132">
        <v>1</v>
      </c>
      <c r="F160" s="132">
        <v>1</v>
      </c>
      <c r="G160" s="132">
        <v>0</v>
      </c>
      <c r="H160" s="132">
        <v>0</v>
      </c>
      <c r="I160" s="132">
        <v>1</v>
      </c>
    </row>
    <row r="161" spans="1:9" ht="14.25" customHeight="1" x14ac:dyDescent="0.25">
      <c r="A161" s="132" t="s">
        <v>117</v>
      </c>
      <c r="B161" s="132" t="s">
        <v>255</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255</v>
      </c>
      <c r="C162" s="132">
        <v>12</v>
      </c>
      <c r="D162" s="132" t="str">
        <f t="shared" si="10"/>
        <v>1/2" Hex 775pro 12</v>
      </c>
      <c r="E162" s="132">
        <v>10</v>
      </c>
      <c r="F162" s="132">
        <v>5</v>
      </c>
      <c r="G162" s="132">
        <v>0</v>
      </c>
      <c r="H162" s="132">
        <v>0</v>
      </c>
      <c r="I162" s="132">
        <v>4</v>
      </c>
    </row>
    <row r="163" spans="1:9" ht="14.25" customHeight="1" x14ac:dyDescent="0.25">
      <c r="A163" s="132" t="s">
        <v>117</v>
      </c>
      <c r="B163" s="132" t="s">
        <v>255</v>
      </c>
      <c r="C163" s="132">
        <v>15</v>
      </c>
      <c r="D163" s="132" t="str">
        <f t="shared" si="10"/>
        <v>1/2" Hex 775pro 15</v>
      </c>
      <c r="E163" s="132">
        <v>9</v>
      </c>
      <c r="F163" s="132">
        <v>5</v>
      </c>
      <c r="G163" s="132">
        <v>0</v>
      </c>
      <c r="H163" s="132">
        <v>0</v>
      </c>
      <c r="I163" s="132">
        <v>3</v>
      </c>
    </row>
    <row r="164" spans="1:9" ht="14.25" customHeight="1" x14ac:dyDescent="0.25">
      <c r="A164" s="132" t="s">
        <v>117</v>
      </c>
      <c r="B164" s="132" t="s">
        <v>255</v>
      </c>
      <c r="C164" s="132">
        <v>16</v>
      </c>
      <c r="D164" s="132" t="str">
        <f t="shared" si="10"/>
        <v>1/2" Hex 775pro 16</v>
      </c>
      <c r="E164" s="132">
        <v>7</v>
      </c>
      <c r="F164" s="132">
        <v>5</v>
      </c>
      <c r="G164" s="132">
        <v>0</v>
      </c>
      <c r="H164" s="132">
        <v>0</v>
      </c>
      <c r="I164" s="132">
        <v>3</v>
      </c>
    </row>
    <row r="165" spans="1:9" ht="14.25" customHeight="1" x14ac:dyDescent="0.25">
      <c r="A165" s="132" t="s">
        <v>117</v>
      </c>
      <c r="B165" s="132" t="s">
        <v>255</v>
      </c>
      <c r="C165" s="132">
        <v>20</v>
      </c>
      <c r="D165" s="132" t="str">
        <f t="shared" si="10"/>
        <v>1/2" Hex 775pro 20</v>
      </c>
      <c r="E165" s="132">
        <v>5</v>
      </c>
      <c r="F165" s="132">
        <v>5</v>
      </c>
      <c r="G165" s="132">
        <v>0</v>
      </c>
      <c r="H165" s="132">
        <v>0</v>
      </c>
      <c r="I165" s="132">
        <v>1</v>
      </c>
    </row>
    <row r="166" spans="1:9" ht="14.25" customHeight="1" x14ac:dyDescent="0.25">
      <c r="A166" s="132" t="s">
        <v>117</v>
      </c>
      <c r="B166" s="132" t="s">
        <v>255</v>
      </c>
      <c r="C166" s="132">
        <v>21</v>
      </c>
      <c r="D166" s="132" t="str">
        <f t="shared" si="10"/>
        <v>1/2" Hex 775pro 21</v>
      </c>
      <c r="E166" s="132">
        <v>5</v>
      </c>
      <c r="F166" s="132">
        <v>5</v>
      </c>
      <c r="G166" s="132">
        <v>0</v>
      </c>
      <c r="H166" s="132">
        <v>0</v>
      </c>
      <c r="I166" s="132">
        <v>1</v>
      </c>
    </row>
    <row r="167" spans="1:9" ht="14.25" customHeight="1" x14ac:dyDescent="0.25">
      <c r="A167" s="132" t="s">
        <v>117</v>
      </c>
      <c r="B167" s="132" t="s">
        <v>255</v>
      </c>
      <c r="C167" s="132">
        <v>25</v>
      </c>
      <c r="D167" s="132" t="str">
        <f t="shared" si="10"/>
        <v>1/2" Hex 775pro 25</v>
      </c>
      <c r="E167" s="132">
        <v>5</v>
      </c>
      <c r="F167" s="132">
        <v>4</v>
      </c>
      <c r="G167" s="132">
        <v>0</v>
      </c>
      <c r="H167" s="132">
        <v>0</v>
      </c>
      <c r="I167" s="132">
        <v>1</v>
      </c>
    </row>
    <row r="168" spans="1:9" ht="14.25" customHeight="1" x14ac:dyDescent="0.25">
      <c r="A168" s="132" t="s">
        <v>117</v>
      </c>
      <c r="B168" s="132" t="s">
        <v>255</v>
      </c>
      <c r="C168" s="132">
        <v>27</v>
      </c>
      <c r="D168" s="132" t="str">
        <f t="shared" si="10"/>
        <v>1/2" Hex 775pro 27</v>
      </c>
      <c r="E168" s="132">
        <v>5</v>
      </c>
      <c r="F168" s="132">
        <v>4</v>
      </c>
      <c r="G168" s="132">
        <v>0</v>
      </c>
      <c r="H168" s="132">
        <v>0</v>
      </c>
      <c r="I168" s="132">
        <v>1</v>
      </c>
    </row>
    <row r="169" spans="1:9" ht="14.25" customHeight="1" x14ac:dyDescent="0.25">
      <c r="A169" s="132" t="s">
        <v>117</v>
      </c>
      <c r="B169" s="132" t="s">
        <v>255</v>
      </c>
      <c r="C169" s="132">
        <v>28</v>
      </c>
      <c r="D169" s="132" t="str">
        <f t="shared" si="10"/>
        <v>1/2" Hex 775pro 28</v>
      </c>
      <c r="E169" s="132">
        <v>5</v>
      </c>
      <c r="F169" s="132">
        <v>3</v>
      </c>
      <c r="G169" s="132">
        <v>0</v>
      </c>
      <c r="H169" s="132">
        <v>0</v>
      </c>
      <c r="I169" s="132">
        <v>1</v>
      </c>
    </row>
    <row r="170" spans="1:9" ht="14.25" customHeight="1" x14ac:dyDescent="0.25">
      <c r="A170" s="132" t="s">
        <v>117</v>
      </c>
      <c r="B170" s="132" t="s">
        <v>255</v>
      </c>
      <c r="C170" s="132">
        <v>30</v>
      </c>
      <c r="D170" s="132" t="str">
        <f t="shared" si="10"/>
        <v>1/2" Hex 775pro 30</v>
      </c>
      <c r="E170" s="132">
        <v>5</v>
      </c>
      <c r="F170" s="132">
        <v>3</v>
      </c>
      <c r="G170" s="132">
        <v>0</v>
      </c>
      <c r="H170" s="132">
        <v>0</v>
      </c>
      <c r="I170" s="132">
        <v>1</v>
      </c>
    </row>
    <row r="171" spans="1:9" ht="14.25" customHeight="1" x14ac:dyDescent="0.25">
      <c r="A171" s="132" t="s">
        <v>117</v>
      </c>
      <c r="B171" s="132" t="s">
        <v>255</v>
      </c>
      <c r="C171" s="132">
        <v>35</v>
      </c>
      <c r="D171" s="132" t="str">
        <f t="shared" si="10"/>
        <v>1/2" Hex 775pro 35</v>
      </c>
      <c r="E171" s="132">
        <v>5</v>
      </c>
      <c r="F171" s="132">
        <v>3</v>
      </c>
      <c r="G171" s="132">
        <v>0</v>
      </c>
      <c r="H171" s="132">
        <v>0</v>
      </c>
      <c r="I171" s="132">
        <v>1</v>
      </c>
    </row>
    <row r="172" spans="1:9" ht="14.25" customHeight="1" x14ac:dyDescent="0.25">
      <c r="A172" s="132" t="s">
        <v>117</v>
      </c>
      <c r="B172" s="132" t="s">
        <v>255</v>
      </c>
      <c r="C172" s="132">
        <v>36</v>
      </c>
      <c r="D172" s="132" t="str">
        <f t="shared" si="10"/>
        <v>1/2" Hex 775pro 36</v>
      </c>
      <c r="E172" s="132">
        <v>5</v>
      </c>
      <c r="F172" s="132">
        <v>3</v>
      </c>
      <c r="G172" s="132">
        <v>0</v>
      </c>
      <c r="H172" s="132">
        <v>0</v>
      </c>
      <c r="I172" s="132">
        <v>1</v>
      </c>
    </row>
    <row r="173" spans="1:9" ht="14.25" customHeight="1" x14ac:dyDescent="0.25">
      <c r="A173" s="132" t="s">
        <v>117</v>
      </c>
      <c r="B173" s="132" t="s">
        <v>255</v>
      </c>
      <c r="C173" s="132">
        <v>40</v>
      </c>
      <c r="D173" s="132" t="str">
        <f t="shared" si="10"/>
        <v>1/2" Hex 775pro 40</v>
      </c>
      <c r="E173" s="132">
        <v>5</v>
      </c>
      <c r="F173" s="132">
        <v>1</v>
      </c>
      <c r="G173" s="132">
        <v>0</v>
      </c>
      <c r="H173" s="132">
        <v>0</v>
      </c>
      <c r="I173" s="132">
        <v>1</v>
      </c>
    </row>
    <row r="174" spans="1:9" ht="14.25" customHeight="1" x14ac:dyDescent="0.25">
      <c r="A174" s="132" t="s">
        <v>117</v>
      </c>
      <c r="B174" s="132" t="s">
        <v>255</v>
      </c>
      <c r="C174" s="132">
        <v>45</v>
      </c>
      <c r="D174" s="132" t="str">
        <f t="shared" si="10"/>
        <v>1/2" Hex 775pro 45</v>
      </c>
      <c r="E174" s="132">
        <v>4</v>
      </c>
      <c r="F174" s="132">
        <v>1</v>
      </c>
      <c r="G174" s="132">
        <v>0</v>
      </c>
      <c r="H174" s="132">
        <v>0</v>
      </c>
      <c r="I174" s="132">
        <v>1</v>
      </c>
    </row>
    <row r="175" spans="1:9" ht="14.25" customHeight="1" x14ac:dyDescent="0.25">
      <c r="A175" s="132" t="s">
        <v>117</v>
      </c>
      <c r="B175" s="132" t="s">
        <v>255</v>
      </c>
      <c r="C175" s="132">
        <v>49</v>
      </c>
      <c r="D175" s="132" t="str">
        <f t="shared" si="10"/>
        <v>1/2" Hex 775pro 49</v>
      </c>
      <c r="E175" s="132">
        <v>4</v>
      </c>
      <c r="F175" s="132">
        <v>1</v>
      </c>
      <c r="G175" s="132">
        <v>0</v>
      </c>
      <c r="H175" s="132">
        <v>0</v>
      </c>
      <c r="I175" s="132">
        <v>1</v>
      </c>
    </row>
    <row r="176" spans="1:9" ht="14.25" customHeight="1" x14ac:dyDescent="0.25">
      <c r="A176" s="132" t="s">
        <v>117</v>
      </c>
      <c r="B176" s="132" t="s">
        <v>255</v>
      </c>
      <c r="C176" s="132">
        <v>50</v>
      </c>
      <c r="D176" s="132" t="str">
        <f t="shared" si="10"/>
        <v>1/2" Hex 775pro 50</v>
      </c>
      <c r="E176" s="132">
        <v>4</v>
      </c>
      <c r="F176" s="132">
        <v>1</v>
      </c>
      <c r="G176" s="132">
        <v>0</v>
      </c>
      <c r="H176" s="132">
        <v>0</v>
      </c>
      <c r="I176" s="132">
        <v>0</v>
      </c>
    </row>
    <row r="177" spans="1:9" ht="14.25" customHeight="1" x14ac:dyDescent="0.25">
      <c r="A177" s="132" t="s">
        <v>117</v>
      </c>
      <c r="B177" s="132" t="s">
        <v>255</v>
      </c>
      <c r="C177" s="132">
        <v>63</v>
      </c>
      <c r="D177" s="132" t="str">
        <f t="shared" si="10"/>
        <v>1/2" Hex 775pro 63</v>
      </c>
      <c r="E177" s="132">
        <v>3</v>
      </c>
      <c r="F177" s="132">
        <v>1</v>
      </c>
      <c r="G177" s="132">
        <v>0</v>
      </c>
      <c r="H177" s="132">
        <v>0</v>
      </c>
      <c r="I177" s="132">
        <v>0</v>
      </c>
    </row>
    <row r="178" spans="1:9" ht="14.25" customHeight="1" x14ac:dyDescent="0.25">
      <c r="A178" s="132" t="s">
        <v>117</v>
      </c>
      <c r="B178" s="132" t="s">
        <v>255</v>
      </c>
      <c r="C178" s="132">
        <v>70</v>
      </c>
      <c r="D178" s="132" t="str">
        <f t="shared" si="10"/>
        <v>1/2" Hex 775pro 70</v>
      </c>
      <c r="E178" s="132">
        <v>3</v>
      </c>
      <c r="F178" s="132">
        <v>0</v>
      </c>
      <c r="G178" s="132">
        <v>0</v>
      </c>
      <c r="H178" s="132">
        <v>0</v>
      </c>
      <c r="I178" s="132">
        <v>0</v>
      </c>
    </row>
    <row r="179" spans="1:9" ht="14.25" customHeight="1" x14ac:dyDescent="0.25">
      <c r="A179" s="132" t="s">
        <v>117</v>
      </c>
      <c r="B179" s="132" t="s">
        <v>255</v>
      </c>
      <c r="C179" s="132">
        <v>81</v>
      </c>
      <c r="D179" s="132" t="str">
        <f t="shared" si="10"/>
        <v>1/2" Hex 775pro 81</v>
      </c>
      <c r="E179" s="132">
        <v>1</v>
      </c>
      <c r="F179" s="132">
        <v>0</v>
      </c>
      <c r="G179" s="132">
        <v>0</v>
      </c>
      <c r="H179" s="132">
        <v>0</v>
      </c>
      <c r="I179" s="132">
        <v>0</v>
      </c>
    </row>
    <row r="180" spans="1:9" ht="14.25" customHeight="1" x14ac:dyDescent="0.25">
      <c r="A180" s="132" t="s">
        <v>117</v>
      </c>
      <c r="B180" s="132" t="s">
        <v>255</v>
      </c>
      <c r="C180" s="132">
        <v>90</v>
      </c>
      <c r="D180" s="132" t="str">
        <f t="shared" si="10"/>
        <v>1/2" Hex 775pro 90</v>
      </c>
      <c r="E180" s="132">
        <v>1</v>
      </c>
      <c r="F180" s="132">
        <v>0</v>
      </c>
      <c r="G180" s="132">
        <v>0</v>
      </c>
      <c r="H180" s="132">
        <v>0</v>
      </c>
      <c r="I180" s="132">
        <v>0</v>
      </c>
    </row>
    <row r="181" spans="1:9" ht="14.25" customHeight="1" x14ac:dyDescent="0.25">
      <c r="A181" s="132" t="s">
        <v>117</v>
      </c>
      <c r="B181" s="132" t="s">
        <v>255</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333</v>
      </c>
      <c r="C263" s="132">
        <v>-3</v>
      </c>
      <c r="D263" s="132" t="str">
        <f t="shared" ref="D263:D268" si="17">A263&amp;" "&amp;B263&amp;" "&amp;C263</f>
        <v>1/2" Hex Falcon 500 -3</v>
      </c>
      <c r="E263" s="132">
        <v>1</v>
      </c>
      <c r="I263" s="132">
        <v>0</v>
      </c>
    </row>
    <row r="264" spans="1:9" ht="14.25" customHeight="1" x14ac:dyDescent="0.25">
      <c r="A264" s="132" t="s">
        <v>117</v>
      </c>
      <c r="B264" s="132" t="s">
        <v>333</v>
      </c>
      <c r="C264" s="132">
        <v>-4</v>
      </c>
      <c r="D264" s="132" t="str">
        <f t="shared" si="17"/>
        <v>1/2" Hex Falcon 500 -4</v>
      </c>
      <c r="E264" s="132">
        <v>1</v>
      </c>
      <c r="I264" s="132">
        <v>0</v>
      </c>
    </row>
    <row r="265" spans="1:9" ht="14.25" customHeight="1" x14ac:dyDescent="0.25">
      <c r="A265" s="132" t="s">
        <v>117</v>
      </c>
      <c r="B265" s="132" t="s">
        <v>333</v>
      </c>
      <c r="C265" s="132">
        <v>-5</v>
      </c>
      <c r="D265" s="132" t="str">
        <f t="shared" si="17"/>
        <v>1/2" Hex Falcon 500 -5</v>
      </c>
      <c r="E265" s="132">
        <v>1</v>
      </c>
      <c r="I265" s="132">
        <v>0</v>
      </c>
    </row>
    <row r="266" spans="1:9" ht="14.25" customHeight="1" x14ac:dyDescent="0.25">
      <c r="A266" s="132" t="s">
        <v>117</v>
      </c>
      <c r="B266" s="132" t="s">
        <v>333</v>
      </c>
      <c r="C266" s="132">
        <v>-7</v>
      </c>
      <c r="D266" s="132" t="str">
        <f t="shared" si="17"/>
        <v>1/2" Hex Falcon 500 -7</v>
      </c>
      <c r="E266" s="132">
        <v>1</v>
      </c>
      <c r="I266" s="132">
        <v>0</v>
      </c>
    </row>
    <row r="267" spans="1:9" ht="14.25" customHeight="1" x14ac:dyDescent="0.25">
      <c r="A267" s="132" t="s">
        <v>117</v>
      </c>
      <c r="B267" s="132" t="s">
        <v>333</v>
      </c>
      <c r="C267" s="132">
        <v>-9</v>
      </c>
      <c r="D267" s="132" t="str">
        <f t="shared" si="17"/>
        <v>1/2" Hex Falcon 500 -9</v>
      </c>
      <c r="E267" s="132">
        <v>1</v>
      </c>
      <c r="I267" s="132">
        <v>0</v>
      </c>
    </row>
    <row r="268" spans="1:9" ht="14.25" customHeight="1" x14ac:dyDescent="0.25">
      <c r="A268" s="132" t="s">
        <v>117</v>
      </c>
      <c r="B268" s="132" t="s">
        <v>333</v>
      </c>
      <c r="C268" s="132">
        <v>-10</v>
      </c>
      <c r="D268" s="132" t="str">
        <f t="shared" si="17"/>
        <v>1/2" Hex Falcon 500 -10</v>
      </c>
      <c r="E268" s="132">
        <v>1</v>
      </c>
      <c r="I268" s="132">
        <v>0</v>
      </c>
    </row>
    <row r="269" spans="1:9" ht="14.25" customHeight="1" x14ac:dyDescent="0.25">
      <c r="A269" s="132" t="s">
        <v>117</v>
      </c>
      <c r="B269" s="132" t="s">
        <v>333</v>
      </c>
      <c r="C269" s="132">
        <v>9</v>
      </c>
      <c r="D269" s="132" t="str">
        <f t="shared" ref="D269:D289" si="18">A269&amp;" "&amp;B269&amp;" "&amp;C269</f>
        <v>1/2" Hex Falcon 500 9</v>
      </c>
      <c r="E269" s="132">
        <v>3</v>
      </c>
      <c r="I269" s="132">
        <v>0</v>
      </c>
    </row>
    <row r="270" spans="1:9" ht="14.25" customHeight="1" x14ac:dyDescent="0.25">
      <c r="A270" s="132" t="s">
        <v>117</v>
      </c>
      <c r="B270" s="132" t="s">
        <v>333</v>
      </c>
      <c r="C270" s="132">
        <v>12</v>
      </c>
      <c r="D270" s="132" t="str">
        <f t="shared" si="18"/>
        <v>1/2" Hex Falcon 500 12</v>
      </c>
      <c r="E270" s="132">
        <v>1</v>
      </c>
      <c r="I270" s="132">
        <v>0</v>
      </c>
    </row>
    <row r="271" spans="1:9" ht="14.25" customHeight="1" x14ac:dyDescent="0.25">
      <c r="A271" s="132" t="s">
        <v>117</v>
      </c>
      <c r="B271" s="132" t="s">
        <v>333</v>
      </c>
      <c r="C271" s="132">
        <v>15</v>
      </c>
      <c r="D271" s="132" t="str">
        <f t="shared" si="18"/>
        <v>1/2" Hex Falcon 500 15</v>
      </c>
      <c r="E271" s="132">
        <v>1</v>
      </c>
      <c r="I271" s="132">
        <v>0</v>
      </c>
    </row>
    <row r="272" spans="1:9" ht="14.25" customHeight="1" x14ac:dyDescent="0.25">
      <c r="A272" s="132" t="s">
        <v>117</v>
      </c>
      <c r="B272" s="132" t="s">
        <v>333</v>
      </c>
      <c r="C272" s="132">
        <v>16</v>
      </c>
      <c r="D272" s="132" t="str">
        <f t="shared" si="18"/>
        <v>1/2" Hex Falcon 500 16</v>
      </c>
      <c r="E272" s="132">
        <v>1</v>
      </c>
      <c r="I272" s="132">
        <v>0</v>
      </c>
    </row>
    <row r="273" spans="1:9" ht="14.25" customHeight="1" x14ac:dyDescent="0.25">
      <c r="A273" s="132" t="s">
        <v>117</v>
      </c>
      <c r="B273" s="132" t="s">
        <v>333</v>
      </c>
      <c r="C273" s="132">
        <v>20</v>
      </c>
      <c r="D273" s="132" t="str">
        <f t="shared" si="18"/>
        <v>1/2" Hex Falcon 500 20</v>
      </c>
      <c r="E273" s="132">
        <v>1</v>
      </c>
      <c r="I273" s="132">
        <v>0</v>
      </c>
    </row>
    <row r="274" spans="1:9" ht="14.25" customHeight="1" x14ac:dyDescent="0.25">
      <c r="A274" s="132" t="s">
        <v>117</v>
      </c>
      <c r="B274" s="132" t="s">
        <v>333</v>
      </c>
      <c r="C274" s="132">
        <v>21</v>
      </c>
      <c r="D274" s="132" t="str">
        <f t="shared" si="18"/>
        <v>1/2" Hex Falcon 500 21</v>
      </c>
      <c r="E274" s="132">
        <v>1</v>
      </c>
      <c r="I274" s="132">
        <v>0</v>
      </c>
    </row>
    <row r="275" spans="1:9" ht="14.25" customHeight="1" x14ac:dyDescent="0.25">
      <c r="A275" s="132" t="s">
        <v>117</v>
      </c>
      <c r="B275" s="132" t="s">
        <v>333</v>
      </c>
      <c r="C275" s="132">
        <v>25</v>
      </c>
      <c r="D275" s="132" t="str">
        <f t="shared" si="18"/>
        <v>1/2" Hex Falcon 500 25</v>
      </c>
      <c r="E275" s="132">
        <v>1</v>
      </c>
      <c r="I275" s="132">
        <v>0</v>
      </c>
    </row>
    <row r="276" spans="1:9" ht="14.25" customHeight="1" x14ac:dyDescent="0.25">
      <c r="A276" s="132" t="s">
        <v>117</v>
      </c>
      <c r="B276" s="132" t="s">
        <v>333</v>
      </c>
      <c r="C276" s="132">
        <v>27</v>
      </c>
      <c r="D276" s="132" t="str">
        <f t="shared" si="18"/>
        <v>1/2" Hex Falcon 500 27</v>
      </c>
      <c r="E276" s="132">
        <v>1</v>
      </c>
      <c r="I276" s="132">
        <v>0</v>
      </c>
    </row>
    <row r="277" spans="1:9" ht="14.25" customHeight="1" x14ac:dyDescent="0.25">
      <c r="A277" s="132" t="s">
        <v>117</v>
      </c>
      <c r="B277" s="132" t="s">
        <v>333</v>
      </c>
      <c r="C277" s="132">
        <v>28</v>
      </c>
      <c r="D277" s="132" t="str">
        <f t="shared" si="18"/>
        <v>1/2" Hex Falcon 500 28</v>
      </c>
      <c r="E277" s="132">
        <v>1</v>
      </c>
      <c r="I277" s="132">
        <v>0</v>
      </c>
    </row>
    <row r="278" spans="1:9" ht="14.25" customHeight="1" x14ac:dyDescent="0.25">
      <c r="A278" s="132" t="s">
        <v>117</v>
      </c>
      <c r="B278" s="132" t="s">
        <v>333</v>
      </c>
      <c r="C278" s="132">
        <v>30</v>
      </c>
      <c r="D278" s="132" t="str">
        <f t="shared" si="18"/>
        <v>1/2" Hex Falcon 500 30</v>
      </c>
      <c r="E278" s="132">
        <v>1</v>
      </c>
      <c r="I278" s="132">
        <v>0</v>
      </c>
    </row>
    <row r="279" spans="1:9" ht="14.25" customHeight="1" x14ac:dyDescent="0.25">
      <c r="A279" s="132" t="s">
        <v>117</v>
      </c>
      <c r="B279" s="132" t="s">
        <v>333</v>
      </c>
      <c r="C279" s="132">
        <v>35</v>
      </c>
      <c r="D279" s="132" t="str">
        <f t="shared" si="18"/>
        <v>1/2" Hex Falcon 500 35</v>
      </c>
      <c r="E279" s="132">
        <v>0</v>
      </c>
      <c r="I279" s="132">
        <v>0</v>
      </c>
    </row>
    <row r="280" spans="1:9" ht="14.25" customHeight="1" x14ac:dyDescent="0.25">
      <c r="A280" s="132" t="s">
        <v>117</v>
      </c>
      <c r="B280" s="132" t="s">
        <v>333</v>
      </c>
      <c r="C280" s="132">
        <v>36</v>
      </c>
      <c r="D280" s="132" t="str">
        <f t="shared" si="18"/>
        <v>1/2" Hex Falcon 500 36</v>
      </c>
      <c r="E280" s="132">
        <v>0</v>
      </c>
      <c r="I280" s="132">
        <v>0</v>
      </c>
    </row>
    <row r="281" spans="1:9" ht="14.25" customHeight="1" x14ac:dyDescent="0.25">
      <c r="A281" s="132" t="s">
        <v>117</v>
      </c>
      <c r="B281" s="132" t="s">
        <v>333</v>
      </c>
      <c r="C281" s="132">
        <v>40</v>
      </c>
      <c r="D281" s="132" t="str">
        <f t="shared" si="18"/>
        <v>1/2" Hex Falcon 500 40</v>
      </c>
      <c r="E281" s="132">
        <v>0</v>
      </c>
      <c r="I281" s="132">
        <v>0</v>
      </c>
    </row>
    <row r="282" spans="1:9" ht="14.25" customHeight="1" x14ac:dyDescent="0.25">
      <c r="A282" s="132" t="s">
        <v>117</v>
      </c>
      <c r="B282" s="132" t="s">
        <v>333</v>
      </c>
      <c r="C282" s="132">
        <v>45</v>
      </c>
      <c r="D282" s="132" t="str">
        <f t="shared" si="18"/>
        <v>1/2" Hex Falcon 500 45</v>
      </c>
      <c r="E282" s="132">
        <v>0</v>
      </c>
      <c r="I282" s="132">
        <v>0</v>
      </c>
    </row>
    <row r="283" spans="1:9" ht="14.25" customHeight="1" x14ac:dyDescent="0.25">
      <c r="A283" s="132" t="s">
        <v>117</v>
      </c>
      <c r="B283" s="132" t="s">
        <v>333</v>
      </c>
      <c r="C283" s="132">
        <v>49</v>
      </c>
      <c r="D283" s="132" t="str">
        <f t="shared" si="18"/>
        <v>1/2" Hex Falcon 500 49</v>
      </c>
      <c r="E283" s="132">
        <v>0</v>
      </c>
      <c r="I283" s="132">
        <v>0</v>
      </c>
    </row>
    <row r="284" spans="1:9" ht="14.25" customHeight="1" x14ac:dyDescent="0.25">
      <c r="A284" s="132" t="s">
        <v>117</v>
      </c>
      <c r="B284" s="132" t="s">
        <v>333</v>
      </c>
      <c r="C284" s="132">
        <v>50</v>
      </c>
      <c r="D284" s="132" t="str">
        <f t="shared" si="18"/>
        <v>1/2" Hex Falcon 500 50</v>
      </c>
      <c r="E284" s="132">
        <v>0</v>
      </c>
      <c r="I284" s="132">
        <v>0</v>
      </c>
    </row>
    <row r="285" spans="1:9" ht="14.25" customHeight="1" x14ac:dyDescent="0.25">
      <c r="A285" s="132" t="s">
        <v>117</v>
      </c>
      <c r="B285" s="132" t="s">
        <v>333</v>
      </c>
      <c r="C285" s="132">
        <v>63</v>
      </c>
      <c r="D285" s="132" t="str">
        <f t="shared" si="18"/>
        <v>1/2" Hex Falcon 500 63</v>
      </c>
      <c r="E285" s="132">
        <v>0</v>
      </c>
      <c r="I285" s="132">
        <v>0</v>
      </c>
    </row>
    <row r="286" spans="1:9" ht="14.25" customHeight="1" x14ac:dyDescent="0.25">
      <c r="A286" s="132" t="s">
        <v>117</v>
      </c>
      <c r="B286" s="132" t="s">
        <v>333</v>
      </c>
      <c r="C286" s="132">
        <v>70</v>
      </c>
      <c r="D286" s="132" t="str">
        <f t="shared" si="18"/>
        <v>1/2" Hex Falcon 500 70</v>
      </c>
      <c r="E286" s="132">
        <v>0</v>
      </c>
      <c r="I286" s="132">
        <v>0</v>
      </c>
    </row>
    <row r="287" spans="1:9" ht="14.25" customHeight="1" x14ac:dyDescent="0.25">
      <c r="A287" s="132" t="s">
        <v>117</v>
      </c>
      <c r="B287" s="132" t="s">
        <v>333</v>
      </c>
      <c r="C287" s="132">
        <v>81</v>
      </c>
      <c r="D287" s="132" t="str">
        <f t="shared" si="18"/>
        <v>1/2" Hex Falcon 500 81</v>
      </c>
      <c r="E287" s="132">
        <v>0</v>
      </c>
      <c r="I287" s="132">
        <v>0</v>
      </c>
    </row>
    <row r="288" spans="1:9" ht="14.25" customHeight="1" x14ac:dyDescent="0.25">
      <c r="A288" s="132" t="s">
        <v>117</v>
      </c>
      <c r="B288" s="132" t="s">
        <v>333</v>
      </c>
      <c r="C288" s="132">
        <v>90</v>
      </c>
      <c r="D288" s="132" t="str">
        <f t="shared" si="18"/>
        <v>1/2" Hex Falcon 500 90</v>
      </c>
      <c r="E288" s="132">
        <v>0</v>
      </c>
      <c r="I288" s="132">
        <v>0</v>
      </c>
    </row>
    <row r="289" spans="1:9" ht="14.25" customHeight="1" x14ac:dyDescent="0.25">
      <c r="A289" s="132" t="s">
        <v>117</v>
      </c>
      <c r="B289" s="132" t="s">
        <v>333</v>
      </c>
      <c r="C289" s="132">
        <v>100</v>
      </c>
      <c r="D289" s="132" t="str">
        <f t="shared" si="18"/>
        <v>1/2" Hex Falcon 500 100</v>
      </c>
      <c r="E289" s="132">
        <v>0</v>
      </c>
      <c r="I289" s="132">
        <v>0</v>
      </c>
    </row>
    <row r="290" spans="1:9" ht="14.25" customHeight="1" x14ac:dyDescent="0.25">
      <c r="A290" s="132" t="s">
        <v>240</v>
      </c>
      <c r="B290" s="132" t="s">
        <v>11</v>
      </c>
      <c r="C290" s="132">
        <v>-3</v>
      </c>
      <c r="D290" s="132" t="str">
        <f t="shared" ref="D290:D295" si="19">A290&amp;" "&amp;B290&amp;" "&amp;C290</f>
        <v>1/2" Round AM 9015 -3</v>
      </c>
      <c r="E290" s="132">
        <v>1</v>
      </c>
      <c r="I290" s="132">
        <v>1</v>
      </c>
    </row>
    <row r="291" spans="1:9" ht="14.25" customHeight="1" x14ac:dyDescent="0.25">
      <c r="A291" s="132" t="s">
        <v>240</v>
      </c>
      <c r="B291" s="132" t="s">
        <v>11</v>
      </c>
      <c r="C291" s="132">
        <v>-4</v>
      </c>
      <c r="D291" s="132" t="str">
        <f t="shared" si="19"/>
        <v>1/2" Round AM 9015 -4</v>
      </c>
      <c r="E291" s="132">
        <v>1</v>
      </c>
      <c r="I291" s="132">
        <v>1</v>
      </c>
    </row>
    <row r="292" spans="1:9" ht="14.25" customHeight="1" x14ac:dyDescent="0.25">
      <c r="A292" s="132" t="s">
        <v>240</v>
      </c>
      <c r="B292" s="132" t="s">
        <v>11</v>
      </c>
      <c r="C292" s="132">
        <v>-5</v>
      </c>
      <c r="D292" s="132" t="str">
        <f t="shared" si="19"/>
        <v>1/2" Round AM 9015 -5</v>
      </c>
      <c r="E292" s="132">
        <v>1</v>
      </c>
      <c r="I292" s="132">
        <v>1</v>
      </c>
    </row>
    <row r="293" spans="1:9" ht="14.25" customHeight="1" x14ac:dyDescent="0.25">
      <c r="A293" s="132" t="s">
        <v>240</v>
      </c>
      <c r="B293" s="132" t="s">
        <v>11</v>
      </c>
      <c r="C293" s="132">
        <v>-7</v>
      </c>
      <c r="D293" s="132" t="str">
        <f t="shared" si="19"/>
        <v>1/2" Round AM 9015 -7</v>
      </c>
      <c r="E293" s="132">
        <v>1</v>
      </c>
      <c r="I293" s="132">
        <v>1</v>
      </c>
    </row>
    <row r="294" spans="1:9" ht="14.25" customHeight="1" x14ac:dyDescent="0.25">
      <c r="A294" s="132" t="s">
        <v>240</v>
      </c>
      <c r="B294" s="132" t="s">
        <v>11</v>
      </c>
      <c r="C294" s="132">
        <v>-9</v>
      </c>
      <c r="D294" s="132" t="str">
        <f t="shared" si="19"/>
        <v>1/2" Round AM 9015 -9</v>
      </c>
      <c r="E294" s="132">
        <v>1</v>
      </c>
      <c r="I294" s="132">
        <v>1</v>
      </c>
    </row>
    <row r="295" spans="1:9" ht="14.25" customHeight="1" x14ac:dyDescent="0.25">
      <c r="A295" s="132" t="s">
        <v>240</v>
      </c>
      <c r="B295" s="132" t="s">
        <v>11</v>
      </c>
      <c r="C295" s="132">
        <v>-10</v>
      </c>
      <c r="D295" s="132" t="str">
        <f t="shared" si="19"/>
        <v>1/2" Round AM 9015 -10</v>
      </c>
      <c r="E295" s="132">
        <v>1</v>
      </c>
      <c r="I295" s="132">
        <v>1</v>
      </c>
    </row>
    <row r="296" spans="1:9" ht="14.25" customHeight="1" x14ac:dyDescent="0.25">
      <c r="A296" s="132" t="s">
        <v>240</v>
      </c>
      <c r="B296" s="132" t="s">
        <v>11</v>
      </c>
      <c r="C296" s="132">
        <v>9</v>
      </c>
      <c r="D296" s="132" t="str">
        <f t="shared" ref="D296:D316" si="20">A296&amp;" "&amp;B296&amp;" "&amp;C296</f>
        <v>1/2" Round AM 9015 9</v>
      </c>
      <c r="E296" s="132">
        <v>10</v>
      </c>
      <c r="I296" s="132">
        <v>10</v>
      </c>
    </row>
    <row r="297" spans="1:9" ht="14.25" customHeight="1" x14ac:dyDescent="0.25">
      <c r="A297" s="132" t="s">
        <v>240</v>
      </c>
      <c r="B297" s="132" t="s">
        <v>11</v>
      </c>
      <c r="C297" s="132">
        <v>12</v>
      </c>
      <c r="D297" s="132" t="str">
        <f t="shared" si="20"/>
        <v>1/2" Round AM 9015 12</v>
      </c>
      <c r="E297" s="132">
        <v>10</v>
      </c>
      <c r="I297" s="132">
        <v>7</v>
      </c>
    </row>
    <row r="298" spans="1:9" ht="14.25" customHeight="1" x14ac:dyDescent="0.25">
      <c r="A298" s="132" t="s">
        <v>240</v>
      </c>
      <c r="B298" s="132" t="s">
        <v>11</v>
      </c>
      <c r="C298" s="132">
        <v>15</v>
      </c>
      <c r="D298" s="132" t="str">
        <f t="shared" si="20"/>
        <v>1/2" Round AM 9015 15</v>
      </c>
      <c r="E298" s="132">
        <v>10</v>
      </c>
      <c r="I298" s="132">
        <v>5</v>
      </c>
    </row>
    <row r="299" spans="1:9" ht="14.25" customHeight="1" x14ac:dyDescent="0.25">
      <c r="A299" s="132" t="s">
        <v>240</v>
      </c>
      <c r="B299" s="132" t="s">
        <v>11</v>
      </c>
      <c r="C299" s="132">
        <v>16</v>
      </c>
      <c r="D299" s="132" t="str">
        <f t="shared" si="20"/>
        <v>1/2" Round AM 9015 16</v>
      </c>
      <c r="E299" s="132">
        <v>10</v>
      </c>
      <c r="I299" s="132">
        <v>5</v>
      </c>
    </row>
    <row r="300" spans="1:9" ht="14.25" customHeight="1" x14ac:dyDescent="0.25">
      <c r="A300" s="132" t="s">
        <v>240</v>
      </c>
      <c r="B300" s="132" t="s">
        <v>11</v>
      </c>
      <c r="C300" s="132">
        <v>20</v>
      </c>
      <c r="D300" s="132" t="str">
        <f t="shared" si="20"/>
        <v>1/2" Round AM 9015 20</v>
      </c>
      <c r="E300" s="132">
        <v>10</v>
      </c>
      <c r="I300" s="132">
        <v>4</v>
      </c>
    </row>
    <row r="301" spans="1:9" ht="14.25" customHeight="1" x14ac:dyDescent="0.25">
      <c r="A301" s="132" t="s">
        <v>240</v>
      </c>
      <c r="B301" s="132" t="s">
        <v>11</v>
      </c>
      <c r="C301" s="132">
        <v>21</v>
      </c>
      <c r="D301" s="132" t="str">
        <f t="shared" si="20"/>
        <v>1/2" Round AM 9015 21</v>
      </c>
      <c r="E301" s="132">
        <v>10</v>
      </c>
      <c r="I301" s="132">
        <v>4</v>
      </c>
    </row>
    <row r="302" spans="1:9" ht="14.25" customHeight="1" x14ac:dyDescent="0.25">
      <c r="A302" s="132" t="s">
        <v>240</v>
      </c>
      <c r="B302" s="132" t="s">
        <v>11</v>
      </c>
      <c r="C302" s="132">
        <v>25</v>
      </c>
      <c r="D302" s="132" t="str">
        <f t="shared" si="20"/>
        <v>1/2" Round AM 9015 25</v>
      </c>
      <c r="E302" s="132">
        <v>7</v>
      </c>
      <c r="I302" s="132">
        <v>3</v>
      </c>
    </row>
    <row r="303" spans="1:9" ht="14.25" customHeight="1" x14ac:dyDescent="0.25">
      <c r="A303" s="132" t="s">
        <v>240</v>
      </c>
      <c r="B303" s="132" t="s">
        <v>11</v>
      </c>
      <c r="C303" s="132">
        <v>27</v>
      </c>
      <c r="D303" s="132" t="str">
        <f t="shared" si="20"/>
        <v>1/2" Round AM 9015 27</v>
      </c>
      <c r="E303" s="132">
        <v>7</v>
      </c>
      <c r="I303" s="132">
        <v>3</v>
      </c>
    </row>
    <row r="304" spans="1:9" ht="14.25" customHeight="1" x14ac:dyDescent="0.25">
      <c r="A304" s="132" t="s">
        <v>240</v>
      </c>
      <c r="B304" s="132" t="s">
        <v>11</v>
      </c>
      <c r="C304" s="132">
        <v>28</v>
      </c>
      <c r="D304" s="132" t="str">
        <f t="shared" si="20"/>
        <v>1/2" Round AM 9015 28</v>
      </c>
      <c r="E304" s="132">
        <v>7</v>
      </c>
      <c r="I304" s="132">
        <v>3</v>
      </c>
    </row>
    <row r="305" spans="1:9" ht="14.25" customHeight="1" x14ac:dyDescent="0.25">
      <c r="A305" s="132" t="s">
        <v>240</v>
      </c>
      <c r="B305" s="132" t="s">
        <v>11</v>
      </c>
      <c r="C305" s="132">
        <v>30</v>
      </c>
      <c r="D305" s="132" t="str">
        <f t="shared" si="20"/>
        <v>1/2" Round AM 9015 30</v>
      </c>
      <c r="E305" s="132">
        <v>7</v>
      </c>
      <c r="I305" s="132">
        <v>3</v>
      </c>
    </row>
    <row r="306" spans="1:9" ht="14.25" customHeight="1" x14ac:dyDescent="0.25">
      <c r="A306" s="132" t="s">
        <v>240</v>
      </c>
      <c r="B306" s="132" t="s">
        <v>11</v>
      </c>
      <c r="C306" s="132">
        <v>35</v>
      </c>
      <c r="D306" s="132" t="str">
        <f t="shared" si="20"/>
        <v>1/2" Round AM 9015 35</v>
      </c>
      <c r="E306" s="132">
        <v>5</v>
      </c>
      <c r="I306" s="132">
        <v>1</v>
      </c>
    </row>
    <row r="307" spans="1:9" ht="14.25" customHeight="1" x14ac:dyDescent="0.25">
      <c r="A307" s="132" t="s">
        <v>240</v>
      </c>
      <c r="B307" s="132" t="s">
        <v>11</v>
      </c>
      <c r="C307" s="132">
        <v>36</v>
      </c>
      <c r="D307" s="132" t="str">
        <f t="shared" si="20"/>
        <v>1/2" Round AM 9015 36</v>
      </c>
      <c r="E307" s="132">
        <v>5</v>
      </c>
      <c r="I307" s="132">
        <v>1</v>
      </c>
    </row>
    <row r="308" spans="1:9" ht="14.25" customHeight="1" x14ac:dyDescent="0.25">
      <c r="A308" s="132" t="s">
        <v>240</v>
      </c>
      <c r="B308" s="132" t="s">
        <v>11</v>
      </c>
      <c r="C308" s="132">
        <v>40</v>
      </c>
      <c r="D308" s="132" t="str">
        <f t="shared" si="20"/>
        <v>1/2" Round AM 9015 40</v>
      </c>
      <c r="E308" s="132">
        <v>5</v>
      </c>
      <c r="I308" s="132">
        <v>1</v>
      </c>
    </row>
    <row r="309" spans="1:9" ht="14.25" customHeight="1" x14ac:dyDescent="0.25">
      <c r="A309" s="132" t="s">
        <v>240</v>
      </c>
      <c r="B309" s="132" t="s">
        <v>11</v>
      </c>
      <c r="C309" s="132">
        <v>45</v>
      </c>
      <c r="D309" s="132" t="str">
        <f t="shared" si="20"/>
        <v>1/2" Round AM 9015 45</v>
      </c>
      <c r="E309" s="132">
        <v>5</v>
      </c>
      <c r="I309" s="132">
        <v>1</v>
      </c>
    </row>
    <row r="310" spans="1:9" ht="14.25" customHeight="1" x14ac:dyDescent="0.25">
      <c r="A310" s="132" t="s">
        <v>240</v>
      </c>
      <c r="B310" s="132" t="s">
        <v>11</v>
      </c>
      <c r="C310" s="132">
        <v>49</v>
      </c>
      <c r="D310" s="132" t="str">
        <f t="shared" si="20"/>
        <v>1/2" Round AM 9015 49</v>
      </c>
      <c r="E310" s="132">
        <v>5</v>
      </c>
      <c r="I310" s="132">
        <v>1</v>
      </c>
    </row>
    <row r="311" spans="1:9" ht="14.25" customHeight="1" x14ac:dyDescent="0.25">
      <c r="A311" s="132" t="s">
        <v>240</v>
      </c>
      <c r="B311" s="132" t="s">
        <v>11</v>
      </c>
      <c r="C311" s="132">
        <v>50</v>
      </c>
      <c r="D311" s="132" t="str">
        <f t="shared" si="20"/>
        <v>1/2" Round AM 9015 50</v>
      </c>
      <c r="E311" s="132">
        <v>5</v>
      </c>
      <c r="I311" s="132">
        <v>1</v>
      </c>
    </row>
    <row r="312" spans="1:9" ht="14.25" customHeight="1" x14ac:dyDescent="0.25">
      <c r="A312" s="132" t="s">
        <v>240</v>
      </c>
      <c r="B312" s="132" t="s">
        <v>11</v>
      </c>
      <c r="C312" s="132">
        <v>63</v>
      </c>
      <c r="D312" s="132" t="str">
        <f t="shared" si="20"/>
        <v>1/2" Round AM 9015 63</v>
      </c>
      <c r="E312" s="132">
        <v>4</v>
      </c>
      <c r="I312" s="132">
        <v>1</v>
      </c>
    </row>
    <row r="313" spans="1:9" ht="14.25" customHeight="1" x14ac:dyDescent="0.25">
      <c r="A313" s="132" t="s">
        <v>240</v>
      </c>
      <c r="B313" s="132" t="s">
        <v>11</v>
      </c>
      <c r="C313" s="132">
        <v>70</v>
      </c>
      <c r="D313" s="132" t="str">
        <f t="shared" si="20"/>
        <v>1/2" Round AM 9015 70</v>
      </c>
      <c r="E313" s="132">
        <v>4</v>
      </c>
      <c r="I313" s="132">
        <v>1</v>
      </c>
    </row>
    <row r="314" spans="1:9" ht="14.25" customHeight="1" x14ac:dyDescent="0.25">
      <c r="A314" s="132" t="s">
        <v>240</v>
      </c>
      <c r="B314" s="132" t="s">
        <v>11</v>
      </c>
      <c r="C314" s="132">
        <v>81</v>
      </c>
      <c r="D314" s="132" t="str">
        <f t="shared" si="20"/>
        <v>1/2" Round AM 9015 81</v>
      </c>
      <c r="E314" s="132">
        <v>3</v>
      </c>
      <c r="I314" s="132">
        <v>1</v>
      </c>
    </row>
    <row r="315" spans="1:9" ht="14.25" customHeight="1" x14ac:dyDescent="0.25">
      <c r="A315" s="132" t="s">
        <v>240</v>
      </c>
      <c r="B315" s="132" t="s">
        <v>11</v>
      </c>
      <c r="C315" s="132">
        <v>90</v>
      </c>
      <c r="D315" s="132" t="str">
        <f t="shared" si="20"/>
        <v>1/2" Round AM 9015 90</v>
      </c>
      <c r="E315" s="132">
        <v>3</v>
      </c>
      <c r="I315" s="132">
        <v>1</v>
      </c>
    </row>
    <row r="316" spans="1:9" ht="14.25" customHeight="1" x14ac:dyDescent="0.25">
      <c r="A316" s="132" t="s">
        <v>240</v>
      </c>
      <c r="B316" s="132" t="s">
        <v>11</v>
      </c>
      <c r="C316" s="132">
        <v>100</v>
      </c>
      <c r="D316" s="132" t="str">
        <f t="shared" si="20"/>
        <v>1/2" Round AM 9015 100</v>
      </c>
      <c r="E316" s="132">
        <v>1</v>
      </c>
      <c r="I316" s="132">
        <v>0</v>
      </c>
    </row>
    <row r="317" spans="1:9" ht="14.25" customHeight="1" x14ac:dyDescent="0.25">
      <c r="A317" s="132" t="s">
        <v>240</v>
      </c>
      <c r="B317" s="132" t="s">
        <v>326</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240</v>
      </c>
      <c r="B318" s="132" t="s">
        <v>326</v>
      </c>
      <c r="C318" s="132">
        <v>-4</v>
      </c>
      <c r="D318" s="132" t="str">
        <f t="shared" si="21"/>
        <v>1/2" Round BB RS-550 -4</v>
      </c>
      <c r="E318" s="132">
        <v>1</v>
      </c>
      <c r="F318" s="132">
        <v>1</v>
      </c>
      <c r="G318" s="132">
        <v>1</v>
      </c>
      <c r="H318" s="132">
        <v>0</v>
      </c>
      <c r="I318" s="132">
        <v>1</v>
      </c>
    </row>
    <row r="319" spans="1:9" ht="14.25" customHeight="1" x14ac:dyDescent="0.25">
      <c r="A319" s="132" t="s">
        <v>240</v>
      </c>
      <c r="B319" s="132" t="s">
        <v>326</v>
      </c>
      <c r="C319" s="132">
        <v>-5</v>
      </c>
      <c r="D319" s="132" t="str">
        <f t="shared" si="21"/>
        <v>1/2" Round BB RS-550 -5</v>
      </c>
      <c r="E319" s="132">
        <v>1</v>
      </c>
      <c r="F319" s="132">
        <v>1</v>
      </c>
      <c r="G319" s="132">
        <v>1</v>
      </c>
      <c r="H319" s="132">
        <v>0</v>
      </c>
      <c r="I319" s="132">
        <v>1</v>
      </c>
    </row>
    <row r="320" spans="1:9" ht="14.25" customHeight="1" x14ac:dyDescent="0.25">
      <c r="A320" s="132" t="s">
        <v>240</v>
      </c>
      <c r="B320" s="132" t="s">
        <v>326</v>
      </c>
      <c r="C320" s="132">
        <v>-7</v>
      </c>
      <c r="D320" s="132" t="str">
        <f t="shared" si="21"/>
        <v>1/2" Round BB RS-550 -7</v>
      </c>
      <c r="E320" s="132">
        <v>1</v>
      </c>
      <c r="F320" s="132">
        <v>1</v>
      </c>
      <c r="G320" s="132">
        <v>1</v>
      </c>
      <c r="H320" s="132">
        <v>0</v>
      </c>
      <c r="I320" s="132">
        <v>1</v>
      </c>
    </row>
    <row r="321" spans="1:9" ht="14.25" customHeight="1" x14ac:dyDescent="0.25">
      <c r="A321" s="132" t="s">
        <v>240</v>
      </c>
      <c r="B321" s="132" t="s">
        <v>326</v>
      </c>
      <c r="C321" s="132">
        <v>-9</v>
      </c>
      <c r="D321" s="132" t="str">
        <f t="shared" si="21"/>
        <v>1/2" Round BB RS-550 -9</v>
      </c>
      <c r="E321" s="132">
        <v>1</v>
      </c>
      <c r="F321" s="132">
        <v>1</v>
      </c>
      <c r="G321" s="132">
        <v>0</v>
      </c>
      <c r="H321" s="132">
        <v>0</v>
      </c>
      <c r="I321" s="132">
        <v>1</v>
      </c>
    </row>
    <row r="322" spans="1:9" ht="14.25" customHeight="1" x14ac:dyDescent="0.25">
      <c r="A322" s="132" t="s">
        <v>240</v>
      </c>
      <c r="B322" s="132" t="s">
        <v>326</v>
      </c>
      <c r="C322" s="132">
        <v>-10</v>
      </c>
      <c r="D322" s="132" t="str">
        <f t="shared" si="21"/>
        <v>1/2" Round BB RS-550 -10</v>
      </c>
      <c r="E322" s="132">
        <v>1</v>
      </c>
      <c r="F322" s="132">
        <v>1</v>
      </c>
      <c r="G322" s="132">
        <v>0</v>
      </c>
      <c r="H322" s="132">
        <v>0</v>
      </c>
      <c r="I322" s="132">
        <v>1</v>
      </c>
    </row>
    <row r="323" spans="1:9" ht="14.25" customHeight="1" x14ac:dyDescent="0.25">
      <c r="A323" s="132" t="s">
        <v>240</v>
      </c>
      <c r="B323" s="132" t="s">
        <v>326</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240</v>
      </c>
      <c r="B324" s="132" t="s">
        <v>326</v>
      </c>
      <c r="C324" s="132">
        <v>12</v>
      </c>
      <c r="D324" s="132" t="str">
        <f t="shared" si="22"/>
        <v>1/2" Round BB RS-550 12</v>
      </c>
      <c r="E324" s="132">
        <v>10</v>
      </c>
      <c r="F324" s="132">
        <v>7</v>
      </c>
      <c r="G324" s="132">
        <v>0</v>
      </c>
      <c r="H324" s="132">
        <v>0</v>
      </c>
      <c r="I324" s="132">
        <v>7</v>
      </c>
    </row>
    <row r="325" spans="1:9" ht="14.25" customHeight="1" x14ac:dyDescent="0.25">
      <c r="A325" s="132" t="s">
        <v>240</v>
      </c>
      <c r="B325" s="132" t="s">
        <v>326</v>
      </c>
      <c r="C325" s="132">
        <v>15</v>
      </c>
      <c r="D325" s="132" t="str">
        <f t="shared" si="22"/>
        <v>1/2" Round BB RS-550 15</v>
      </c>
      <c r="E325" s="132">
        <v>10</v>
      </c>
      <c r="F325" s="132">
        <v>5</v>
      </c>
      <c r="G325" s="132">
        <v>0</v>
      </c>
      <c r="H325" s="132">
        <v>0</v>
      </c>
      <c r="I325" s="132">
        <v>5</v>
      </c>
    </row>
    <row r="326" spans="1:9" ht="14.25" customHeight="1" x14ac:dyDescent="0.25">
      <c r="A326" s="132" t="s">
        <v>240</v>
      </c>
      <c r="B326" s="132" t="s">
        <v>326</v>
      </c>
      <c r="C326" s="132">
        <v>16</v>
      </c>
      <c r="D326" s="132" t="str">
        <f t="shared" si="22"/>
        <v>1/2" Round BB RS-550 16</v>
      </c>
      <c r="E326" s="132">
        <v>10</v>
      </c>
      <c r="F326" s="132">
        <v>5</v>
      </c>
      <c r="G326" s="132">
        <v>0</v>
      </c>
      <c r="H326" s="132">
        <v>0</v>
      </c>
      <c r="I326" s="132">
        <v>5</v>
      </c>
    </row>
    <row r="327" spans="1:9" ht="14.25" customHeight="1" x14ac:dyDescent="0.25">
      <c r="A327" s="132" t="s">
        <v>240</v>
      </c>
      <c r="B327" s="132" t="s">
        <v>326</v>
      </c>
      <c r="C327" s="132">
        <v>20</v>
      </c>
      <c r="D327" s="132" t="str">
        <f t="shared" si="22"/>
        <v>1/2" Round BB RS-550 20</v>
      </c>
      <c r="E327" s="132">
        <v>9</v>
      </c>
      <c r="F327" s="132">
        <v>5</v>
      </c>
      <c r="G327" s="132">
        <v>0</v>
      </c>
      <c r="H327" s="132">
        <v>0</v>
      </c>
      <c r="I327" s="132">
        <v>4</v>
      </c>
    </row>
    <row r="328" spans="1:9" ht="14.25" customHeight="1" x14ac:dyDescent="0.25">
      <c r="A328" s="132" t="s">
        <v>240</v>
      </c>
      <c r="B328" s="132" t="s">
        <v>326</v>
      </c>
      <c r="C328" s="132">
        <v>21</v>
      </c>
      <c r="D328" s="132" t="str">
        <f t="shared" si="22"/>
        <v>1/2" Round BB RS-550 21</v>
      </c>
      <c r="E328" s="132">
        <v>9</v>
      </c>
      <c r="F328" s="132">
        <v>5</v>
      </c>
      <c r="G328" s="132">
        <v>0</v>
      </c>
      <c r="H328" s="132">
        <v>0</v>
      </c>
      <c r="I328" s="132">
        <v>4</v>
      </c>
    </row>
    <row r="329" spans="1:9" ht="14.25" customHeight="1" x14ac:dyDescent="0.25">
      <c r="A329" s="132" t="s">
        <v>240</v>
      </c>
      <c r="B329" s="132" t="s">
        <v>326</v>
      </c>
      <c r="C329" s="132">
        <v>25</v>
      </c>
      <c r="D329" s="132" t="str">
        <f t="shared" si="22"/>
        <v>1/2" Round BB RS-550 25</v>
      </c>
      <c r="E329" s="132">
        <v>7</v>
      </c>
      <c r="F329" s="132">
        <v>5</v>
      </c>
      <c r="G329" s="132">
        <v>0</v>
      </c>
      <c r="H329" s="132">
        <v>0</v>
      </c>
      <c r="I329" s="132">
        <v>3</v>
      </c>
    </row>
    <row r="330" spans="1:9" ht="14.25" customHeight="1" x14ac:dyDescent="0.25">
      <c r="A330" s="132" t="s">
        <v>240</v>
      </c>
      <c r="B330" s="132" t="s">
        <v>326</v>
      </c>
      <c r="C330" s="132">
        <v>27</v>
      </c>
      <c r="D330" s="132" t="str">
        <f t="shared" si="22"/>
        <v>1/2" Round BB RS-550 27</v>
      </c>
      <c r="E330" s="132">
        <v>7</v>
      </c>
      <c r="F330" s="132">
        <v>4</v>
      </c>
      <c r="G330" s="132">
        <v>0</v>
      </c>
      <c r="H330" s="132">
        <v>0</v>
      </c>
      <c r="I330" s="132">
        <v>3</v>
      </c>
    </row>
    <row r="331" spans="1:9" ht="14.25" customHeight="1" x14ac:dyDescent="0.25">
      <c r="A331" s="132" t="s">
        <v>240</v>
      </c>
      <c r="B331" s="132" t="s">
        <v>326</v>
      </c>
      <c r="C331" s="132">
        <v>28</v>
      </c>
      <c r="D331" s="132" t="str">
        <f t="shared" si="22"/>
        <v>1/2" Round BB RS-550 28</v>
      </c>
      <c r="E331" s="132">
        <v>7</v>
      </c>
      <c r="F331" s="132">
        <v>4</v>
      </c>
      <c r="G331" s="132">
        <v>0</v>
      </c>
      <c r="H331" s="132">
        <v>0</v>
      </c>
      <c r="I331" s="132">
        <v>3</v>
      </c>
    </row>
    <row r="332" spans="1:9" ht="14.25" customHeight="1" x14ac:dyDescent="0.25">
      <c r="A332" s="132" t="s">
        <v>240</v>
      </c>
      <c r="B332" s="132" t="s">
        <v>326</v>
      </c>
      <c r="C332" s="132">
        <v>30</v>
      </c>
      <c r="D332" s="132" t="str">
        <f t="shared" si="22"/>
        <v>1/2" Round BB RS-550 30</v>
      </c>
      <c r="E332" s="132">
        <v>5</v>
      </c>
      <c r="F332" s="132">
        <v>4</v>
      </c>
      <c r="G332" s="132">
        <v>0</v>
      </c>
      <c r="H332" s="132">
        <v>0</v>
      </c>
      <c r="I332" s="132">
        <v>3</v>
      </c>
    </row>
    <row r="333" spans="1:9" ht="14.25" customHeight="1" x14ac:dyDescent="0.25">
      <c r="A333" s="132" t="s">
        <v>240</v>
      </c>
      <c r="B333" s="132" t="s">
        <v>326</v>
      </c>
      <c r="C333" s="132">
        <v>35</v>
      </c>
      <c r="D333" s="132" t="str">
        <f t="shared" si="22"/>
        <v>1/2" Round BB RS-550 35</v>
      </c>
      <c r="E333" s="132">
        <v>5</v>
      </c>
      <c r="F333" s="132">
        <v>3</v>
      </c>
      <c r="G333" s="132">
        <v>0</v>
      </c>
      <c r="H333" s="132">
        <v>0</v>
      </c>
      <c r="I333" s="132">
        <v>1</v>
      </c>
    </row>
    <row r="334" spans="1:9" ht="14.25" customHeight="1" x14ac:dyDescent="0.25">
      <c r="A334" s="132" t="s">
        <v>240</v>
      </c>
      <c r="B334" s="132" t="s">
        <v>326</v>
      </c>
      <c r="C334" s="132">
        <v>36</v>
      </c>
      <c r="D334" s="132" t="str">
        <f t="shared" si="22"/>
        <v>1/2" Round BB RS-550 36</v>
      </c>
      <c r="E334" s="132">
        <v>5</v>
      </c>
      <c r="F334" s="132">
        <v>3</v>
      </c>
      <c r="G334" s="132">
        <v>0</v>
      </c>
      <c r="H334" s="132">
        <v>0</v>
      </c>
      <c r="I334" s="132">
        <v>1</v>
      </c>
    </row>
    <row r="335" spans="1:9" ht="14.25" customHeight="1" x14ac:dyDescent="0.25">
      <c r="A335" s="132" t="s">
        <v>240</v>
      </c>
      <c r="B335" s="132" t="s">
        <v>326</v>
      </c>
      <c r="C335" s="132">
        <v>40</v>
      </c>
      <c r="D335" s="132" t="str">
        <f t="shared" si="22"/>
        <v>1/2" Round BB RS-550 40</v>
      </c>
      <c r="E335" s="132">
        <v>5</v>
      </c>
      <c r="F335" s="132">
        <v>3</v>
      </c>
      <c r="G335" s="132">
        <v>0</v>
      </c>
      <c r="H335" s="132">
        <v>0</v>
      </c>
      <c r="I335" s="132">
        <v>1</v>
      </c>
    </row>
    <row r="336" spans="1:9" ht="14.25" customHeight="1" x14ac:dyDescent="0.25">
      <c r="A336" s="132" t="s">
        <v>240</v>
      </c>
      <c r="B336" s="132" t="s">
        <v>326</v>
      </c>
      <c r="C336" s="132">
        <v>45</v>
      </c>
      <c r="D336" s="132" t="str">
        <f t="shared" si="22"/>
        <v>1/2" Round BB RS-550 45</v>
      </c>
      <c r="E336" s="132">
        <v>5</v>
      </c>
      <c r="F336" s="132">
        <v>1</v>
      </c>
      <c r="G336" s="132">
        <v>0</v>
      </c>
      <c r="H336" s="132">
        <v>0</v>
      </c>
      <c r="I336" s="132">
        <v>1</v>
      </c>
    </row>
    <row r="337" spans="1:9" ht="14.25" customHeight="1" x14ac:dyDescent="0.25">
      <c r="A337" s="132" t="s">
        <v>240</v>
      </c>
      <c r="B337" s="132" t="s">
        <v>326</v>
      </c>
      <c r="C337" s="132">
        <v>49</v>
      </c>
      <c r="D337" s="132" t="str">
        <f t="shared" si="22"/>
        <v>1/2" Round BB RS-550 49</v>
      </c>
      <c r="E337" s="132">
        <v>5</v>
      </c>
      <c r="F337" s="132">
        <v>1</v>
      </c>
      <c r="G337" s="132">
        <v>0</v>
      </c>
      <c r="H337" s="132">
        <v>0</v>
      </c>
      <c r="I337" s="132">
        <v>1</v>
      </c>
    </row>
    <row r="338" spans="1:9" ht="14.25" customHeight="1" x14ac:dyDescent="0.25">
      <c r="A338" s="132" t="s">
        <v>240</v>
      </c>
      <c r="B338" s="132" t="s">
        <v>326</v>
      </c>
      <c r="C338" s="132">
        <v>50</v>
      </c>
      <c r="D338" s="132" t="str">
        <f t="shared" si="22"/>
        <v>1/2" Round BB RS-550 50</v>
      </c>
      <c r="E338" s="132">
        <v>5</v>
      </c>
      <c r="F338" s="132">
        <v>1</v>
      </c>
      <c r="G338" s="132">
        <v>0</v>
      </c>
      <c r="H338" s="132">
        <v>0</v>
      </c>
      <c r="I338" s="132">
        <v>1</v>
      </c>
    </row>
    <row r="339" spans="1:9" ht="14.25" customHeight="1" x14ac:dyDescent="0.25">
      <c r="A339" s="132" t="s">
        <v>240</v>
      </c>
      <c r="B339" s="132" t="s">
        <v>326</v>
      </c>
      <c r="C339" s="132">
        <v>63</v>
      </c>
      <c r="D339" s="132" t="str">
        <f t="shared" si="22"/>
        <v>1/2" Round BB RS-550 63</v>
      </c>
      <c r="E339" s="132">
        <v>4</v>
      </c>
      <c r="F339" s="132">
        <v>1</v>
      </c>
      <c r="G339" s="132">
        <v>0</v>
      </c>
      <c r="H339" s="132">
        <v>0</v>
      </c>
      <c r="I339" s="132">
        <v>1</v>
      </c>
    </row>
    <row r="340" spans="1:9" ht="14.25" customHeight="1" x14ac:dyDescent="0.25">
      <c r="A340" s="132" t="s">
        <v>240</v>
      </c>
      <c r="B340" s="132" t="s">
        <v>326</v>
      </c>
      <c r="C340" s="132">
        <v>70</v>
      </c>
      <c r="D340" s="132" t="str">
        <f t="shared" si="22"/>
        <v>1/2" Round BB RS-550 70</v>
      </c>
      <c r="E340" s="132">
        <v>3</v>
      </c>
      <c r="F340" s="132">
        <v>1</v>
      </c>
      <c r="G340" s="132">
        <v>0</v>
      </c>
      <c r="H340" s="132">
        <v>0</v>
      </c>
      <c r="I340" s="132">
        <v>1</v>
      </c>
    </row>
    <row r="341" spans="1:9" ht="14.25" customHeight="1" x14ac:dyDescent="0.25">
      <c r="A341" s="132" t="s">
        <v>240</v>
      </c>
      <c r="B341" s="132" t="s">
        <v>326</v>
      </c>
      <c r="C341" s="132">
        <v>81</v>
      </c>
      <c r="D341" s="132" t="str">
        <f t="shared" si="22"/>
        <v>1/2" Round BB RS-550 81</v>
      </c>
      <c r="E341" s="132">
        <v>3</v>
      </c>
      <c r="F341" s="132">
        <v>1</v>
      </c>
      <c r="G341" s="132">
        <v>0</v>
      </c>
      <c r="H341" s="132">
        <v>0</v>
      </c>
      <c r="I341" s="132">
        <v>1</v>
      </c>
    </row>
    <row r="342" spans="1:9" ht="14.25" customHeight="1" x14ac:dyDescent="0.25">
      <c r="A342" s="132" t="s">
        <v>240</v>
      </c>
      <c r="B342" s="132" t="s">
        <v>326</v>
      </c>
      <c r="C342" s="132">
        <v>90</v>
      </c>
      <c r="D342" s="132" t="str">
        <f t="shared" si="22"/>
        <v>1/2" Round BB RS-550 90</v>
      </c>
      <c r="E342" s="132">
        <v>1</v>
      </c>
      <c r="F342" s="132">
        <v>1</v>
      </c>
      <c r="G342" s="132">
        <v>0</v>
      </c>
      <c r="H342" s="132">
        <v>0</v>
      </c>
      <c r="I342" s="132">
        <v>1</v>
      </c>
    </row>
    <row r="343" spans="1:9" ht="14.25" customHeight="1" x14ac:dyDescent="0.25">
      <c r="A343" s="132" t="s">
        <v>240</v>
      </c>
      <c r="B343" s="132" t="s">
        <v>326</v>
      </c>
      <c r="C343" s="132">
        <v>100</v>
      </c>
      <c r="D343" s="132" t="str">
        <f t="shared" si="22"/>
        <v>1/2" Round BB RS-550 100</v>
      </c>
      <c r="E343" s="132">
        <v>1</v>
      </c>
      <c r="F343" s="132">
        <v>0</v>
      </c>
      <c r="G343" s="132">
        <v>0</v>
      </c>
      <c r="H343" s="132">
        <v>0</v>
      </c>
      <c r="I343" s="132">
        <v>0</v>
      </c>
    </row>
    <row r="344" spans="1:9" ht="14.25" customHeight="1" x14ac:dyDescent="0.25">
      <c r="A344" s="132" t="s">
        <v>240</v>
      </c>
      <c r="B344" s="132" t="s">
        <v>327</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240</v>
      </c>
      <c r="B345" s="132" t="s">
        <v>327</v>
      </c>
      <c r="C345" s="132">
        <v>-4</v>
      </c>
      <c r="D345" s="132" t="str">
        <f t="shared" si="23"/>
        <v>1/2" Round BB RS-775 -4</v>
      </c>
      <c r="E345" s="132">
        <v>1</v>
      </c>
      <c r="F345" s="132">
        <v>1</v>
      </c>
      <c r="G345" s="132">
        <v>1</v>
      </c>
      <c r="H345" s="132">
        <v>0</v>
      </c>
      <c r="I345" s="132">
        <v>1</v>
      </c>
    </row>
    <row r="346" spans="1:9" ht="14.25" customHeight="1" x14ac:dyDescent="0.25">
      <c r="A346" s="132" t="s">
        <v>240</v>
      </c>
      <c r="B346" s="132" t="s">
        <v>327</v>
      </c>
      <c r="C346" s="132">
        <v>-5</v>
      </c>
      <c r="D346" s="132" t="str">
        <f t="shared" si="23"/>
        <v>1/2" Round BB RS-775 -5</v>
      </c>
      <c r="E346" s="132">
        <v>1</v>
      </c>
      <c r="F346" s="132">
        <v>1</v>
      </c>
      <c r="G346" s="132">
        <v>1</v>
      </c>
      <c r="H346" s="132">
        <v>0</v>
      </c>
      <c r="I346" s="132">
        <v>1</v>
      </c>
    </row>
    <row r="347" spans="1:9" ht="14.25" customHeight="1" x14ac:dyDescent="0.25">
      <c r="A347" s="132" t="s">
        <v>240</v>
      </c>
      <c r="B347" s="132" t="s">
        <v>327</v>
      </c>
      <c r="C347" s="132">
        <v>-7</v>
      </c>
      <c r="D347" s="132" t="str">
        <f t="shared" si="23"/>
        <v>1/2" Round BB RS-775 -7</v>
      </c>
      <c r="E347" s="132">
        <v>1</v>
      </c>
      <c r="F347" s="132">
        <v>1</v>
      </c>
      <c r="G347" s="132">
        <v>0</v>
      </c>
      <c r="H347" s="132">
        <v>0</v>
      </c>
      <c r="I347" s="132">
        <v>1</v>
      </c>
    </row>
    <row r="348" spans="1:9" ht="14.25" customHeight="1" x14ac:dyDescent="0.25">
      <c r="A348" s="132" t="s">
        <v>240</v>
      </c>
      <c r="B348" s="132" t="s">
        <v>327</v>
      </c>
      <c r="C348" s="132">
        <v>-9</v>
      </c>
      <c r="D348" s="132" t="str">
        <f t="shared" si="23"/>
        <v>1/2" Round BB RS-775 -9</v>
      </c>
      <c r="E348" s="132">
        <v>1</v>
      </c>
      <c r="F348" s="132">
        <v>1</v>
      </c>
      <c r="G348" s="132">
        <v>0</v>
      </c>
      <c r="H348" s="132">
        <v>0</v>
      </c>
      <c r="I348" s="132">
        <v>1</v>
      </c>
    </row>
    <row r="349" spans="1:9" ht="14.25" customHeight="1" x14ac:dyDescent="0.25">
      <c r="A349" s="132" t="s">
        <v>240</v>
      </c>
      <c r="B349" s="132" t="s">
        <v>327</v>
      </c>
      <c r="C349" s="132">
        <v>-10</v>
      </c>
      <c r="D349" s="132" t="str">
        <f t="shared" si="23"/>
        <v>1/2" Round BB RS-775 -10</v>
      </c>
      <c r="E349" s="132">
        <v>1</v>
      </c>
      <c r="F349" s="132">
        <v>1</v>
      </c>
      <c r="G349" s="132">
        <v>0</v>
      </c>
      <c r="H349" s="132">
        <v>0</v>
      </c>
      <c r="I349" s="132">
        <v>1</v>
      </c>
    </row>
    <row r="350" spans="1:9" ht="14.25" customHeight="1" x14ac:dyDescent="0.25">
      <c r="A350" s="132" t="s">
        <v>240</v>
      </c>
      <c r="B350" s="132" t="s">
        <v>327</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240</v>
      </c>
      <c r="B351" s="132" t="s">
        <v>327</v>
      </c>
      <c r="C351" s="132">
        <v>12</v>
      </c>
      <c r="D351" s="132" t="str">
        <f t="shared" si="24"/>
        <v>1/2" Round BB RS-775 12</v>
      </c>
      <c r="E351" s="132">
        <v>10</v>
      </c>
      <c r="F351" s="132">
        <v>5</v>
      </c>
      <c r="G351" s="132">
        <v>0</v>
      </c>
      <c r="H351" s="132">
        <v>0</v>
      </c>
      <c r="I351" s="132">
        <v>10</v>
      </c>
    </row>
    <row r="352" spans="1:9" ht="14.25" customHeight="1" x14ac:dyDescent="0.25">
      <c r="A352" s="132" t="s">
        <v>240</v>
      </c>
      <c r="B352" s="132" t="s">
        <v>327</v>
      </c>
      <c r="C352" s="132">
        <v>15</v>
      </c>
      <c r="D352" s="132" t="str">
        <f t="shared" si="24"/>
        <v>1/2" Round BB RS-775 15</v>
      </c>
      <c r="E352" s="132">
        <v>7</v>
      </c>
      <c r="F352" s="132">
        <v>5</v>
      </c>
      <c r="G352" s="132">
        <v>0</v>
      </c>
      <c r="H352" s="132">
        <v>0</v>
      </c>
      <c r="I352" s="132">
        <v>7</v>
      </c>
    </row>
    <row r="353" spans="1:9" ht="14.25" customHeight="1" x14ac:dyDescent="0.25">
      <c r="A353" s="132" t="s">
        <v>240</v>
      </c>
      <c r="B353" s="132" t="s">
        <v>327</v>
      </c>
      <c r="C353" s="132">
        <v>16</v>
      </c>
      <c r="D353" s="132" t="str">
        <f t="shared" si="24"/>
        <v>1/2" Round BB RS-775 16</v>
      </c>
      <c r="E353" s="132">
        <v>7</v>
      </c>
      <c r="F353" s="132">
        <v>5</v>
      </c>
      <c r="G353" s="132">
        <v>0</v>
      </c>
      <c r="H353" s="132">
        <v>0</v>
      </c>
      <c r="I353" s="132">
        <v>7</v>
      </c>
    </row>
    <row r="354" spans="1:9" ht="14.25" customHeight="1" x14ac:dyDescent="0.25">
      <c r="A354" s="132" t="s">
        <v>240</v>
      </c>
      <c r="B354" s="132" t="s">
        <v>327</v>
      </c>
      <c r="C354" s="132">
        <v>20</v>
      </c>
      <c r="D354" s="132" t="str">
        <f t="shared" si="24"/>
        <v>1/2" Round BB RS-775 20</v>
      </c>
      <c r="E354" s="132">
        <v>5</v>
      </c>
      <c r="F354" s="132">
        <v>4</v>
      </c>
      <c r="G354" s="132">
        <v>0</v>
      </c>
      <c r="H354" s="132">
        <v>0</v>
      </c>
      <c r="I354" s="132">
        <v>5</v>
      </c>
    </row>
    <row r="355" spans="1:9" ht="14.25" customHeight="1" x14ac:dyDescent="0.25">
      <c r="A355" s="132" t="s">
        <v>240</v>
      </c>
      <c r="B355" s="132" t="s">
        <v>327</v>
      </c>
      <c r="C355" s="132">
        <v>21</v>
      </c>
      <c r="D355" s="132" t="str">
        <f t="shared" si="24"/>
        <v>1/2" Round BB RS-775 21</v>
      </c>
      <c r="E355" s="132">
        <v>5</v>
      </c>
      <c r="F355" s="132">
        <v>3</v>
      </c>
      <c r="G355" s="132">
        <v>0</v>
      </c>
      <c r="H355" s="132">
        <v>0</v>
      </c>
      <c r="I355" s="132">
        <v>5</v>
      </c>
    </row>
    <row r="356" spans="1:9" ht="14.25" customHeight="1" x14ac:dyDescent="0.25">
      <c r="A356" s="132" t="s">
        <v>240</v>
      </c>
      <c r="B356" s="132" t="s">
        <v>327</v>
      </c>
      <c r="C356" s="132">
        <v>25</v>
      </c>
      <c r="D356" s="132" t="str">
        <f t="shared" si="24"/>
        <v>1/2" Round BB RS-775 25</v>
      </c>
      <c r="E356" s="132">
        <v>5</v>
      </c>
      <c r="F356" s="132">
        <v>3</v>
      </c>
      <c r="G356" s="132">
        <v>0</v>
      </c>
      <c r="H356" s="132">
        <v>0</v>
      </c>
      <c r="I356" s="132">
        <v>5</v>
      </c>
    </row>
    <row r="357" spans="1:9" ht="14.25" customHeight="1" x14ac:dyDescent="0.25">
      <c r="A357" s="132" t="s">
        <v>240</v>
      </c>
      <c r="B357" s="132" t="s">
        <v>327</v>
      </c>
      <c r="C357" s="132">
        <v>27</v>
      </c>
      <c r="D357" s="132" t="str">
        <f t="shared" si="24"/>
        <v>1/2" Round BB RS-775 27</v>
      </c>
      <c r="E357" s="132">
        <v>5</v>
      </c>
      <c r="F357" s="132">
        <v>3</v>
      </c>
      <c r="G357" s="132">
        <v>0</v>
      </c>
      <c r="H357" s="132">
        <v>0</v>
      </c>
      <c r="I357" s="132">
        <v>4</v>
      </c>
    </row>
    <row r="358" spans="1:9" ht="14.25" customHeight="1" x14ac:dyDescent="0.25">
      <c r="A358" s="132" t="s">
        <v>240</v>
      </c>
      <c r="B358" s="132" t="s">
        <v>327</v>
      </c>
      <c r="C358" s="132">
        <v>28</v>
      </c>
      <c r="D358" s="132" t="str">
        <f t="shared" si="24"/>
        <v>1/2" Round BB RS-775 28</v>
      </c>
      <c r="E358" s="132">
        <v>5</v>
      </c>
      <c r="F358" s="132">
        <v>1</v>
      </c>
      <c r="G358" s="132">
        <v>0</v>
      </c>
      <c r="H358" s="132">
        <v>0</v>
      </c>
      <c r="I358" s="132">
        <v>4</v>
      </c>
    </row>
    <row r="359" spans="1:9" ht="14.25" customHeight="1" x14ac:dyDescent="0.25">
      <c r="A359" s="132" t="s">
        <v>240</v>
      </c>
      <c r="B359" s="132" t="s">
        <v>327</v>
      </c>
      <c r="C359" s="132">
        <v>30</v>
      </c>
      <c r="D359" s="132" t="str">
        <f t="shared" si="24"/>
        <v>1/2" Round BB RS-775 30</v>
      </c>
      <c r="E359" s="132">
        <v>5</v>
      </c>
      <c r="F359" s="132">
        <v>1</v>
      </c>
      <c r="G359" s="132">
        <v>0</v>
      </c>
      <c r="H359" s="132">
        <v>0</v>
      </c>
      <c r="I359" s="132">
        <v>4</v>
      </c>
    </row>
    <row r="360" spans="1:9" ht="14.25" customHeight="1" x14ac:dyDescent="0.25">
      <c r="A360" s="132" t="s">
        <v>240</v>
      </c>
      <c r="B360" s="132" t="s">
        <v>327</v>
      </c>
      <c r="C360" s="132">
        <v>35</v>
      </c>
      <c r="D360" s="132" t="str">
        <f t="shared" si="24"/>
        <v>1/2" Round BB RS-775 35</v>
      </c>
      <c r="E360" s="132">
        <v>4</v>
      </c>
      <c r="F360" s="132">
        <v>1</v>
      </c>
      <c r="G360" s="132">
        <v>0</v>
      </c>
      <c r="H360" s="132">
        <v>0</v>
      </c>
      <c r="I360" s="132">
        <v>3</v>
      </c>
    </row>
    <row r="361" spans="1:9" ht="14.25" customHeight="1" x14ac:dyDescent="0.25">
      <c r="A361" s="132" t="s">
        <v>240</v>
      </c>
      <c r="B361" s="132" t="s">
        <v>327</v>
      </c>
      <c r="C361" s="132">
        <v>36</v>
      </c>
      <c r="D361" s="132" t="str">
        <f t="shared" si="24"/>
        <v>1/2" Round BB RS-775 36</v>
      </c>
      <c r="E361" s="132">
        <v>4</v>
      </c>
      <c r="F361" s="132">
        <v>1</v>
      </c>
      <c r="G361" s="132">
        <v>0</v>
      </c>
      <c r="H361" s="132">
        <v>0</v>
      </c>
      <c r="I361" s="132">
        <v>3</v>
      </c>
    </row>
    <row r="362" spans="1:9" ht="14.25" customHeight="1" x14ac:dyDescent="0.25">
      <c r="A362" s="132" t="s">
        <v>240</v>
      </c>
      <c r="B362" s="132" t="s">
        <v>327</v>
      </c>
      <c r="C362" s="132">
        <v>40</v>
      </c>
      <c r="D362" s="132" t="str">
        <f t="shared" si="24"/>
        <v>1/2" Round BB RS-775 40</v>
      </c>
      <c r="E362" s="132">
        <v>4</v>
      </c>
      <c r="F362" s="132">
        <v>1</v>
      </c>
      <c r="G362" s="132">
        <v>0</v>
      </c>
      <c r="H362" s="132">
        <v>0</v>
      </c>
      <c r="I362" s="132">
        <v>3</v>
      </c>
    </row>
    <row r="363" spans="1:9" ht="14.25" customHeight="1" x14ac:dyDescent="0.25">
      <c r="A363" s="132" t="s">
        <v>240</v>
      </c>
      <c r="B363" s="132" t="s">
        <v>327</v>
      </c>
      <c r="C363" s="132">
        <v>45</v>
      </c>
      <c r="D363" s="132" t="str">
        <f t="shared" si="24"/>
        <v>1/2" Round BB RS-775 45</v>
      </c>
      <c r="E363" s="132">
        <v>3</v>
      </c>
      <c r="F363" s="132">
        <v>1</v>
      </c>
      <c r="G363" s="132">
        <v>0</v>
      </c>
      <c r="H363" s="132">
        <v>0</v>
      </c>
      <c r="I363" s="132">
        <v>1</v>
      </c>
    </row>
    <row r="364" spans="1:9" ht="14.25" customHeight="1" x14ac:dyDescent="0.25">
      <c r="A364" s="132" t="s">
        <v>240</v>
      </c>
      <c r="B364" s="132" t="s">
        <v>327</v>
      </c>
      <c r="C364" s="132">
        <v>49</v>
      </c>
      <c r="D364" s="132" t="str">
        <f t="shared" si="24"/>
        <v>1/2" Round BB RS-775 49</v>
      </c>
      <c r="E364" s="132">
        <v>3</v>
      </c>
      <c r="F364" s="132">
        <v>1</v>
      </c>
      <c r="G364" s="132">
        <v>0</v>
      </c>
      <c r="H364" s="132">
        <v>0</v>
      </c>
      <c r="I364" s="132">
        <v>1</v>
      </c>
    </row>
    <row r="365" spans="1:9" ht="14.25" customHeight="1" x14ac:dyDescent="0.25">
      <c r="A365" s="132" t="s">
        <v>240</v>
      </c>
      <c r="B365" s="132" t="s">
        <v>327</v>
      </c>
      <c r="C365" s="132">
        <v>50</v>
      </c>
      <c r="D365" s="132" t="str">
        <f t="shared" si="24"/>
        <v>1/2" Round BB RS-775 50</v>
      </c>
      <c r="E365" s="132">
        <v>3</v>
      </c>
      <c r="F365" s="132">
        <v>1</v>
      </c>
      <c r="G365" s="132">
        <v>0</v>
      </c>
      <c r="H365" s="132">
        <v>0</v>
      </c>
      <c r="I365" s="132">
        <v>1</v>
      </c>
    </row>
    <row r="366" spans="1:9" ht="14.25" customHeight="1" x14ac:dyDescent="0.25">
      <c r="A366" s="132" t="s">
        <v>240</v>
      </c>
      <c r="B366" s="132" t="s">
        <v>327</v>
      </c>
      <c r="C366" s="132">
        <v>63</v>
      </c>
      <c r="D366" s="132" t="str">
        <f t="shared" si="24"/>
        <v>1/2" Round BB RS-775 63</v>
      </c>
      <c r="E366" s="132">
        <v>1</v>
      </c>
      <c r="F366" s="132">
        <v>0</v>
      </c>
      <c r="G366" s="132">
        <v>0</v>
      </c>
      <c r="H366" s="132">
        <v>0</v>
      </c>
      <c r="I366" s="132">
        <v>1</v>
      </c>
    </row>
    <row r="367" spans="1:9" ht="14.25" customHeight="1" x14ac:dyDescent="0.25">
      <c r="A367" s="132" t="s">
        <v>240</v>
      </c>
      <c r="B367" s="132" t="s">
        <v>327</v>
      </c>
      <c r="C367" s="132">
        <v>70</v>
      </c>
      <c r="D367" s="132" t="str">
        <f t="shared" si="24"/>
        <v>1/2" Round BB RS-775 70</v>
      </c>
      <c r="E367" s="132">
        <v>1</v>
      </c>
      <c r="F367" s="132">
        <v>0</v>
      </c>
      <c r="G367" s="132">
        <v>0</v>
      </c>
      <c r="H367" s="132">
        <v>0</v>
      </c>
      <c r="I367" s="132">
        <v>1</v>
      </c>
    </row>
    <row r="368" spans="1:9" ht="14.25" customHeight="1" x14ac:dyDescent="0.25">
      <c r="A368" s="132" t="s">
        <v>240</v>
      </c>
      <c r="B368" s="132" t="s">
        <v>327</v>
      </c>
      <c r="C368" s="132">
        <v>81</v>
      </c>
      <c r="D368" s="132" t="str">
        <f t="shared" si="24"/>
        <v>1/2" Round BB RS-775 81</v>
      </c>
      <c r="E368" s="132">
        <v>1</v>
      </c>
      <c r="F368" s="132">
        <v>0</v>
      </c>
      <c r="G368" s="132">
        <v>0</v>
      </c>
      <c r="H368" s="132">
        <v>0</v>
      </c>
      <c r="I368" s="132">
        <v>1</v>
      </c>
    </row>
    <row r="369" spans="1:9" ht="14.25" customHeight="1" x14ac:dyDescent="0.25">
      <c r="A369" s="132" t="s">
        <v>240</v>
      </c>
      <c r="B369" s="132" t="s">
        <v>327</v>
      </c>
      <c r="C369" s="132">
        <v>90</v>
      </c>
      <c r="D369" s="132" t="str">
        <f t="shared" si="24"/>
        <v>1/2" Round BB RS-775 90</v>
      </c>
      <c r="E369" s="132">
        <v>1</v>
      </c>
      <c r="F369" s="132">
        <v>0</v>
      </c>
      <c r="G369" s="132">
        <v>0</v>
      </c>
      <c r="H369" s="132">
        <v>0</v>
      </c>
      <c r="I369" s="132">
        <v>1</v>
      </c>
    </row>
    <row r="370" spans="1:9" ht="14.25" customHeight="1" x14ac:dyDescent="0.25">
      <c r="A370" s="132" t="s">
        <v>240</v>
      </c>
      <c r="B370" s="132" t="s">
        <v>327</v>
      </c>
      <c r="C370" s="132">
        <v>100</v>
      </c>
      <c r="D370" s="132" t="str">
        <f t="shared" si="24"/>
        <v>1/2" Round BB RS-775 100</v>
      </c>
      <c r="E370" s="132">
        <v>1</v>
      </c>
      <c r="F370" s="132">
        <v>0</v>
      </c>
      <c r="G370" s="132">
        <v>0</v>
      </c>
      <c r="H370" s="132">
        <v>0</v>
      </c>
      <c r="I370" s="132">
        <v>1</v>
      </c>
    </row>
    <row r="371" spans="1:9" ht="14.25" customHeight="1" x14ac:dyDescent="0.25">
      <c r="A371" s="132" t="s">
        <v>240</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240</v>
      </c>
      <c r="B372" s="132" t="s">
        <v>8</v>
      </c>
      <c r="C372" s="132">
        <v>-4</v>
      </c>
      <c r="D372" s="132" t="str">
        <f t="shared" si="25"/>
        <v>1/2" Round BAG Motor -4</v>
      </c>
      <c r="E372" s="132">
        <v>1</v>
      </c>
      <c r="F372" s="132">
        <v>1</v>
      </c>
      <c r="G372" s="132">
        <v>1</v>
      </c>
      <c r="H372" s="132">
        <v>0</v>
      </c>
      <c r="I372" s="132">
        <v>1</v>
      </c>
    </row>
    <row r="373" spans="1:9" ht="14.25" customHeight="1" x14ac:dyDescent="0.25">
      <c r="A373" s="132" t="s">
        <v>240</v>
      </c>
      <c r="B373" s="132" t="s">
        <v>8</v>
      </c>
      <c r="C373" s="132">
        <v>-5</v>
      </c>
      <c r="D373" s="132" t="str">
        <f t="shared" si="25"/>
        <v>1/2" Round BAG Motor -5</v>
      </c>
      <c r="E373" s="132">
        <v>1</v>
      </c>
      <c r="F373" s="132">
        <v>1</v>
      </c>
      <c r="G373" s="132">
        <v>1</v>
      </c>
      <c r="H373" s="132">
        <v>0</v>
      </c>
      <c r="I373" s="132">
        <v>1</v>
      </c>
    </row>
    <row r="374" spans="1:9" ht="14.25" customHeight="1" x14ac:dyDescent="0.25">
      <c r="A374" s="132" t="s">
        <v>240</v>
      </c>
      <c r="B374" s="132" t="s">
        <v>8</v>
      </c>
      <c r="C374" s="132">
        <v>-7</v>
      </c>
      <c r="D374" s="132" t="str">
        <f t="shared" si="25"/>
        <v>1/2" Round BAG Motor -7</v>
      </c>
      <c r="E374" s="132">
        <v>1</v>
      </c>
      <c r="F374" s="132">
        <v>1</v>
      </c>
      <c r="G374" s="132">
        <v>1</v>
      </c>
      <c r="H374" s="132">
        <v>0</v>
      </c>
      <c r="I374" s="132">
        <v>1</v>
      </c>
    </row>
    <row r="375" spans="1:9" ht="14.25" customHeight="1" x14ac:dyDescent="0.25">
      <c r="A375" s="132" t="s">
        <v>240</v>
      </c>
      <c r="B375" s="132" t="s">
        <v>8</v>
      </c>
      <c r="C375" s="132">
        <v>-9</v>
      </c>
      <c r="D375" s="132" t="str">
        <f t="shared" si="25"/>
        <v>1/2" Round BAG Motor -9</v>
      </c>
      <c r="E375" s="132">
        <v>1</v>
      </c>
      <c r="F375" s="132">
        <v>1</v>
      </c>
      <c r="G375" s="132">
        <v>0</v>
      </c>
      <c r="H375" s="132">
        <v>0</v>
      </c>
      <c r="I375" s="132">
        <v>1</v>
      </c>
    </row>
    <row r="376" spans="1:9" ht="14.25" customHeight="1" x14ac:dyDescent="0.25">
      <c r="A376" s="132" t="s">
        <v>240</v>
      </c>
      <c r="B376" s="132" t="s">
        <v>8</v>
      </c>
      <c r="C376" s="132">
        <v>-10</v>
      </c>
      <c r="D376" s="132" t="str">
        <f t="shared" si="25"/>
        <v>1/2" Round BAG Motor -10</v>
      </c>
      <c r="E376" s="132">
        <v>1</v>
      </c>
      <c r="F376" s="132">
        <v>1</v>
      </c>
      <c r="G376" s="132">
        <v>0</v>
      </c>
      <c r="H376" s="132">
        <v>0</v>
      </c>
      <c r="I376" s="132">
        <v>1</v>
      </c>
    </row>
    <row r="377" spans="1:9" ht="14.25" customHeight="1" x14ac:dyDescent="0.25">
      <c r="A377" s="132" t="s">
        <v>240</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240</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240</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240</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240</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240</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240</v>
      </c>
      <c r="B383" s="132" t="s">
        <v>8</v>
      </c>
      <c r="C383" s="132">
        <v>25</v>
      </c>
      <c r="D383" s="132" t="str">
        <f t="shared" si="26"/>
        <v>1/2" Round BAG Motor 25</v>
      </c>
      <c r="E383" s="132">
        <v>7</v>
      </c>
      <c r="F383" s="132">
        <v>5</v>
      </c>
      <c r="G383" s="132">
        <v>0</v>
      </c>
      <c r="H383" s="132">
        <v>0</v>
      </c>
      <c r="I383" s="132">
        <v>3</v>
      </c>
    </row>
    <row r="384" spans="1:9" ht="14.25" customHeight="1" x14ac:dyDescent="0.25">
      <c r="A384" s="132" t="s">
        <v>240</v>
      </c>
      <c r="B384" s="132" t="s">
        <v>8</v>
      </c>
      <c r="C384" s="132">
        <v>27</v>
      </c>
      <c r="D384" s="132" t="str">
        <f t="shared" si="26"/>
        <v>1/2" Round BAG Motor 27</v>
      </c>
      <c r="E384" s="132">
        <v>7</v>
      </c>
      <c r="F384" s="132">
        <v>5</v>
      </c>
      <c r="G384" s="132">
        <v>0</v>
      </c>
      <c r="H384" s="132">
        <v>0</v>
      </c>
      <c r="I384" s="132">
        <v>3</v>
      </c>
    </row>
    <row r="385" spans="1:9" ht="14.25" customHeight="1" x14ac:dyDescent="0.25">
      <c r="A385" s="132" t="s">
        <v>240</v>
      </c>
      <c r="B385" s="132" t="s">
        <v>8</v>
      </c>
      <c r="C385" s="132">
        <v>28</v>
      </c>
      <c r="D385" s="132" t="str">
        <f t="shared" si="26"/>
        <v>1/2" Round BAG Motor 28</v>
      </c>
      <c r="E385" s="132">
        <v>7</v>
      </c>
      <c r="F385" s="132">
        <v>5</v>
      </c>
      <c r="G385" s="132">
        <v>0</v>
      </c>
      <c r="H385" s="132">
        <v>0</v>
      </c>
      <c r="I385" s="132">
        <v>1</v>
      </c>
    </row>
    <row r="386" spans="1:9" ht="14.25" customHeight="1" x14ac:dyDescent="0.25">
      <c r="A386" s="132" t="s">
        <v>240</v>
      </c>
      <c r="B386" s="132" t="s">
        <v>8</v>
      </c>
      <c r="C386" s="132">
        <v>30</v>
      </c>
      <c r="D386" s="132" t="str">
        <f t="shared" si="26"/>
        <v>1/2" Round BAG Motor 30</v>
      </c>
      <c r="E386" s="132">
        <v>7</v>
      </c>
      <c r="F386" s="132">
        <v>4</v>
      </c>
      <c r="G386" s="132">
        <v>0</v>
      </c>
      <c r="H386" s="132">
        <v>0</v>
      </c>
      <c r="I386" s="132">
        <v>1</v>
      </c>
    </row>
    <row r="387" spans="1:9" ht="14.25" customHeight="1" x14ac:dyDescent="0.25">
      <c r="A387" s="132" t="s">
        <v>240</v>
      </c>
      <c r="B387" s="132" t="s">
        <v>8</v>
      </c>
      <c r="C387" s="132">
        <v>35</v>
      </c>
      <c r="D387" s="132" t="str">
        <f t="shared" si="26"/>
        <v>1/2" Round BAG Motor 35</v>
      </c>
      <c r="E387" s="132">
        <v>5</v>
      </c>
      <c r="F387" s="132">
        <v>4</v>
      </c>
      <c r="G387" s="132">
        <v>0</v>
      </c>
      <c r="H387" s="132">
        <v>0</v>
      </c>
      <c r="I387" s="132">
        <v>1</v>
      </c>
    </row>
    <row r="388" spans="1:9" ht="14.25" customHeight="1" x14ac:dyDescent="0.25">
      <c r="A388" s="132" t="s">
        <v>240</v>
      </c>
      <c r="B388" s="132" t="s">
        <v>8</v>
      </c>
      <c r="C388" s="132">
        <v>36</v>
      </c>
      <c r="D388" s="132" t="str">
        <f t="shared" si="26"/>
        <v>1/2" Round BAG Motor 36</v>
      </c>
      <c r="E388" s="132">
        <v>5</v>
      </c>
      <c r="F388" s="132">
        <v>4</v>
      </c>
      <c r="G388" s="132">
        <v>0</v>
      </c>
      <c r="H388" s="132">
        <v>0</v>
      </c>
      <c r="I388" s="132">
        <v>1</v>
      </c>
    </row>
    <row r="389" spans="1:9" ht="14.25" customHeight="1" x14ac:dyDescent="0.25">
      <c r="A389" s="132" t="s">
        <v>240</v>
      </c>
      <c r="B389" s="132" t="s">
        <v>8</v>
      </c>
      <c r="C389" s="132">
        <v>40</v>
      </c>
      <c r="D389" s="132" t="str">
        <f t="shared" si="26"/>
        <v>1/2" Round BAG Motor 40</v>
      </c>
      <c r="E389" s="132">
        <v>5</v>
      </c>
      <c r="F389" s="132">
        <v>3</v>
      </c>
      <c r="G389" s="132">
        <v>0</v>
      </c>
      <c r="H389" s="132">
        <v>0</v>
      </c>
      <c r="I389" s="132">
        <v>1</v>
      </c>
    </row>
    <row r="390" spans="1:9" ht="14.25" customHeight="1" x14ac:dyDescent="0.25">
      <c r="A390" s="132" t="s">
        <v>240</v>
      </c>
      <c r="B390" s="132" t="s">
        <v>8</v>
      </c>
      <c r="C390" s="132">
        <v>45</v>
      </c>
      <c r="D390" s="132" t="str">
        <f t="shared" si="26"/>
        <v>1/2" Round BAG Motor 45</v>
      </c>
      <c r="E390" s="132">
        <v>5</v>
      </c>
      <c r="F390" s="132">
        <v>3</v>
      </c>
      <c r="G390" s="132">
        <v>0</v>
      </c>
      <c r="H390" s="132">
        <v>0</v>
      </c>
      <c r="I390" s="132">
        <v>1</v>
      </c>
    </row>
    <row r="391" spans="1:9" ht="14.25" customHeight="1" x14ac:dyDescent="0.25">
      <c r="A391" s="132" t="s">
        <v>240</v>
      </c>
      <c r="B391" s="132" t="s">
        <v>8</v>
      </c>
      <c r="C391" s="132">
        <v>49</v>
      </c>
      <c r="D391" s="132" t="str">
        <f t="shared" si="26"/>
        <v>1/2" Round BAG Motor 49</v>
      </c>
      <c r="E391" s="132">
        <v>5</v>
      </c>
      <c r="F391" s="132">
        <v>1</v>
      </c>
      <c r="G391" s="132">
        <v>0</v>
      </c>
      <c r="H391" s="132">
        <v>0</v>
      </c>
      <c r="I391" s="132">
        <v>1</v>
      </c>
    </row>
    <row r="392" spans="1:9" ht="14.25" customHeight="1" x14ac:dyDescent="0.25">
      <c r="A392" s="132" t="s">
        <v>240</v>
      </c>
      <c r="B392" s="132" t="s">
        <v>8</v>
      </c>
      <c r="C392" s="132">
        <v>50</v>
      </c>
      <c r="D392" s="132" t="str">
        <f t="shared" si="26"/>
        <v>1/2" Round BAG Motor 50</v>
      </c>
      <c r="E392" s="132">
        <v>5</v>
      </c>
      <c r="F392" s="132">
        <v>1</v>
      </c>
      <c r="G392" s="132">
        <v>0</v>
      </c>
      <c r="H392" s="132">
        <v>0</v>
      </c>
      <c r="I392" s="132">
        <v>1</v>
      </c>
    </row>
    <row r="393" spans="1:9" ht="14.25" customHeight="1" x14ac:dyDescent="0.25">
      <c r="A393" s="132" t="s">
        <v>240</v>
      </c>
      <c r="B393" s="132" t="s">
        <v>8</v>
      </c>
      <c r="C393" s="132">
        <v>63</v>
      </c>
      <c r="D393" s="132" t="str">
        <f t="shared" si="26"/>
        <v>1/2" Round BAG Motor 63</v>
      </c>
      <c r="E393" s="132">
        <v>4</v>
      </c>
      <c r="F393" s="132">
        <v>1</v>
      </c>
      <c r="G393" s="132">
        <v>0</v>
      </c>
      <c r="H393" s="132">
        <v>0</v>
      </c>
      <c r="I393" s="132">
        <v>1</v>
      </c>
    </row>
    <row r="394" spans="1:9" ht="14.25" customHeight="1" x14ac:dyDescent="0.25">
      <c r="A394" s="132" t="s">
        <v>240</v>
      </c>
      <c r="B394" s="132" t="s">
        <v>8</v>
      </c>
      <c r="C394" s="132">
        <v>70</v>
      </c>
      <c r="D394" s="132" t="str">
        <f t="shared" si="26"/>
        <v>1/2" Round BAG Motor 70</v>
      </c>
      <c r="E394" s="132">
        <v>4</v>
      </c>
      <c r="F394" s="132">
        <v>1</v>
      </c>
      <c r="G394" s="132">
        <v>0</v>
      </c>
      <c r="H394" s="132">
        <v>0</v>
      </c>
      <c r="I394" s="132">
        <v>1</v>
      </c>
    </row>
    <row r="395" spans="1:9" ht="14.25" customHeight="1" x14ac:dyDescent="0.25">
      <c r="A395" s="132" t="s">
        <v>240</v>
      </c>
      <c r="B395" s="132" t="s">
        <v>8</v>
      </c>
      <c r="C395" s="132">
        <v>81</v>
      </c>
      <c r="D395" s="132" t="str">
        <f t="shared" si="26"/>
        <v>1/2" Round BAG Motor 81</v>
      </c>
      <c r="E395" s="132">
        <v>3</v>
      </c>
      <c r="F395" s="132">
        <v>1</v>
      </c>
      <c r="G395" s="132">
        <v>0</v>
      </c>
      <c r="H395" s="132">
        <v>0</v>
      </c>
      <c r="I395" s="132">
        <v>1</v>
      </c>
    </row>
    <row r="396" spans="1:9" ht="14.25" customHeight="1" x14ac:dyDescent="0.25">
      <c r="A396" s="132" t="s">
        <v>240</v>
      </c>
      <c r="B396" s="132" t="s">
        <v>8</v>
      </c>
      <c r="C396" s="132">
        <v>90</v>
      </c>
      <c r="D396" s="132" t="str">
        <f t="shared" si="26"/>
        <v>1/2" Round BAG Motor 90</v>
      </c>
      <c r="E396" s="132">
        <v>3</v>
      </c>
      <c r="F396" s="132">
        <v>1</v>
      </c>
      <c r="G396" s="132">
        <v>0</v>
      </c>
      <c r="H396" s="132">
        <v>0</v>
      </c>
      <c r="I396" s="132">
        <v>0</v>
      </c>
    </row>
    <row r="397" spans="1:9" ht="14.25" customHeight="1" x14ac:dyDescent="0.25">
      <c r="A397" s="132" t="s">
        <v>240</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240</v>
      </c>
      <c r="B398" s="132" t="s">
        <v>255</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240</v>
      </c>
      <c r="B399" s="132" t="s">
        <v>255</v>
      </c>
      <c r="C399" s="132">
        <v>-4</v>
      </c>
      <c r="D399" s="132" t="str">
        <f t="shared" si="27"/>
        <v>1/2" Round 775pro -4</v>
      </c>
      <c r="E399" s="132">
        <v>1</v>
      </c>
      <c r="F399" s="132">
        <v>1</v>
      </c>
      <c r="G399" s="132">
        <v>1</v>
      </c>
      <c r="H399" s="132">
        <v>0</v>
      </c>
      <c r="I399" s="132">
        <v>1</v>
      </c>
    </row>
    <row r="400" spans="1:9" ht="14.25" customHeight="1" x14ac:dyDescent="0.25">
      <c r="A400" s="132" t="s">
        <v>240</v>
      </c>
      <c r="B400" s="132" t="s">
        <v>255</v>
      </c>
      <c r="C400" s="132">
        <v>-5</v>
      </c>
      <c r="D400" s="132" t="str">
        <f t="shared" si="27"/>
        <v>1/2" Round 775pro -5</v>
      </c>
      <c r="E400" s="132">
        <v>1</v>
      </c>
      <c r="F400" s="132">
        <v>1</v>
      </c>
      <c r="G400" s="132">
        <v>1</v>
      </c>
      <c r="H400" s="132">
        <v>0</v>
      </c>
      <c r="I400" s="132">
        <v>1</v>
      </c>
    </row>
    <row r="401" spans="1:9" ht="14.25" customHeight="1" x14ac:dyDescent="0.25">
      <c r="A401" s="132" t="s">
        <v>240</v>
      </c>
      <c r="B401" s="132" t="s">
        <v>255</v>
      </c>
      <c r="C401" s="132">
        <v>-7</v>
      </c>
      <c r="D401" s="132" t="str">
        <f t="shared" si="27"/>
        <v>1/2" Round 775pro -7</v>
      </c>
      <c r="E401" s="132">
        <v>1</v>
      </c>
      <c r="F401" s="132">
        <v>1</v>
      </c>
      <c r="G401" s="132">
        <v>0</v>
      </c>
      <c r="H401" s="132">
        <v>0</v>
      </c>
      <c r="I401" s="132">
        <v>1</v>
      </c>
    </row>
    <row r="402" spans="1:9" ht="14.25" customHeight="1" x14ac:dyDescent="0.25">
      <c r="A402" s="132" t="s">
        <v>240</v>
      </c>
      <c r="B402" s="132" t="s">
        <v>255</v>
      </c>
      <c r="C402" s="132">
        <v>-9</v>
      </c>
      <c r="D402" s="132" t="str">
        <f t="shared" si="27"/>
        <v>1/2" Round 775pro -9</v>
      </c>
      <c r="E402" s="132">
        <v>1</v>
      </c>
      <c r="F402" s="132">
        <v>1</v>
      </c>
      <c r="G402" s="132">
        <v>0</v>
      </c>
      <c r="H402" s="132">
        <v>0</v>
      </c>
      <c r="I402" s="132">
        <v>1</v>
      </c>
    </row>
    <row r="403" spans="1:9" ht="14.25" customHeight="1" x14ac:dyDescent="0.25">
      <c r="A403" s="132" t="s">
        <v>240</v>
      </c>
      <c r="B403" s="132" t="s">
        <v>255</v>
      </c>
      <c r="C403" s="132">
        <v>-10</v>
      </c>
      <c r="D403" s="132" t="str">
        <f t="shared" si="27"/>
        <v>1/2" Round 775pro -10</v>
      </c>
      <c r="E403" s="132">
        <v>1</v>
      </c>
      <c r="F403" s="132">
        <v>1</v>
      </c>
      <c r="G403" s="132">
        <v>0</v>
      </c>
      <c r="H403" s="132">
        <v>0</v>
      </c>
      <c r="I403" s="132">
        <v>1</v>
      </c>
    </row>
    <row r="404" spans="1:9" ht="14.25" customHeight="1" x14ac:dyDescent="0.25">
      <c r="A404" s="132" t="s">
        <v>240</v>
      </c>
      <c r="B404" s="132" t="s">
        <v>255</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240</v>
      </c>
      <c r="B405" s="132" t="s">
        <v>255</v>
      </c>
      <c r="C405" s="132">
        <v>12</v>
      </c>
      <c r="D405" s="132" t="str">
        <f t="shared" si="28"/>
        <v>1/2" Round 775pro 12</v>
      </c>
      <c r="E405" s="132">
        <v>10</v>
      </c>
      <c r="F405" s="132">
        <v>5</v>
      </c>
      <c r="G405" s="132">
        <v>0</v>
      </c>
      <c r="H405" s="132">
        <v>0</v>
      </c>
      <c r="I405" s="132">
        <v>4</v>
      </c>
    </row>
    <row r="406" spans="1:9" ht="14.25" customHeight="1" x14ac:dyDescent="0.25">
      <c r="A406" s="132" t="s">
        <v>240</v>
      </c>
      <c r="B406" s="132" t="s">
        <v>255</v>
      </c>
      <c r="C406" s="132">
        <v>15</v>
      </c>
      <c r="D406" s="132" t="str">
        <f t="shared" si="28"/>
        <v>1/2" Round 775pro 15</v>
      </c>
      <c r="E406" s="132">
        <v>9</v>
      </c>
      <c r="F406" s="132">
        <v>5</v>
      </c>
      <c r="G406" s="132">
        <v>0</v>
      </c>
      <c r="H406" s="132">
        <v>0</v>
      </c>
      <c r="I406" s="132">
        <v>3</v>
      </c>
    </row>
    <row r="407" spans="1:9" ht="14.25" customHeight="1" x14ac:dyDescent="0.25">
      <c r="A407" s="132" t="s">
        <v>240</v>
      </c>
      <c r="B407" s="132" t="s">
        <v>255</v>
      </c>
      <c r="C407" s="132">
        <v>16</v>
      </c>
      <c r="D407" s="132" t="str">
        <f t="shared" si="28"/>
        <v>1/2" Round 775pro 16</v>
      </c>
      <c r="E407" s="132">
        <v>7</v>
      </c>
      <c r="F407" s="132">
        <v>5</v>
      </c>
      <c r="G407" s="132">
        <v>0</v>
      </c>
      <c r="H407" s="132">
        <v>0</v>
      </c>
      <c r="I407" s="132">
        <v>3</v>
      </c>
    </row>
    <row r="408" spans="1:9" ht="14.25" customHeight="1" x14ac:dyDescent="0.25">
      <c r="A408" s="132" t="s">
        <v>240</v>
      </c>
      <c r="B408" s="132" t="s">
        <v>255</v>
      </c>
      <c r="C408" s="132">
        <v>20</v>
      </c>
      <c r="D408" s="132" t="str">
        <f t="shared" si="28"/>
        <v>1/2" Round 775pro 20</v>
      </c>
      <c r="E408" s="132">
        <v>5</v>
      </c>
      <c r="F408" s="132">
        <v>4</v>
      </c>
      <c r="G408" s="132">
        <v>0</v>
      </c>
      <c r="H408" s="132">
        <v>0</v>
      </c>
      <c r="I408" s="132">
        <v>1</v>
      </c>
    </row>
    <row r="409" spans="1:9" ht="14.25" customHeight="1" x14ac:dyDescent="0.25">
      <c r="A409" s="132" t="s">
        <v>240</v>
      </c>
      <c r="B409" s="132" t="s">
        <v>255</v>
      </c>
      <c r="C409" s="132">
        <v>21</v>
      </c>
      <c r="D409" s="132" t="str">
        <f t="shared" si="28"/>
        <v>1/2" Round 775pro 21</v>
      </c>
      <c r="E409" s="132">
        <v>5</v>
      </c>
      <c r="F409" s="132">
        <v>4</v>
      </c>
      <c r="G409" s="132">
        <v>0</v>
      </c>
      <c r="H409" s="132">
        <v>0</v>
      </c>
      <c r="I409" s="132">
        <v>1</v>
      </c>
    </row>
    <row r="410" spans="1:9" ht="14.25" customHeight="1" x14ac:dyDescent="0.25">
      <c r="A410" s="132" t="s">
        <v>240</v>
      </c>
      <c r="B410" s="132" t="s">
        <v>255</v>
      </c>
      <c r="C410" s="132">
        <v>25</v>
      </c>
      <c r="D410" s="132" t="str">
        <f t="shared" si="28"/>
        <v>1/2" Round 775pro 25</v>
      </c>
      <c r="E410" s="132">
        <v>5</v>
      </c>
      <c r="F410" s="132">
        <v>3</v>
      </c>
      <c r="G410" s="132">
        <v>0</v>
      </c>
      <c r="H410" s="132">
        <v>0</v>
      </c>
      <c r="I410" s="132">
        <v>1</v>
      </c>
    </row>
    <row r="411" spans="1:9" ht="14.25" customHeight="1" x14ac:dyDescent="0.25">
      <c r="A411" s="132" t="s">
        <v>240</v>
      </c>
      <c r="B411" s="132" t="s">
        <v>255</v>
      </c>
      <c r="C411" s="132">
        <v>27</v>
      </c>
      <c r="D411" s="132" t="str">
        <f t="shared" si="28"/>
        <v>1/2" Round 775pro 27</v>
      </c>
      <c r="E411" s="132">
        <v>5</v>
      </c>
      <c r="F411" s="132">
        <v>3</v>
      </c>
      <c r="G411" s="132">
        <v>0</v>
      </c>
      <c r="H411" s="132">
        <v>0</v>
      </c>
      <c r="I411" s="132">
        <v>1</v>
      </c>
    </row>
    <row r="412" spans="1:9" ht="14.25" customHeight="1" x14ac:dyDescent="0.25">
      <c r="A412" s="132" t="s">
        <v>240</v>
      </c>
      <c r="B412" s="132" t="s">
        <v>255</v>
      </c>
      <c r="C412" s="132">
        <v>28</v>
      </c>
      <c r="D412" s="132" t="str">
        <f t="shared" si="28"/>
        <v>1/2" Round 775pro 28</v>
      </c>
      <c r="E412" s="132">
        <v>5</v>
      </c>
      <c r="F412" s="132">
        <v>3</v>
      </c>
      <c r="G412" s="132">
        <v>0</v>
      </c>
      <c r="H412" s="132">
        <v>0</v>
      </c>
      <c r="I412" s="132">
        <v>1</v>
      </c>
    </row>
    <row r="413" spans="1:9" ht="14.25" customHeight="1" x14ac:dyDescent="0.25">
      <c r="A413" s="132" t="s">
        <v>240</v>
      </c>
      <c r="B413" s="132" t="s">
        <v>255</v>
      </c>
      <c r="C413" s="132">
        <v>30</v>
      </c>
      <c r="D413" s="132" t="str">
        <f t="shared" si="28"/>
        <v>1/2" Round 775pro 30</v>
      </c>
      <c r="E413" s="132">
        <v>5</v>
      </c>
      <c r="F413" s="132">
        <v>3</v>
      </c>
      <c r="G413" s="132">
        <v>0</v>
      </c>
      <c r="H413" s="132">
        <v>0</v>
      </c>
      <c r="I413" s="132">
        <v>1</v>
      </c>
    </row>
    <row r="414" spans="1:9" ht="14.25" customHeight="1" x14ac:dyDescent="0.25">
      <c r="A414" s="132" t="s">
        <v>240</v>
      </c>
      <c r="B414" s="132" t="s">
        <v>255</v>
      </c>
      <c r="C414" s="132">
        <v>35</v>
      </c>
      <c r="D414" s="132" t="str">
        <f t="shared" si="28"/>
        <v>1/2" Round 775pro 35</v>
      </c>
      <c r="E414" s="132">
        <v>5</v>
      </c>
      <c r="F414" s="132">
        <v>1</v>
      </c>
      <c r="G414" s="132">
        <v>0</v>
      </c>
      <c r="H414" s="132">
        <v>0</v>
      </c>
      <c r="I414" s="132">
        <v>1</v>
      </c>
    </row>
    <row r="415" spans="1:9" ht="14.25" customHeight="1" x14ac:dyDescent="0.25">
      <c r="A415" s="132" t="s">
        <v>240</v>
      </c>
      <c r="B415" s="132" t="s">
        <v>255</v>
      </c>
      <c r="C415" s="132">
        <v>36</v>
      </c>
      <c r="D415" s="132" t="str">
        <f t="shared" si="28"/>
        <v>1/2" Round 775pro 36</v>
      </c>
      <c r="E415" s="132">
        <v>5</v>
      </c>
      <c r="F415" s="132">
        <v>1</v>
      </c>
      <c r="G415" s="132">
        <v>0</v>
      </c>
      <c r="H415" s="132">
        <v>0</v>
      </c>
      <c r="I415" s="132">
        <v>1</v>
      </c>
    </row>
    <row r="416" spans="1:9" ht="14.25" customHeight="1" x14ac:dyDescent="0.25">
      <c r="A416" s="132" t="s">
        <v>240</v>
      </c>
      <c r="B416" s="132" t="s">
        <v>255</v>
      </c>
      <c r="C416" s="132">
        <v>40</v>
      </c>
      <c r="D416" s="132" t="str">
        <f t="shared" si="28"/>
        <v>1/2" Round 775pro 40</v>
      </c>
      <c r="E416" s="132">
        <v>4</v>
      </c>
      <c r="F416" s="132">
        <v>1</v>
      </c>
      <c r="G416" s="132">
        <v>0</v>
      </c>
      <c r="H416" s="132">
        <v>0</v>
      </c>
      <c r="I416" s="132">
        <v>1</v>
      </c>
    </row>
    <row r="417" spans="1:9" ht="14.25" customHeight="1" x14ac:dyDescent="0.25">
      <c r="A417" s="132" t="s">
        <v>240</v>
      </c>
      <c r="B417" s="132" t="s">
        <v>255</v>
      </c>
      <c r="C417" s="132">
        <v>45</v>
      </c>
      <c r="D417" s="132" t="str">
        <f t="shared" si="28"/>
        <v>1/2" Round 775pro 45</v>
      </c>
      <c r="E417" s="132">
        <v>4</v>
      </c>
      <c r="F417" s="132">
        <v>1</v>
      </c>
      <c r="G417" s="132">
        <v>0</v>
      </c>
      <c r="H417" s="132">
        <v>0</v>
      </c>
      <c r="I417" s="132">
        <v>1</v>
      </c>
    </row>
    <row r="418" spans="1:9" ht="14.25" customHeight="1" x14ac:dyDescent="0.25">
      <c r="A418" s="132" t="s">
        <v>240</v>
      </c>
      <c r="B418" s="132" t="s">
        <v>255</v>
      </c>
      <c r="C418" s="132">
        <v>49</v>
      </c>
      <c r="D418" s="132" t="str">
        <f t="shared" si="28"/>
        <v>1/2" Round 775pro 49</v>
      </c>
      <c r="E418" s="132">
        <v>3</v>
      </c>
      <c r="F418" s="132">
        <v>1</v>
      </c>
      <c r="G418" s="132">
        <v>0</v>
      </c>
      <c r="H418" s="132">
        <v>0</v>
      </c>
      <c r="I418" s="132">
        <v>1</v>
      </c>
    </row>
    <row r="419" spans="1:9" ht="14.25" customHeight="1" x14ac:dyDescent="0.25">
      <c r="A419" s="132" t="s">
        <v>240</v>
      </c>
      <c r="B419" s="132" t="s">
        <v>255</v>
      </c>
      <c r="C419" s="132">
        <v>50</v>
      </c>
      <c r="D419" s="132" t="str">
        <f t="shared" si="28"/>
        <v>1/2" Round 775pro 50</v>
      </c>
      <c r="E419" s="132">
        <v>3</v>
      </c>
      <c r="F419" s="132">
        <v>1</v>
      </c>
      <c r="G419" s="132">
        <v>0</v>
      </c>
      <c r="H419" s="132">
        <v>0</v>
      </c>
      <c r="I419" s="132">
        <v>0</v>
      </c>
    </row>
    <row r="420" spans="1:9" ht="14.25" customHeight="1" x14ac:dyDescent="0.25">
      <c r="A420" s="132" t="s">
        <v>240</v>
      </c>
      <c r="B420" s="132" t="s">
        <v>255</v>
      </c>
      <c r="C420" s="132">
        <v>63</v>
      </c>
      <c r="D420" s="132" t="str">
        <f t="shared" si="28"/>
        <v>1/2" Round 775pro 63</v>
      </c>
      <c r="E420" s="132">
        <v>1</v>
      </c>
      <c r="F420" s="132">
        <v>1</v>
      </c>
      <c r="G420" s="132">
        <v>0</v>
      </c>
      <c r="H420" s="132">
        <v>0</v>
      </c>
      <c r="I420" s="132">
        <v>0</v>
      </c>
    </row>
    <row r="421" spans="1:9" ht="14.25" customHeight="1" x14ac:dyDescent="0.25">
      <c r="A421" s="132" t="s">
        <v>240</v>
      </c>
      <c r="B421" s="132" t="s">
        <v>255</v>
      </c>
      <c r="C421" s="132">
        <v>70</v>
      </c>
      <c r="D421" s="132" t="str">
        <f t="shared" si="28"/>
        <v>1/2" Round 775pro 70</v>
      </c>
      <c r="E421" s="132">
        <v>1</v>
      </c>
      <c r="F421" s="132">
        <v>0</v>
      </c>
      <c r="G421" s="132">
        <v>0</v>
      </c>
      <c r="H421" s="132">
        <v>0</v>
      </c>
      <c r="I421" s="132">
        <v>0</v>
      </c>
    </row>
    <row r="422" spans="1:9" ht="14.25" customHeight="1" x14ac:dyDescent="0.25">
      <c r="A422" s="132" t="s">
        <v>240</v>
      </c>
      <c r="B422" s="132" t="s">
        <v>255</v>
      </c>
      <c r="C422" s="132">
        <v>81</v>
      </c>
      <c r="D422" s="132" t="str">
        <f t="shared" si="28"/>
        <v>1/2" Round 775pro 81</v>
      </c>
      <c r="E422" s="132">
        <v>1</v>
      </c>
      <c r="F422" s="132">
        <v>0</v>
      </c>
      <c r="G422" s="132">
        <v>0</v>
      </c>
      <c r="H422" s="132">
        <v>0</v>
      </c>
      <c r="I422" s="132">
        <v>0</v>
      </c>
    </row>
    <row r="423" spans="1:9" ht="14.25" customHeight="1" x14ac:dyDescent="0.25">
      <c r="A423" s="132" t="s">
        <v>240</v>
      </c>
      <c r="B423" s="132" t="s">
        <v>255</v>
      </c>
      <c r="C423" s="132">
        <v>90</v>
      </c>
      <c r="D423" s="132" t="str">
        <f t="shared" si="28"/>
        <v>1/2" Round 775pro 90</v>
      </c>
      <c r="E423" s="132">
        <v>1</v>
      </c>
      <c r="F423" s="132">
        <v>0</v>
      </c>
      <c r="G423" s="132">
        <v>0</v>
      </c>
      <c r="H423" s="132">
        <v>0</v>
      </c>
      <c r="I423" s="132">
        <v>0</v>
      </c>
    </row>
    <row r="424" spans="1:9" ht="14.25" customHeight="1" x14ac:dyDescent="0.25">
      <c r="A424" s="132" t="s">
        <v>240</v>
      </c>
      <c r="B424" s="132" t="s">
        <v>255</v>
      </c>
      <c r="C424" s="132">
        <v>100</v>
      </c>
      <c r="D424" s="132" t="str">
        <f t="shared" si="28"/>
        <v>1/2" Round 775pro 100</v>
      </c>
      <c r="E424" s="132">
        <v>1</v>
      </c>
      <c r="F424" s="132">
        <v>0</v>
      </c>
      <c r="G424" s="132">
        <v>0</v>
      </c>
      <c r="H424" s="132">
        <v>0</v>
      </c>
      <c r="I424" s="132">
        <v>0</v>
      </c>
    </row>
    <row r="425" spans="1:9" ht="14.25" customHeight="1" x14ac:dyDescent="0.25">
      <c r="A425" s="132" t="s">
        <v>240</v>
      </c>
      <c r="B425" s="132" t="s">
        <v>7</v>
      </c>
      <c r="C425" s="132">
        <v>-3</v>
      </c>
      <c r="D425" s="132" t="str">
        <f t="shared" ref="D425:D430" si="29">A425&amp;" "&amp;B425&amp;" "&amp;C425</f>
        <v>1/2" Round Mini CIM -3</v>
      </c>
      <c r="E425" s="132">
        <v>1</v>
      </c>
      <c r="I425" s="132">
        <v>0</v>
      </c>
    </row>
    <row r="426" spans="1:9" ht="14.25" customHeight="1" x14ac:dyDescent="0.25">
      <c r="A426" s="132" t="s">
        <v>240</v>
      </c>
      <c r="B426" s="132" t="s">
        <v>7</v>
      </c>
      <c r="C426" s="132">
        <v>-4</v>
      </c>
      <c r="D426" s="132" t="str">
        <f t="shared" si="29"/>
        <v>1/2" Round Mini CIM -4</v>
      </c>
      <c r="E426" s="132">
        <v>1</v>
      </c>
      <c r="I426" s="132">
        <v>0</v>
      </c>
    </row>
    <row r="427" spans="1:9" ht="14.25" customHeight="1" x14ac:dyDescent="0.25">
      <c r="A427" s="132" t="s">
        <v>240</v>
      </c>
      <c r="B427" s="132" t="s">
        <v>7</v>
      </c>
      <c r="C427" s="132">
        <v>-5</v>
      </c>
      <c r="D427" s="132" t="str">
        <f t="shared" si="29"/>
        <v>1/2" Round Mini CIM -5</v>
      </c>
      <c r="E427" s="132">
        <v>1</v>
      </c>
      <c r="I427" s="132">
        <v>0</v>
      </c>
    </row>
    <row r="428" spans="1:9" ht="14.25" customHeight="1" x14ac:dyDescent="0.25">
      <c r="A428" s="132" t="s">
        <v>240</v>
      </c>
      <c r="B428" s="132" t="s">
        <v>7</v>
      </c>
      <c r="C428" s="132">
        <v>-7</v>
      </c>
      <c r="D428" s="132" t="str">
        <f t="shared" si="29"/>
        <v>1/2" Round Mini CIM -7</v>
      </c>
      <c r="E428" s="132">
        <v>1</v>
      </c>
      <c r="I428" s="132">
        <v>0</v>
      </c>
    </row>
    <row r="429" spans="1:9" ht="14.25" customHeight="1" x14ac:dyDescent="0.25">
      <c r="A429" s="132" t="s">
        <v>240</v>
      </c>
      <c r="B429" s="132" t="s">
        <v>7</v>
      </c>
      <c r="C429" s="132">
        <v>-9</v>
      </c>
      <c r="D429" s="132" t="str">
        <f t="shared" si="29"/>
        <v>1/2" Round Mini CIM -9</v>
      </c>
      <c r="E429" s="132">
        <v>1</v>
      </c>
      <c r="I429" s="132">
        <v>0</v>
      </c>
    </row>
    <row r="430" spans="1:9" ht="14.25" customHeight="1" x14ac:dyDescent="0.25">
      <c r="A430" s="132" t="s">
        <v>240</v>
      </c>
      <c r="B430" s="132" t="s">
        <v>7</v>
      </c>
      <c r="C430" s="132">
        <v>-10</v>
      </c>
      <c r="D430" s="132" t="str">
        <f t="shared" si="29"/>
        <v>1/2" Round Mini CIM -10</v>
      </c>
      <c r="E430" s="132">
        <v>1</v>
      </c>
      <c r="I430" s="132">
        <v>0</v>
      </c>
    </row>
    <row r="431" spans="1:9" ht="14.25" customHeight="1" x14ac:dyDescent="0.25">
      <c r="A431" s="132" t="s">
        <v>240</v>
      </c>
      <c r="B431" s="132" t="s">
        <v>7</v>
      </c>
      <c r="C431" s="132">
        <v>9</v>
      </c>
      <c r="D431" s="132" t="str">
        <f t="shared" ref="D431:D451" si="30">A431&amp;" "&amp;B431&amp;" "&amp;C431</f>
        <v>1/2" Round Mini CIM 9</v>
      </c>
      <c r="E431" s="132">
        <v>7</v>
      </c>
      <c r="I431" s="132">
        <v>0</v>
      </c>
    </row>
    <row r="432" spans="1:9" ht="14.25" customHeight="1" x14ac:dyDescent="0.25">
      <c r="A432" s="132" t="s">
        <v>240</v>
      </c>
      <c r="B432" s="132" t="s">
        <v>7</v>
      </c>
      <c r="C432" s="132">
        <v>12</v>
      </c>
      <c r="D432" s="132" t="str">
        <f t="shared" si="30"/>
        <v>1/2" Round Mini CIM 12</v>
      </c>
      <c r="E432" s="132">
        <v>5</v>
      </c>
      <c r="I432" s="132">
        <v>0</v>
      </c>
    </row>
    <row r="433" spans="1:9" ht="14.25" customHeight="1" x14ac:dyDescent="0.25">
      <c r="A433" s="132" t="s">
        <v>240</v>
      </c>
      <c r="B433" s="132" t="s">
        <v>7</v>
      </c>
      <c r="C433" s="132">
        <v>15</v>
      </c>
      <c r="D433" s="132" t="str">
        <f t="shared" si="30"/>
        <v>1/2" Round Mini CIM 15</v>
      </c>
      <c r="E433" s="132">
        <v>5</v>
      </c>
      <c r="I433" s="132">
        <v>0</v>
      </c>
    </row>
    <row r="434" spans="1:9" ht="14.25" customHeight="1" x14ac:dyDescent="0.25">
      <c r="A434" s="132" t="s">
        <v>240</v>
      </c>
      <c r="B434" s="132" t="s">
        <v>7</v>
      </c>
      <c r="C434" s="132">
        <v>16</v>
      </c>
      <c r="D434" s="132" t="str">
        <f t="shared" si="30"/>
        <v>1/2" Round Mini CIM 16</v>
      </c>
      <c r="E434" s="132">
        <v>5</v>
      </c>
      <c r="I434" s="132">
        <v>0</v>
      </c>
    </row>
    <row r="435" spans="1:9" ht="14.25" customHeight="1" x14ac:dyDescent="0.25">
      <c r="A435" s="132" t="s">
        <v>240</v>
      </c>
      <c r="B435" s="132" t="s">
        <v>7</v>
      </c>
      <c r="C435" s="132">
        <v>20</v>
      </c>
      <c r="D435" s="132" t="str">
        <f t="shared" si="30"/>
        <v>1/2" Round Mini CIM 20</v>
      </c>
      <c r="E435" s="132">
        <v>4</v>
      </c>
      <c r="I435" s="132">
        <v>0</v>
      </c>
    </row>
    <row r="436" spans="1:9" ht="14.25" customHeight="1" x14ac:dyDescent="0.25">
      <c r="A436" s="132" t="s">
        <v>240</v>
      </c>
      <c r="B436" s="132" t="s">
        <v>7</v>
      </c>
      <c r="C436" s="132">
        <v>21</v>
      </c>
      <c r="D436" s="132" t="str">
        <f t="shared" si="30"/>
        <v>1/2" Round Mini CIM 21</v>
      </c>
      <c r="E436" s="132">
        <v>4</v>
      </c>
      <c r="I436" s="132">
        <v>0</v>
      </c>
    </row>
    <row r="437" spans="1:9" ht="14.25" customHeight="1" x14ac:dyDescent="0.25">
      <c r="A437" s="132" t="s">
        <v>240</v>
      </c>
      <c r="B437" s="132" t="s">
        <v>7</v>
      </c>
      <c r="C437" s="132">
        <v>25</v>
      </c>
      <c r="D437" s="132" t="str">
        <f t="shared" si="30"/>
        <v>1/2" Round Mini CIM 25</v>
      </c>
      <c r="E437" s="132">
        <v>3</v>
      </c>
      <c r="I437" s="132">
        <v>0</v>
      </c>
    </row>
    <row r="438" spans="1:9" ht="14.25" customHeight="1" x14ac:dyDescent="0.25">
      <c r="A438" s="132" t="s">
        <v>240</v>
      </c>
      <c r="B438" s="132" t="s">
        <v>7</v>
      </c>
      <c r="C438" s="132">
        <v>27</v>
      </c>
      <c r="D438" s="132" t="str">
        <f t="shared" si="30"/>
        <v>1/2" Round Mini CIM 27</v>
      </c>
      <c r="E438" s="132">
        <v>3</v>
      </c>
      <c r="I438" s="132">
        <v>0</v>
      </c>
    </row>
    <row r="439" spans="1:9" ht="14.25" customHeight="1" x14ac:dyDescent="0.25">
      <c r="A439" s="132" t="s">
        <v>240</v>
      </c>
      <c r="B439" s="132" t="s">
        <v>7</v>
      </c>
      <c r="C439" s="132">
        <v>28</v>
      </c>
      <c r="D439" s="132" t="str">
        <f t="shared" si="30"/>
        <v>1/2" Round Mini CIM 28</v>
      </c>
      <c r="E439" s="132">
        <v>3</v>
      </c>
      <c r="I439" s="132">
        <v>0</v>
      </c>
    </row>
    <row r="440" spans="1:9" ht="14.25" customHeight="1" x14ac:dyDescent="0.25">
      <c r="A440" s="132" t="s">
        <v>240</v>
      </c>
      <c r="B440" s="132" t="s">
        <v>7</v>
      </c>
      <c r="C440" s="132">
        <v>30</v>
      </c>
      <c r="D440" s="132" t="str">
        <f t="shared" si="30"/>
        <v>1/2" Round Mini CIM 30</v>
      </c>
      <c r="E440" s="132">
        <v>1</v>
      </c>
      <c r="I440" s="132">
        <v>0</v>
      </c>
    </row>
    <row r="441" spans="1:9" ht="14.25" customHeight="1" x14ac:dyDescent="0.25">
      <c r="A441" s="132" t="s">
        <v>240</v>
      </c>
      <c r="B441" s="132" t="s">
        <v>7</v>
      </c>
      <c r="C441" s="132">
        <v>35</v>
      </c>
      <c r="D441" s="132" t="str">
        <f t="shared" si="30"/>
        <v>1/2" Round Mini CIM 35</v>
      </c>
      <c r="E441" s="132">
        <v>1</v>
      </c>
      <c r="I441" s="132">
        <v>0</v>
      </c>
    </row>
    <row r="442" spans="1:9" ht="14.25" customHeight="1" x14ac:dyDescent="0.25">
      <c r="A442" s="132" t="s">
        <v>240</v>
      </c>
      <c r="B442" s="132" t="s">
        <v>7</v>
      </c>
      <c r="C442" s="132">
        <v>36</v>
      </c>
      <c r="D442" s="132" t="str">
        <f t="shared" si="30"/>
        <v>1/2" Round Mini CIM 36</v>
      </c>
      <c r="E442" s="132">
        <v>1</v>
      </c>
      <c r="I442" s="132">
        <v>0</v>
      </c>
    </row>
    <row r="443" spans="1:9" ht="14.25" customHeight="1" x14ac:dyDescent="0.25">
      <c r="A443" s="132" t="s">
        <v>240</v>
      </c>
      <c r="B443" s="132" t="s">
        <v>7</v>
      </c>
      <c r="C443" s="132">
        <v>40</v>
      </c>
      <c r="D443" s="132" t="str">
        <f t="shared" si="30"/>
        <v>1/2" Round Mini CIM 40</v>
      </c>
      <c r="E443" s="132">
        <v>1</v>
      </c>
      <c r="I443" s="132">
        <v>0</v>
      </c>
    </row>
    <row r="444" spans="1:9" ht="14.25" customHeight="1" x14ac:dyDescent="0.25">
      <c r="A444" s="132" t="s">
        <v>240</v>
      </c>
      <c r="B444" s="132" t="s">
        <v>7</v>
      </c>
      <c r="C444" s="132">
        <v>45</v>
      </c>
      <c r="D444" s="132" t="str">
        <f t="shared" si="30"/>
        <v>1/2" Round Mini CIM 45</v>
      </c>
      <c r="E444" s="132">
        <v>1</v>
      </c>
      <c r="I444" s="132">
        <v>0</v>
      </c>
    </row>
    <row r="445" spans="1:9" ht="14.25" customHeight="1" x14ac:dyDescent="0.25">
      <c r="A445" s="132" t="s">
        <v>240</v>
      </c>
      <c r="B445" s="132" t="s">
        <v>7</v>
      </c>
      <c r="C445" s="132">
        <v>49</v>
      </c>
      <c r="D445" s="132" t="str">
        <f t="shared" si="30"/>
        <v>1/2" Round Mini CIM 49</v>
      </c>
      <c r="E445" s="132">
        <v>1</v>
      </c>
      <c r="I445" s="132">
        <v>0</v>
      </c>
    </row>
    <row r="446" spans="1:9" ht="14.25" customHeight="1" x14ac:dyDescent="0.25">
      <c r="A446" s="132" t="s">
        <v>240</v>
      </c>
      <c r="B446" s="132" t="s">
        <v>7</v>
      </c>
      <c r="C446" s="132">
        <v>50</v>
      </c>
      <c r="D446" s="132" t="str">
        <f t="shared" si="30"/>
        <v>1/2" Round Mini CIM 50</v>
      </c>
      <c r="E446" s="132">
        <v>1</v>
      </c>
      <c r="I446" s="132">
        <v>0</v>
      </c>
    </row>
    <row r="447" spans="1:9" ht="14.25" customHeight="1" x14ac:dyDescent="0.25">
      <c r="A447" s="132" t="s">
        <v>240</v>
      </c>
      <c r="B447" s="132" t="s">
        <v>7</v>
      </c>
      <c r="C447" s="132">
        <v>63</v>
      </c>
      <c r="D447" s="132" t="str">
        <f t="shared" si="30"/>
        <v>1/2" Round Mini CIM 63</v>
      </c>
      <c r="E447" s="132">
        <v>1</v>
      </c>
      <c r="I447" s="132">
        <v>0</v>
      </c>
    </row>
    <row r="448" spans="1:9" ht="14.25" customHeight="1" x14ac:dyDescent="0.25">
      <c r="A448" s="132" t="s">
        <v>240</v>
      </c>
      <c r="B448" s="132" t="s">
        <v>7</v>
      </c>
      <c r="C448" s="132">
        <v>70</v>
      </c>
      <c r="D448" s="132" t="str">
        <f t="shared" si="30"/>
        <v>1/2" Round Mini CIM 70</v>
      </c>
      <c r="E448" s="132">
        <v>0</v>
      </c>
      <c r="I448" s="132">
        <v>0</v>
      </c>
    </row>
    <row r="449" spans="1:9" ht="14.25" customHeight="1" x14ac:dyDescent="0.25">
      <c r="A449" s="132" t="s">
        <v>240</v>
      </c>
      <c r="B449" s="132" t="s">
        <v>7</v>
      </c>
      <c r="C449" s="132">
        <v>81</v>
      </c>
      <c r="D449" s="132" t="str">
        <f t="shared" si="30"/>
        <v>1/2" Round Mini CIM 81</v>
      </c>
      <c r="E449" s="132">
        <v>0</v>
      </c>
      <c r="I449" s="132">
        <v>0</v>
      </c>
    </row>
    <row r="450" spans="1:9" ht="14.25" customHeight="1" x14ac:dyDescent="0.25">
      <c r="A450" s="132" t="s">
        <v>240</v>
      </c>
      <c r="B450" s="132" t="s">
        <v>7</v>
      </c>
      <c r="C450" s="132">
        <v>90</v>
      </c>
      <c r="D450" s="132" t="str">
        <f t="shared" si="30"/>
        <v>1/2" Round Mini CIM 90</v>
      </c>
      <c r="E450" s="132">
        <v>0</v>
      </c>
      <c r="I450" s="132">
        <v>0</v>
      </c>
    </row>
    <row r="451" spans="1:9" ht="14.25" customHeight="1" x14ac:dyDescent="0.25">
      <c r="A451" s="132" t="s">
        <v>240</v>
      </c>
      <c r="B451" s="132" t="s">
        <v>7</v>
      </c>
      <c r="C451" s="132">
        <v>100</v>
      </c>
      <c r="D451" s="132" t="str">
        <f t="shared" si="30"/>
        <v>1/2" Round Mini CIM 100</v>
      </c>
      <c r="E451" s="132">
        <v>0</v>
      </c>
      <c r="I451" s="132">
        <v>0</v>
      </c>
    </row>
    <row r="452" spans="1:9" ht="14.25" customHeight="1" x14ac:dyDescent="0.25">
      <c r="A452" s="132" t="s">
        <v>240</v>
      </c>
      <c r="B452" s="132" t="s">
        <v>6</v>
      </c>
      <c r="C452" s="132">
        <v>-3</v>
      </c>
      <c r="D452" s="132" t="str">
        <f t="shared" ref="D452:D457" si="31">A452&amp;" "&amp;B452&amp;" "&amp;C452</f>
        <v>1/2" Round CIM -3</v>
      </c>
      <c r="E452" s="132">
        <v>1</v>
      </c>
      <c r="I452" s="132">
        <v>0</v>
      </c>
    </row>
    <row r="453" spans="1:9" ht="14.25" customHeight="1" x14ac:dyDescent="0.25">
      <c r="A453" s="132" t="s">
        <v>240</v>
      </c>
      <c r="B453" s="132" t="s">
        <v>6</v>
      </c>
      <c r="C453" s="132">
        <v>-4</v>
      </c>
      <c r="D453" s="132" t="str">
        <f t="shared" si="31"/>
        <v>1/2" Round CIM -4</v>
      </c>
      <c r="E453" s="132">
        <v>1</v>
      </c>
      <c r="I453" s="132">
        <v>0</v>
      </c>
    </row>
    <row r="454" spans="1:9" ht="14.25" customHeight="1" x14ac:dyDescent="0.25">
      <c r="A454" s="132" t="s">
        <v>240</v>
      </c>
      <c r="B454" s="132" t="s">
        <v>6</v>
      </c>
      <c r="C454" s="132">
        <v>-5</v>
      </c>
      <c r="D454" s="132" t="str">
        <f t="shared" si="31"/>
        <v>1/2" Round CIM -5</v>
      </c>
      <c r="E454" s="132">
        <v>1</v>
      </c>
      <c r="I454" s="132">
        <v>0</v>
      </c>
    </row>
    <row r="455" spans="1:9" ht="14.25" customHeight="1" x14ac:dyDescent="0.25">
      <c r="A455" s="132" t="s">
        <v>240</v>
      </c>
      <c r="B455" s="132" t="s">
        <v>6</v>
      </c>
      <c r="C455" s="132">
        <v>-7</v>
      </c>
      <c r="D455" s="132" t="str">
        <f t="shared" si="31"/>
        <v>1/2" Round CIM -7</v>
      </c>
      <c r="E455" s="132">
        <v>1</v>
      </c>
      <c r="I455" s="132">
        <v>0</v>
      </c>
    </row>
    <row r="456" spans="1:9" ht="14.25" customHeight="1" x14ac:dyDescent="0.25">
      <c r="A456" s="132" t="s">
        <v>240</v>
      </c>
      <c r="B456" s="132" t="s">
        <v>6</v>
      </c>
      <c r="C456" s="132">
        <v>-9</v>
      </c>
      <c r="D456" s="132" t="str">
        <f t="shared" si="31"/>
        <v>1/2" Round CIM -9</v>
      </c>
      <c r="E456" s="132">
        <v>1</v>
      </c>
      <c r="I456" s="132">
        <v>0</v>
      </c>
    </row>
    <row r="457" spans="1:9" ht="14.25" customHeight="1" x14ac:dyDescent="0.25">
      <c r="A457" s="132" t="s">
        <v>240</v>
      </c>
      <c r="B457" s="132" t="s">
        <v>6</v>
      </c>
      <c r="C457" s="132">
        <v>-10</v>
      </c>
      <c r="D457" s="132" t="str">
        <f t="shared" si="31"/>
        <v>1/2" Round CIM -10</v>
      </c>
      <c r="E457" s="132">
        <v>1</v>
      </c>
      <c r="I457" s="132">
        <v>0</v>
      </c>
    </row>
    <row r="458" spans="1:9" ht="14.25" customHeight="1" x14ac:dyDescent="0.25">
      <c r="A458" s="132" t="s">
        <v>240</v>
      </c>
      <c r="B458" s="132" t="s">
        <v>6</v>
      </c>
      <c r="C458" s="132">
        <v>9</v>
      </c>
      <c r="D458" s="132" t="str">
        <f t="shared" ref="D458:D478" si="32">A458&amp;" "&amp;B458&amp;" "&amp;C458</f>
        <v>1/2" Round CIM 9</v>
      </c>
      <c r="E458" s="132">
        <v>5</v>
      </c>
      <c r="I458" s="132">
        <v>0</v>
      </c>
    </row>
    <row r="459" spans="1:9" ht="14.25" customHeight="1" x14ac:dyDescent="0.25">
      <c r="A459" s="132" t="s">
        <v>240</v>
      </c>
      <c r="B459" s="132" t="s">
        <v>6</v>
      </c>
      <c r="C459" s="132">
        <v>12</v>
      </c>
      <c r="D459" s="132" t="str">
        <f t="shared" si="32"/>
        <v>1/2" Round CIM 12</v>
      </c>
      <c r="E459" s="132">
        <v>4</v>
      </c>
      <c r="I459" s="132">
        <v>0</v>
      </c>
    </row>
    <row r="460" spans="1:9" ht="14.25" customHeight="1" x14ac:dyDescent="0.25">
      <c r="A460" s="132" t="s">
        <v>240</v>
      </c>
      <c r="B460" s="132" t="s">
        <v>6</v>
      </c>
      <c r="C460" s="132">
        <v>15</v>
      </c>
      <c r="D460" s="132" t="str">
        <f t="shared" si="32"/>
        <v>1/2" Round CIM 15</v>
      </c>
      <c r="E460" s="132">
        <v>3</v>
      </c>
      <c r="I460" s="132">
        <v>0</v>
      </c>
    </row>
    <row r="461" spans="1:9" ht="14.25" customHeight="1" x14ac:dyDescent="0.25">
      <c r="A461" s="132" t="s">
        <v>240</v>
      </c>
      <c r="B461" s="132" t="s">
        <v>6</v>
      </c>
      <c r="C461" s="132">
        <v>16</v>
      </c>
      <c r="D461" s="132" t="str">
        <f t="shared" si="32"/>
        <v>1/2" Round CIM 16</v>
      </c>
      <c r="E461" s="132">
        <v>3</v>
      </c>
      <c r="I461" s="132">
        <v>0</v>
      </c>
    </row>
    <row r="462" spans="1:9" ht="14.25" customHeight="1" x14ac:dyDescent="0.25">
      <c r="A462" s="132" t="s">
        <v>240</v>
      </c>
      <c r="B462" s="132" t="s">
        <v>6</v>
      </c>
      <c r="C462" s="132">
        <v>20</v>
      </c>
      <c r="D462" s="132" t="str">
        <f t="shared" si="32"/>
        <v>1/2" Round CIM 20</v>
      </c>
      <c r="E462" s="132">
        <v>1</v>
      </c>
      <c r="I462" s="132">
        <v>0</v>
      </c>
    </row>
    <row r="463" spans="1:9" ht="14.25" customHeight="1" x14ac:dyDescent="0.25">
      <c r="A463" s="132" t="s">
        <v>240</v>
      </c>
      <c r="B463" s="132" t="s">
        <v>6</v>
      </c>
      <c r="C463" s="132">
        <v>21</v>
      </c>
      <c r="D463" s="132" t="str">
        <f t="shared" si="32"/>
        <v>1/2" Round CIM 21</v>
      </c>
      <c r="E463" s="132">
        <v>1</v>
      </c>
      <c r="I463" s="132">
        <v>0</v>
      </c>
    </row>
    <row r="464" spans="1:9" ht="14.25" customHeight="1" x14ac:dyDescent="0.25">
      <c r="A464" s="132" t="s">
        <v>240</v>
      </c>
      <c r="B464" s="132" t="s">
        <v>6</v>
      </c>
      <c r="C464" s="132">
        <v>25</v>
      </c>
      <c r="D464" s="132" t="str">
        <f t="shared" si="32"/>
        <v>1/2" Round CIM 25</v>
      </c>
      <c r="E464" s="132">
        <v>1</v>
      </c>
      <c r="I464" s="132">
        <v>0</v>
      </c>
    </row>
    <row r="465" spans="1:9" ht="14.25" customHeight="1" x14ac:dyDescent="0.25">
      <c r="A465" s="132" t="s">
        <v>240</v>
      </c>
      <c r="B465" s="132" t="s">
        <v>6</v>
      </c>
      <c r="C465" s="132">
        <v>27</v>
      </c>
      <c r="D465" s="132" t="str">
        <f t="shared" si="32"/>
        <v>1/2" Round CIM 27</v>
      </c>
      <c r="E465" s="132">
        <v>1</v>
      </c>
      <c r="I465" s="132">
        <v>0</v>
      </c>
    </row>
    <row r="466" spans="1:9" ht="14.25" customHeight="1" x14ac:dyDescent="0.25">
      <c r="A466" s="132" t="s">
        <v>240</v>
      </c>
      <c r="B466" s="132" t="s">
        <v>6</v>
      </c>
      <c r="C466" s="132">
        <v>28</v>
      </c>
      <c r="D466" s="132" t="str">
        <f t="shared" si="32"/>
        <v>1/2" Round CIM 28</v>
      </c>
      <c r="E466" s="132">
        <v>1</v>
      </c>
      <c r="I466" s="132">
        <v>0</v>
      </c>
    </row>
    <row r="467" spans="1:9" ht="14.25" customHeight="1" x14ac:dyDescent="0.25">
      <c r="A467" s="132" t="s">
        <v>240</v>
      </c>
      <c r="B467" s="132" t="s">
        <v>6</v>
      </c>
      <c r="C467" s="132">
        <v>30</v>
      </c>
      <c r="D467" s="132" t="str">
        <f t="shared" si="32"/>
        <v>1/2" Round CIM 30</v>
      </c>
      <c r="E467" s="132">
        <v>1</v>
      </c>
      <c r="I467" s="132">
        <v>0</v>
      </c>
    </row>
    <row r="468" spans="1:9" ht="14.25" customHeight="1" x14ac:dyDescent="0.25">
      <c r="A468" s="132" t="s">
        <v>240</v>
      </c>
      <c r="B468" s="132" t="s">
        <v>6</v>
      </c>
      <c r="C468" s="132">
        <v>35</v>
      </c>
      <c r="D468" s="132" t="str">
        <f t="shared" si="32"/>
        <v>1/2" Round CIM 35</v>
      </c>
      <c r="E468" s="132">
        <v>1</v>
      </c>
      <c r="I468" s="132">
        <v>0</v>
      </c>
    </row>
    <row r="469" spans="1:9" ht="14.25" customHeight="1" x14ac:dyDescent="0.25">
      <c r="A469" s="132" t="s">
        <v>240</v>
      </c>
      <c r="B469" s="132" t="s">
        <v>6</v>
      </c>
      <c r="C469" s="132">
        <v>36</v>
      </c>
      <c r="D469" s="132" t="str">
        <f t="shared" si="32"/>
        <v>1/2" Round CIM 36</v>
      </c>
      <c r="E469" s="132">
        <v>1</v>
      </c>
      <c r="I469" s="132">
        <v>0</v>
      </c>
    </row>
    <row r="470" spans="1:9" ht="14.25" customHeight="1" x14ac:dyDescent="0.25">
      <c r="A470" s="132" t="s">
        <v>240</v>
      </c>
      <c r="B470" s="132" t="s">
        <v>6</v>
      </c>
      <c r="C470" s="132">
        <v>40</v>
      </c>
      <c r="D470" s="132" t="str">
        <f t="shared" si="32"/>
        <v>1/2" Round CIM 40</v>
      </c>
      <c r="E470" s="132">
        <v>1</v>
      </c>
      <c r="I470" s="132">
        <v>0</v>
      </c>
    </row>
    <row r="471" spans="1:9" ht="14.25" customHeight="1" x14ac:dyDescent="0.25">
      <c r="A471" s="132" t="s">
        <v>240</v>
      </c>
      <c r="B471" s="132" t="s">
        <v>6</v>
      </c>
      <c r="C471" s="132">
        <v>45</v>
      </c>
      <c r="D471" s="132" t="str">
        <f t="shared" si="32"/>
        <v>1/2" Round CIM 45</v>
      </c>
      <c r="E471" s="132">
        <v>1</v>
      </c>
      <c r="I471" s="132">
        <v>0</v>
      </c>
    </row>
    <row r="472" spans="1:9" ht="14.25" customHeight="1" x14ac:dyDescent="0.25">
      <c r="A472" s="132" t="s">
        <v>240</v>
      </c>
      <c r="B472" s="132" t="s">
        <v>6</v>
      </c>
      <c r="C472" s="132">
        <v>49</v>
      </c>
      <c r="D472" s="132" t="str">
        <f t="shared" si="32"/>
        <v>1/2" Round CIM 49</v>
      </c>
      <c r="E472" s="132">
        <v>0</v>
      </c>
      <c r="I472" s="132">
        <v>0</v>
      </c>
    </row>
    <row r="473" spans="1:9" ht="14.25" customHeight="1" x14ac:dyDescent="0.25">
      <c r="A473" s="132" t="s">
        <v>240</v>
      </c>
      <c r="B473" s="132" t="s">
        <v>6</v>
      </c>
      <c r="C473" s="132">
        <v>50</v>
      </c>
      <c r="D473" s="132" t="str">
        <f t="shared" si="32"/>
        <v>1/2" Round CIM 50</v>
      </c>
      <c r="E473" s="132">
        <v>1</v>
      </c>
      <c r="I473" s="132">
        <v>0</v>
      </c>
    </row>
    <row r="474" spans="1:9" ht="14.25" customHeight="1" x14ac:dyDescent="0.25">
      <c r="A474" s="132" t="s">
        <v>240</v>
      </c>
      <c r="B474" s="132" t="s">
        <v>6</v>
      </c>
      <c r="C474" s="132">
        <v>63</v>
      </c>
      <c r="D474" s="132" t="str">
        <f t="shared" si="32"/>
        <v>1/2" Round CIM 63</v>
      </c>
      <c r="E474" s="132">
        <v>0</v>
      </c>
      <c r="I474" s="132">
        <v>0</v>
      </c>
    </row>
    <row r="475" spans="1:9" ht="14.25" customHeight="1" x14ac:dyDescent="0.25">
      <c r="A475" s="132" t="s">
        <v>240</v>
      </c>
      <c r="B475" s="132" t="s">
        <v>6</v>
      </c>
      <c r="C475" s="132">
        <v>70</v>
      </c>
      <c r="D475" s="132" t="str">
        <f t="shared" si="32"/>
        <v>1/2" Round CIM 70</v>
      </c>
      <c r="E475" s="132">
        <v>0</v>
      </c>
      <c r="I475" s="132">
        <v>0</v>
      </c>
    </row>
    <row r="476" spans="1:9" ht="14.25" customHeight="1" x14ac:dyDescent="0.25">
      <c r="A476" s="132" t="s">
        <v>240</v>
      </c>
      <c r="B476" s="132" t="s">
        <v>6</v>
      </c>
      <c r="C476" s="132">
        <v>81</v>
      </c>
      <c r="D476" s="132" t="str">
        <f t="shared" si="32"/>
        <v>1/2" Round CIM 81</v>
      </c>
      <c r="E476" s="132">
        <v>0</v>
      </c>
      <c r="I476" s="132">
        <v>0</v>
      </c>
    </row>
    <row r="477" spans="1:9" ht="14.25" customHeight="1" x14ac:dyDescent="0.25">
      <c r="A477" s="132" t="s">
        <v>240</v>
      </c>
      <c r="B477" s="132" t="s">
        <v>6</v>
      </c>
      <c r="C477" s="132">
        <v>90</v>
      </c>
      <c r="D477" s="132" t="str">
        <f t="shared" si="32"/>
        <v>1/2" Round CIM 90</v>
      </c>
      <c r="E477" s="132">
        <v>0</v>
      </c>
      <c r="I477" s="132">
        <v>0</v>
      </c>
    </row>
    <row r="478" spans="1:9" ht="14.25" customHeight="1" x14ac:dyDescent="0.25">
      <c r="A478" s="132" t="s">
        <v>240</v>
      </c>
      <c r="B478" s="132" t="s">
        <v>6</v>
      </c>
      <c r="C478" s="132">
        <v>100</v>
      </c>
      <c r="D478" s="132" t="str">
        <f t="shared" si="32"/>
        <v>1/2" Round CIM 100</v>
      </c>
      <c r="E478" s="132">
        <v>0</v>
      </c>
      <c r="I478" s="132">
        <v>0</v>
      </c>
    </row>
    <row r="479" spans="1:9" ht="14.25" customHeight="1" x14ac:dyDescent="0.25">
      <c r="A479" s="132" t="s">
        <v>240</v>
      </c>
      <c r="B479" s="132" t="s">
        <v>9</v>
      </c>
      <c r="C479" s="132">
        <v>-3</v>
      </c>
      <c r="D479" s="132" t="str">
        <f t="shared" ref="D479:D484" si="33">A479&amp;" "&amp;B479&amp;" "&amp;C479</f>
        <v>1/2" Round NEO -3</v>
      </c>
      <c r="E479" s="132">
        <v>1</v>
      </c>
      <c r="I479" s="132">
        <v>0</v>
      </c>
    </row>
    <row r="480" spans="1:9" ht="14.25" customHeight="1" x14ac:dyDescent="0.25">
      <c r="A480" s="132" t="s">
        <v>240</v>
      </c>
      <c r="B480" s="132" t="s">
        <v>9</v>
      </c>
      <c r="C480" s="132">
        <v>-4</v>
      </c>
      <c r="D480" s="132" t="str">
        <f t="shared" si="33"/>
        <v>1/2" Round NEO -4</v>
      </c>
      <c r="E480" s="132">
        <v>1</v>
      </c>
      <c r="I480" s="132">
        <v>0</v>
      </c>
    </row>
    <row r="481" spans="1:9" ht="14.25" customHeight="1" x14ac:dyDescent="0.25">
      <c r="A481" s="132" t="s">
        <v>240</v>
      </c>
      <c r="B481" s="132" t="s">
        <v>9</v>
      </c>
      <c r="C481" s="132">
        <v>-5</v>
      </c>
      <c r="D481" s="132" t="str">
        <f t="shared" si="33"/>
        <v>1/2" Round NEO -5</v>
      </c>
      <c r="E481" s="132">
        <v>1</v>
      </c>
      <c r="I481" s="132">
        <v>0</v>
      </c>
    </row>
    <row r="482" spans="1:9" ht="14.25" customHeight="1" x14ac:dyDescent="0.25">
      <c r="A482" s="132" t="s">
        <v>240</v>
      </c>
      <c r="B482" s="132" t="s">
        <v>9</v>
      </c>
      <c r="C482" s="132">
        <v>-7</v>
      </c>
      <c r="D482" s="132" t="str">
        <f t="shared" si="33"/>
        <v>1/2" Round NEO -7</v>
      </c>
      <c r="E482" s="132">
        <v>1</v>
      </c>
      <c r="I482" s="132">
        <v>0</v>
      </c>
    </row>
    <row r="483" spans="1:9" ht="14.25" customHeight="1" x14ac:dyDescent="0.25">
      <c r="A483" s="132" t="s">
        <v>240</v>
      </c>
      <c r="B483" s="132" t="s">
        <v>9</v>
      </c>
      <c r="C483" s="132">
        <v>-9</v>
      </c>
      <c r="D483" s="132" t="str">
        <f t="shared" si="33"/>
        <v>1/2" Round NEO -9</v>
      </c>
      <c r="E483" s="132">
        <v>1</v>
      </c>
      <c r="I483" s="132">
        <v>0</v>
      </c>
    </row>
    <row r="484" spans="1:9" ht="14.25" customHeight="1" x14ac:dyDescent="0.25">
      <c r="A484" s="132" t="s">
        <v>240</v>
      </c>
      <c r="B484" s="132" t="s">
        <v>9</v>
      </c>
      <c r="C484" s="132">
        <v>-10</v>
      </c>
      <c r="D484" s="132" t="str">
        <f t="shared" si="33"/>
        <v>1/2" Round NEO -10</v>
      </c>
      <c r="E484" s="132">
        <v>1</v>
      </c>
      <c r="I484" s="132">
        <v>0</v>
      </c>
    </row>
    <row r="485" spans="1:9" ht="14.25" customHeight="1" x14ac:dyDescent="0.25">
      <c r="A485" s="132" t="s">
        <v>240</v>
      </c>
      <c r="B485" s="132" t="s">
        <v>9</v>
      </c>
      <c r="C485" s="132">
        <v>9</v>
      </c>
      <c r="D485" s="132" t="str">
        <f t="shared" ref="D485:D505" si="34">A485&amp;" "&amp;B485&amp;" "&amp;C485</f>
        <v>1/2" Round NEO 9</v>
      </c>
      <c r="E485" s="132">
        <v>4</v>
      </c>
      <c r="I485" s="132">
        <v>0</v>
      </c>
    </row>
    <row r="486" spans="1:9" ht="14.25" customHeight="1" x14ac:dyDescent="0.25">
      <c r="A486" s="132" t="s">
        <v>240</v>
      </c>
      <c r="B486" s="132" t="s">
        <v>9</v>
      </c>
      <c r="C486" s="132">
        <v>12</v>
      </c>
      <c r="D486" s="132" t="str">
        <f t="shared" si="34"/>
        <v>1/2" Round NEO 12</v>
      </c>
      <c r="E486" s="132">
        <v>3</v>
      </c>
      <c r="I486" s="132">
        <v>0</v>
      </c>
    </row>
    <row r="487" spans="1:9" ht="14.25" customHeight="1" x14ac:dyDescent="0.25">
      <c r="A487" s="132" t="s">
        <v>240</v>
      </c>
      <c r="B487" s="132" t="s">
        <v>9</v>
      </c>
      <c r="C487" s="132">
        <v>15</v>
      </c>
      <c r="D487" s="132" t="str">
        <f t="shared" si="34"/>
        <v>1/2" Round NEO 15</v>
      </c>
      <c r="E487" s="132">
        <v>1</v>
      </c>
      <c r="I487" s="132">
        <v>0</v>
      </c>
    </row>
    <row r="488" spans="1:9" ht="14.25" customHeight="1" x14ac:dyDescent="0.25">
      <c r="A488" s="132" t="s">
        <v>240</v>
      </c>
      <c r="B488" s="132" t="s">
        <v>9</v>
      </c>
      <c r="C488" s="132">
        <v>16</v>
      </c>
      <c r="D488" s="132" t="str">
        <f t="shared" si="34"/>
        <v>1/2" Round NEO 16</v>
      </c>
      <c r="E488" s="132">
        <v>1</v>
      </c>
      <c r="I488" s="132">
        <v>0</v>
      </c>
    </row>
    <row r="489" spans="1:9" ht="14.25" customHeight="1" x14ac:dyDescent="0.25">
      <c r="A489" s="132" t="s">
        <v>240</v>
      </c>
      <c r="B489" s="132" t="s">
        <v>9</v>
      </c>
      <c r="C489" s="132">
        <v>20</v>
      </c>
      <c r="D489" s="132" t="str">
        <f t="shared" si="34"/>
        <v>1/2" Round NEO 20</v>
      </c>
      <c r="E489" s="132">
        <v>1</v>
      </c>
      <c r="I489" s="132">
        <v>0</v>
      </c>
    </row>
    <row r="490" spans="1:9" ht="14.25" customHeight="1" x14ac:dyDescent="0.25">
      <c r="A490" s="132" t="s">
        <v>240</v>
      </c>
      <c r="B490" s="132" t="s">
        <v>9</v>
      </c>
      <c r="C490" s="132">
        <v>21</v>
      </c>
      <c r="D490" s="132" t="str">
        <f t="shared" si="34"/>
        <v>1/2" Round NEO 21</v>
      </c>
      <c r="E490" s="132">
        <v>1</v>
      </c>
      <c r="I490" s="132">
        <v>0</v>
      </c>
    </row>
    <row r="491" spans="1:9" ht="14.25" customHeight="1" x14ac:dyDescent="0.25">
      <c r="A491" s="132" t="s">
        <v>240</v>
      </c>
      <c r="B491" s="132" t="s">
        <v>9</v>
      </c>
      <c r="C491" s="132">
        <v>25</v>
      </c>
      <c r="D491" s="132" t="str">
        <f t="shared" si="34"/>
        <v>1/2" Round NEO 25</v>
      </c>
      <c r="E491" s="132">
        <v>1</v>
      </c>
      <c r="I491" s="132">
        <v>0</v>
      </c>
    </row>
    <row r="492" spans="1:9" ht="14.25" customHeight="1" x14ac:dyDescent="0.25">
      <c r="A492" s="132" t="s">
        <v>240</v>
      </c>
      <c r="B492" s="132" t="s">
        <v>9</v>
      </c>
      <c r="C492" s="132">
        <v>27</v>
      </c>
      <c r="D492" s="132" t="str">
        <f t="shared" si="34"/>
        <v>1/2" Round NEO 27</v>
      </c>
      <c r="E492" s="132">
        <v>1</v>
      </c>
      <c r="I492" s="132">
        <v>0</v>
      </c>
    </row>
    <row r="493" spans="1:9" ht="14.25" customHeight="1" x14ac:dyDescent="0.25">
      <c r="A493" s="132" t="s">
        <v>240</v>
      </c>
      <c r="B493" s="132" t="s">
        <v>9</v>
      </c>
      <c r="C493" s="132">
        <v>28</v>
      </c>
      <c r="D493" s="132" t="str">
        <f t="shared" si="34"/>
        <v>1/2" Round NEO 28</v>
      </c>
      <c r="E493" s="132">
        <v>1</v>
      </c>
      <c r="I493" s="132">
        <v>0</v>
      </c>
    </row>
    <row r="494" spans="1:9" ht="14.25" customHeight="1" x14ac:dyDescent="0.25">
      <c r="A494" s="132" t="s">
        <v>240</v>
      </c>
      <c r="B494" s="132" t="s">
        <v>9</v>
      </c>
      <c r="C494" s="132">
        <v>30</v>
      </c>
      <c r="D494" s="132" t="str">
        <f t="shared" si="34"/>
        <v>1/2" Round NEO 30</v>
      </c>
      <c r="E494" s="132">
        <v>1</v>
      </c>
      <c r="I494" s="132">
        <v>0</v>
      </c>
    </row>
    <row r="495" spans="1:9" ht="14.25" customHeight="1" x14ac:dyDescent="0.25">
      <c r="A495" s="132" t="s">
        <v>240</v>
      </c>
      <c r="B495" s="132" t="s">
        <v>9</v>
      </c>
      <c r="C495" s="132">
        <v>35</v>
      </c>
      <c r="D495" s="132" t="str">
        <f t="shared" si="34"/>
        <v>1/2" Round NEO 35</v>
      </c>
      <c r="E495" s="132">
        <v>1</v>
      </c>
      <c r="I495" s="132">
        <v>0</v>
      </c>
    </row>
    <row r="496" spans="1:9" ht="14.25" customHeight="1" x14ac:dyDescent="0.25">
      <c r="A496" s="132" t="s">
        <v>240</v>
      </c>
      <c r="B496" s="132" t="s">
        <v>9</v>
      </c>
      <c r="C496" s="132">
        <v>36</v>
      </c>
      <c r="D496" s="132" t="str">
        <f t="shared" si="34"/>
        <v>1/2" Round NEO 36</v>
      </c>
      <c r="E496" s="132">
        <v>1</v>
      </c>
      <c r="I496" s="132">
        <v>0</v>
      </c>
    </row>
    <row r="497" spans="1:9" ht="14.25" customHeight="1" x14ac:dyDescent="0.25">
      <c r="A497" s="132" t="s">
        <v>240</v>
      </c>
      <c r="B497" s="132" t="s">
        <v>9</v>
      </c>
      <c r="C497" s="132">
        <v>40</v>
      </c>
      <c r="D497" s="132" t="str">
        <f t="shared" si="34"/>
        <v>1/2" Round NEO 40</v>
      </c>
      <c r="E497" s="132">
        <v>0</v>
      </c>
      <c r="I497" s="132">
        <v>0</v>
      </c>
    </row>
    <row r="498" spans="1:9" ht="14.25" customHeight="1" x14ac:dyDescent="0.25">
      <c r="A498" s="132" t="s">
        <v>240</v>
      </c>
      <c r="B498" s="132" t="s">
        <v>9</v>
      </c>
      <c r="C498" s="132">
        <v>45</v>
      </c>
      <c r="D498" s="132" t="str">
        <f t="shared" si="34"/>
        <v>1/2" Round NEO 45</v>
      </c>
      <c r="E498" s="132">
        <v>0</v>
      </c>
      <c r="I498" s="132">
        <v>0</v>
      </c>
    </row>
    <row r="499" spans="1:9" ht="14.25" customHeight="1" x14ac:dyDescent="0.25">
      <c r="A499" s="132" t="s">
        <v>240</v>
      </c>
      <c r="B499" s="132" t="s">
        <v>9</v>
      </c>
      <c r="C499" s="132">
        <v>49</v>
      </c>
      <c r="D499" s="132" t="str">
        <f t="shared" si="34"/>
        <v>1/2" Round NEO 49</v>
      </c>
      <c r="E499" s="132">
        <v>0</v>
      </c>
      <c r="I499" s="132">
        <v>0</v>
      </c>
    </row>
    <row r="500" spans="1:9" ht="14.25" customHeight="1" x14ac:dyDescent="0.25">
      <c r="A500" s="132" t="s">
        <v>240</v>
      </c>
      <c r="B500" s="132" t="s">
        <v>9</v>
      </c>
      <c r="C500" s="132">
        <v>50</v>
      </c>
      <c r="D500" s="132" t="str">
        <f t="shared" si="34"/>
        <v>1/2" Round NEO 50</v>
      </c>
      <c r="E500" s="132">
        <v>0</v>
      </c>
      <c r="I500" s="132">
        <v>0</v>
      </c>
    </row>
    <row r="501" spans="1:9" ht="14.25" customHeight="1" x14ac:dyDescent="0.25">
      <c r="A501" s="132" t="s">
        <v>240</v>
      </c>
      <c r="B501" s="132" t="s">
        <v>9</v>
      </c>
      <c r="C501" s="132">
        <v>63</v>
      </c>
      <c r="D501" s="132" t="str">
        <f t="shared" si="34"/>
        <v>1/2" Round NEO 63</v>
      </c>
      <c r="E501" s="132">
        <v>0</v>
      </c>
      <c r="I501" s="132">
        <v>0</v>
      </c>
    </row>
    <row r="502" spans="1:9" ht="14.25" customHeight="1" x14ac:dyDescent="0.25">
      <c r="A502" s="132" t="s">
        <v>240</v>
      </c>
      <c r="B502" s="132" t="s">
        <v>9</v>
      </c>
      <c r="C502" s="132">
        <v>70</v>
      </c>
      <c r="D502" s="132" t="str">
        <f t="shared" si="34"/>
        <v>1/2" Round NEO 70</v>
      </c>
      <c r="E502" s="132">
        <v>0</v>
      </c>
      <c r="I502" s="132">
        <v>0</v>
      </c>
    </row>
    <row r="503" spans="1:9" ht="14.25" customHeight="1" x14ac:dyDescent="0.25">
      <c r="A503" s="132" t="s">
        <v>240</v>
      </c>
      <c r="B503" s="132" t="s">
        <v>9</v>
      </c>
      <c r="C503" s="132">
        <v>81</v>
      </c>
      <c r="D503" s="132" t="str">
        <f t="shared" si="34"/>
        <v>1/2" Round NEO 81</v>
      </c>
      <c r="E503" s="132">
        <v>0</v>
      </c>
      <c r="I503" s="132">
        <v>0</v>
      </c>
    </row>
    <row r="504" spans="1:9" ht="14.25" customHeight="1" x14ac:dyDescent="0.25">
      <c r="A504" s="132" t="s">
        <v>240</v>
      </c>
      <c r="B504" s="132" t="s">
        <v>9</v>
      </c>
      <c r="C504" s="132">
        <v>90</v>
      </c>
      <c r="D504" s="132" t="str">
        <f t="shared" si="34"/>
        <v>1/2" Round NEO 90</v>
      </c>
      <c r="E504" s="132">
        <v>0</v>
      </c>
      <c r="I504" s="132">
        <v>0</v>
      </c>
    </row>
    <row r="505" spans="1:9" ht="14.25" customHeight="1" x14ac:dyDescent="0.25">
      <c r="A505" s="132" t="s">
        <v>240</v>
      </c>
      <c r="B505" s="132" t="s">
        <v>9</v>
      </c>
      <c r="C505" s="132">
        <v>100</v>
      </c>
      <c r="D505" s="132" t="str">
        <f t="shared" si="34"/>
        <v>1/2" Round NEO 100</v>
      </c>
      <c r="E505" s="132">
        <v>0</v>
      </c>
      <c r="I505" s="132">
        <v>0</v>
      </c>
    </row>
    <row r="506" spans="1:9" ht="14.25" customHeight="1" x14ac:dyDescent="0.25">
      <c r="A506" s="132" t="s">
        <v>240</v>
      </c>
      <c r="B506" s="132" t="s">
        <v>333</v>
      </c>
      <c r="C506" s="132">
        <v>-3</v>
      </c>
      <c r="D506" s="132" t="str">
        <f t="shared" ref="D506:D511" si="35">A506&amp;" "&amp;B506&amp;" "&amp;C506</f>
        <v>1/2" Round Falcon 500 -3</v>
      </c>
      <c r="E506" s="132">
        <v>1</v>
      </c>
      <c r="I506" s="132">
        <v>0</v>
      </c>
    </row>
    <row r="507" spans="1:9" ht="14.25" customHeight="1" x14ac:dyDescent="0.25">
      <c r="A507" s="132" t="s">
        <v>240</v>
      </c>
      <c r="B507" s="132" t="s">
        <v>333</v>
      </c>
      <c r="C507" s="132">
        <v>-4</v>
      </c>
      <c r="D507" s="132" t="str">
        <f t="shared" si="35"/>
        <v>1/2" Round Falcon 500 -4</v>
      </c>
      <c r="E507" s="132">
        <v>1</v>
      </c>
      <c r="I507" s="132">
        <v>0</v>
      </c>
    </row>
    <row r="508" spans="1:9" ht="14.25" customHeight="1" x14ac:dyDescent="0.25">
      <c r="A508" s="132" t="s">
        <v>240</v>
      </c>
      <c r="B508" s="132" t="s">
        <v>333</v>
      </c>
      <c r="C508" s="132">
        <v>-5</v>
      </c>
      <c r="D508" s="132" t="str">
        <f t="shared" si="35"/>
        <v>1/2" Round Falcon 500 -5</v>
      </c>
      <c r="E508" s="132">
        <v>1</v>
      </c>
      <c r="I508" s="132">
        <v>0</v>
      </c>
    </row>
    <row r="509" spans="1:9" ht="14.25" customHeight="1" x14ac:dyDescent="0.25">
      <c r="A509" s="132" t="s">
        <v>240</v>
      </c>
      <c r="B509" s="132" t="s">
        <v>333</v>
      </c>
      <c r="C509" s="132">
        <v>-7</v>
      </c>
      <c r="D509" s="132" t="str">
        <f t="shared" si="35"/>
        <v>1/2" Round Falcon 500 -7</v>
      </c>
      <c r="E509" s="132">
        <v>1</v>
      </c>
      <c r="I509" s="132">
        <v>0</v>
      </c>
    </row>
    <row r="510" spans="1:9" ht="14.25" customHeight="1" x14ac:dyDescent="0.25">
      <c r="A510" s="132" t="s">
        <v>240</v>
      </c>
      <c r="B510" s="132" t="s">
        <v>333</v>
      </c>
      <c r="C510" s="132">
        <v>-9</v>
      </c>
      <c r="D510" s="132" t="str">
        <f t="shared" si="35"/>
        <v>1/2" Round Falcon 500 -9</v>
      </c>
      <c r="E510" s="132">
        <v>1</v>
      </c>
      <c r="I510" s="132">
        <v>0</v>
      </c>
    </row>
    <row r="511" spans="1:9" ht="14.25" customHeight="1" x14ac:dyDescent="0.25">
      <c r="A511" s="132" t="s">
        <v>240</v>
      </c>
      <c r="B511" s="132" t="s">
        <v>333</v>
      </c>
      <c r="C511" s="132">
        <v>-10</v>
      </c>
      <c r="D511" s="132" t="str">
        <f t="shared" si="35"/>
        <v>1/2" Round Falcon 500 -10</v>
      </c>
      <c r="E511" s="132">
        <v>1</v>
      </c>
      <c r="I511" s="132">
        <v>0</v>
      </c>
    </row>
    <row r="512" spans="1:9" ht="14.25" customHeight="1" x14ac:dyDescent="0.25">
      <c r="A512" s="132" t="s">
        <v>240</v>
      </c>
      <c r="B512" s="132" t="s">
        <v>333</v>
      </c>
      <c r="C512" s="132">
        <v>9</v>
      </c>
      <c r="D512" s="132" t="str">
        <f t="shared" ref="D512:D532" si="36">A512&amp;" "&amp;B512&amp;" "&amp;C512</f>
        <v>1/2" Round Falcon 500 9</v>
      </c>
      <c r="E512" s="132">
        <v>3</v>
      </c>
      <c r="I512" s="132">
        <v>0</v>
      </c>
    </row>
    <row r="513" spans="1:9" ht="14.25" customHeight="1" x14ac:dyDescent="0.25">
      <c r="A513" s="132" t="s">
        <v>240</v>
      </c>
      <c r="B513" s="132" t="s">
        <v>333</v>
      </c>
      <c r="C513" s="132">
        <v>12</v>
      </c>
      <c r="D513" s="132" t="str">
        <f t="shared" si="36"/>
        <v>1/2" Round Falcon 500 12</v>
      </c>
      <c r="E513" s="132">
        <v>1</v>
      </c>
      <c r="I513" s="132">
        <v>0</v>
      </c>
    </row>
    <row r="514" spans="1:9" ht="14.25" customHeight="1" x14ac:dyDescent="0.25">
      <c r="A514" s="132" t="s">
        <v>240</v>
      </c>
      <c r="B514" s="132" t="s">
        <v>333</v>
      </c>
      <c r="C514" s="132">
        <v>15</v>
      </c>
      <c r="D514" s="132" t="str">
        <f t="shared" si="36"/>
        <v>1/2" Round Falcon 500 15</v>
      </c>
      <c r="E514" s="132">
        <v>1</v>
      </c>
      <c r="I514" s="132">
        <v>0</v>
      </c>
    </row>
    <row r="515" spans="1:9" ht="14.25" customHeight="1" x14ac:dyDescent="0.25">
      <c r="A515" s="132" t="s">
        <v>240</v>
      </c>
      <c r="B515" s="132" t="s">
        <v>333</v>
      </c>
      <c r="C515" s="132">
        <v>16</v>
      </c>
      <c r="D515" s="132" t="str">
        <f t="shared" si="36"/>
        <v>1/2" Round Falcon 500 16</v>
      </c>
      <c r="E515" s="132">
        <v>1</v>
      </c>
      <c r="I515" s="132">
        <v>0</v>
      </c>
    </row>
    <row r="516" spans="1:9" ht="14.25" customHeight="1" x14ac:dyDescent="0.25">
      <c r="A516" s="132" t="s">
        <v>240</v>
      </c>
      <c r="B516" s="132" t="s">
        <v>333</v>
      </c>
      <c r="C516" s="132">
        <v>20</v>
      </c>
      <c r="D516" s="132" t="str">
        <f t="shared" si="36"/>
        <v>1/2" Round Falcon 500 20</v>
      </c>
      <c r="E516" s="132">
        <v>1</v>
      </c>
      <c r="I516" s="132">
        <v>0</v>
      </c>
    </row>
    <row r="517" spans="1:9" ht="14.25" customHeight="1" x14ac:dyDescent="0.25">
      <c r="A517" s="132" t="s">
        <v>240</v>
      </c>
      <c r="B517" s="132" t="s">
        <v>333</v>
      </c>
      <c r="C517" s="132">
        <v>21</v>
      </c>
      <c r="D517" s="132" t="str">
        <f t="shared" si="36"/>
        <v>1/2" Round Falcon 500 21</v>
      </c>
      <c r="E517" s="132">
        <v>1</v>
      </c>
      <c r="I517" s="132">
        <v>0</v>
      </c>
    </row>
    <row r="518" spans="1:9" ht="14.25" customHeight="1" x14ac:dyDescent="0.25">
      <c r="A518" s="132" t="s">
        <v>240</v>
      </c>
      <c r="B518" s="132" t="s">
        <v>333</v>
      </c>
      <c r="C518" s="132">
        <v>25</v>
      </c>
      <c r="D518" s="132" t="str">
        <f t="shared" si="36"/>
        <v>1/2" Round Falcon 500 25</v>
      </c>
      <c r="E518" s="132">
        <v>1</v>
      </c>
      <c r="I518" s="132">
        <v>0</v>
      </c>
    </row>
    <row r="519" spans="1:9" ht="14.25" customHeight="1" x14ac:dyDescent="0.25">
      <c r="A519" s="132" t="s">
        <v>240</v>
      </c>
      <c r="B519" s="132" t="s">
        <v>333</v>
      </c>
      <c r="C519" s="132">
        <v>27</v>
      </c>
      <c r="D519" s="132" t="str">
        <f t="shared" si="36"/>
        <v>1/2" Round Falcon 500 27</v>
      </c>
      <c r="E519" s="132">
        <v>1</v>
      </c>
      <c r="I519" s="132">
        <v>0</v>
      </c>
    </row>
    <row r="520" spans="1:9" ht="14.25" customHeight="1" x14ac:dyDescent="0.25">
      <c r="A520" s="132" t="s">
        <v>240</v>
      </c>
      <c r="B520" s="132" t="s">
        <v>333</v>
      </c>
      <c r="C520" s="132">
        <v>28</v>
      </c>
      <c r="D520" s="132" t="str">
        <f t="shared" si="36"/>
        <v>1/2" Round Falcon 500 28</v>
      </c>
      <c r="E520" s="132">
        <v>0</v>
      </c>
      <c r="I520" s="132">
        <v>0</v>
      </c>
    </row>
    <row r="521" spans="1:9" ht="14.25" customHeight="1" x14ac:dyDescent="0.25">
      <c r="A521" s="132" t="s">
        <v>240</v>
      </c>
      <c r="B521" s="132" t="s">
        <v>333</v>
      </c>
      <c r="C521" s="132">
        <v>30</v>
      </c>
      <c r="D521" s="132" t="str">
        <f t="shared" si="36"/>
        <v>1/2" Round Falcon 500 30</v>
      </c>
      <c r="E521" s="132">
        <v>0</v>
      </c>
      <c r="I521" s="132">
        <v>0</v>
      </c>
    </row>
    <row r="522" spans="1:9" ht="14.25" customHeight="1" x14ac:dyDescent="0.25">
      <c r="A522" s="132" t="s">
        <v>240</v>
      </c>
      <c r="B522" s="132" t="s">
        <v>333</v>
      </c>
      <c r="C522" s="132">
        <v>35</v>
      </c>
      <c r="D522" s="132" t="str">
        <f t="shared" si="36"/>
        <v>1/2" Round Falcon 500 35</v>
      </c>
      <c r="E522" s="132">
        <v>0</v>
      </c>
      <c r="I522" s="132">
        <v>0</v>
      </c>
    </row>
    <row r="523" spans="1:9" ht="14.25" customHeight="1" x14ac:dyDescent="0.25">
      <c r="A523" s="132" t="s">
        <v>240</v>
      </c>
      <c r="B523" s="132" t="s">
        <v>333</v>
      </c>
      <c r="C523" s="132">
        <v>36</v>
      </c>
      <c r="D523" s="132" t="str">
        <f t="shared" si="36"/>
        <v>1/2" Round Falcon 500 36</v>
      </c>
      <c r="E523" s="132">
        <v>0</v>
      </c>
      <c r="I523" s="132">
        <v>0</v>
      </c>
    </row>
    <row r="524" spans="1:9" ht="14.25" customHeight="1" x14ac:dyDescent="0.25">
      <c r="A524" s="132" t="s">
        <v>240</v>
      </c>
      <c r="B524" s="132" t="s">
        <v>333</v>
      </c>
      <c r="C524" s="132">
        <v>40</v>
      </c>
      <c r="D524" s="132" t="str">
        <f t="shared" si="36"/>
        <v>1/2" Round Falcon 500 40</v>
      </c>
      <c r="E524" s="132">
        <v>0</v>
      </c>
      <c r="I524" s="132">
        <v>0</v>
      </c>
    </row>
    <row r="525" spans="1:9" ht="14.25" customHeight="1" x14ac:dyDescent="0.25">
      <c r="A525" s="132" t="s">
        <v>240</v>
      </c>
      <c r="B525" s="132" t="s">
        <v>333</v>
      </c>
      <c r="C525" s="132">
        <v>45</v>
      </c>
      <c r="D525" s="132" t="str">
        <f t="shared" si="36"/>
        <v>1/2" Round Falcon 500 45</v>
      </c>
      <c r="E525" s="132">
        <v>0</v>
      </c>
      <c r="I525" s="132">
        <v>0</v>
      </c>
    </row>
    <row r="526" spans="1:9" ht="14.25" customHeight="1" x14ac:dyDescent="0.25">
      <c r="A526" s="132" t="s">
        <v>240</v>
      </c>
      <c r="B526" s="132" t="s">
        <v>333</v>
      </c>
      <c r="C526" s="132">
        <v>49</v>
      </c>
      <c r="D526" s="132" t="str">
        <f t="shared" si="36"/>
        <v>1/2" Round Falcon 500 49</v>
      </c>
      <c r="E526" s="132">
        <v>0</v>
      </c>
      <c r="I526" s="132">
        <v>0</v>
      </c>
    </row>
    <row r="527" spans="1:9" ht="14.25" customHeight="1" x14ac:dyDescent="0.25">
      <c r="A527" s="132" t="s">
        <v>240</v>
      </c>
      <c r="B527" s="132" t="s">
        <v>333</v>
      </c>
      <c r="C527" s="132">
        <v>50</v>
      </c>
      <c r="D527" s="132" t="str">
        <f t="shared" si="36"/>
        <v>1/2" Round Falcon 500 50</v>
      </c>
      <c r="E527" s="132">
        <v>0</v>
      </c>
      <c r="I527" s="132">
        <v>0</v>
      </c>
    </row>
    <row r="528" spans="1:9" ht="14.25" customHeight="1" x14ac:dyDescent="0.25">
      <c r="A528" s="132" t="s">
        <v>240</v>
      </c>
      <c r="B528" s="132" t="s">
        <v>333</v>
      </c>
      <c r="C528" s="132">
        <v>63</v>
      </c>
      <c r="D528" s="132" t="str">
        <f t="shared" si="36"/>
        <v>1/2" Round Falcon 500 63</v>
      </c>
      <c r="E528" s="132">
        <v>0</v>
      </c>
      <c r="I528" s="132">
        <v>0</v>
      </c>
    </row>
    <row r="529" spans="1:9" ht="14.25" customHeight="1" x14ac:dyDescent="0.25">
      <c r="A529" s="132" t="s">
        <v>240</v>
      </c>
      <c r="B529" s="132" t="s">
        <v>333</v>
      </c>
      <c r="C529" s="132">
        <v>70</v>
      </c>
      <c r="D529" s="132" t="str">
        <f t="shared" si="36"/>
        <v>1/2" Round Falcon 500 70</v>
      </c>
      <c r="E529" s="132">
        <v>0</v>
      </c>
      <c r="I529" s="132">
        <v>0</v>
      </c>
    </row>
    <row r="530" spans="1:9" ht="14.25" customHeight="1" x14ac:dyDescent="0.25">
      <c r="A530" s="132" t="s">
        <v>240</v>
      </c>
      <c r="B530" s="132" t="s">
        <v>333</v>
      </c>
      <c r="C530" s="132">
        <v>81</v>
      </c>
      <c r="D530" s="132" t="str">
        <f t="shared" si="36"/>
        <v>1/2" Round Falcon 500 81</v>
      </c>
      <c r="E530" s="132">
        <v>0</v>
      </c>
      <c r="I530" s="132">
        <v>0</v>
      </c>
    </row>
    <row r="531" spans="1:9" ht="14.25" customHeight="1" x14ac:dyDescent="0.25">
      <c r="A531" s="132" t="s">
        <v>240</v>
      </c>
      <c r="B531" s="132" t="s">
        <v>333</v>
      </c>
      <c r="C531" s="132">
        <v>90</v>
      </c>
      <c r="D531" s="132" t="str">
        <f t="shared" si="36"/>
        <v>1/2" Round Falcon 500 90</v>
      </c>
      <c r="E531" s="132">
        <v>0</v>
      </c>
      <c r="I531" s="132">
        <v>0</v>
      </c>
    </row>
    <row r="532" spans="1:9" ht="14.25" customHeight="1" x14ac:dyDescent="0.25">
      <c r="A532" s="132" t="s">
        <v>240</v>
      </c>
      <c r="B532" s="132" t="s">
        <v>333</v>
      </c>
      <c r="C532" s="132">
        <v>100</v>
      </c>
      <c r="D532" s="132" t="str">
        <f t="shared" si="36"/>
        <v>1/2" Round Falcon 500 100</v>
      </c>
      <c r="E532" s="132">
        <v>0</v>
      </c>
      <c r="I532" s="132">
        <v>0</v>
      </c>
    </row>
    <row r="533" spans="1:9" ht="14.25" customHeight="1" x14ac:dyDescent="0.25">
      <c r="A533" s="132" t="s">
        <v>243</v>
      </c>
      <c r="B533" s="132" t="s">
        <v>11</v>
      </c>
      <c r="C533" s="132">
        <v>-3</v>
      </c>
      <c r="D533" s="132" t="str">
        <f t="shared" ref="D533:D538" si="37">A533&amp;" "&amp;B533&amp;" "&amp;C533</f>
        <v>3/8" Hex AM 9015 -3</v>
      </c>
      <c r="E533" s="132">
        <v>1</v>
      </c>
      <c r="I533" s="132">
        <v>1</v>
      </c>
    </row>
    <row r="534" spans="1:9" ht="14.25" customHeight="1" x14ac:dyDescent="0.25">
      <c r="A534" s="132" t="s">
        <v>243</v>
      </c>
      <c r="B534" s="132" t="s">
        <v>11</v>
      </c>
      <c r="C534" s="132">
        <v>-4</v>
      </c>
      <c r="D534" s="132" t="str">
        <f t="shared" si="37"/>
        <v>3/8" Hex AM 9015 -4</v>
      </c>
      <c r="E534" s="132">
        <v>1</v>
      </c>
      <c r="I534" s="132">
        <v>1</v>
      </c>
    </row>
    <row r="535" spans="1:9" ht="14.25" customHeight="1" x14ac:dyDescent="0.25">
      <c r="A535" s="132" t="s">
        <v>243</v>
      </c>
      <c r="B535" s="132" t="s">
        <v>11</v>
      </c>
      <c r="C535" s="132">
        <v>-5</v>
      </c>
      <c r="D535" s="132" t="str">
        <f t="shared" si="37"/>
        <v>3/8" Hex AM 9015 -5</v>
      </c>
      <c r="E535" s="132">
        <v>1</v>
      </c>
      <c r="I535" s="132">
        <v>1</v>
      </c>
    </row>
    <row r="536" spans="1:9" ht="14.25" customHeight="1" x14ac:dyDescent="0.25">
      <c r="A536" s="132" t="s">
        <v>243</v>
      </c>
      <c r="B536" s="132" t="s">
        <v>11</v>
      </c>
      <c r="C536" s="132">
        <v>-7</v>
      </c>
      <c r="D536" s="132" t="str">
        <f t="shared" si="37"/>
        <v>3/8" Hex AM 9015 -7</v>
      </c>
      <c r="E536" s="132">
        <v>1</v>
      </c>
      <c r="I536" s="132">
        <v>1</v>
      </c>
    </row>
    <row r="537" spans="1:9" ht="14.25" customHeight="1" x14ac:dyDescent="0.25">
      <c r="A537" s="132" t="s">
        <v>243</v>
      </c>
      <c r="B537" s="132" t="s">
        <v>11</v>
      </c>
      <c r="C537" s="132">
        <v>-9</v>
      </c>
      <c r="D537" s="132" t="str">
        <f t="shared" si="37"/>
        <v>3/8" Hex AM 9015 -9</v>
      </c>
      <c r="E537" s="132">
        <v>1</v>
      </c>
      <c r="I537" s="132">
        <v>1</v>
      </c>
    </row>
    <row r="538" spans="1:9" ht="14.25" customHeight="1" x14ac:dyDescent="0.25">
      <c r="A538" s="132" t="s">
        <v>243</v>
      </c>
      <c r="B538" s="132" t="s">
        <v>11</v>
      </c>
      <c r="C538" s="132">
        <v>-10</v>
      </c>
      <c r="D538" s="132" t="str">
        <f t="shared" si="37"/>
        <v>3/8" Hex AM 9015 -10</v>
      </c>
      <c r="E538" s="132">
        <v>1</v>
      </c>
      <c r="I538" s="132">
        <v>1</v>
      </c>
    </row>
    <row r="539" spans="1:9" ht="14.25" customHeight="1" x14ac:dyDescent="0.25">
      <c r="A539" s="132" t="s">
        <v>243</v>
      </c>
      <c r="B539" s="132" t="s">
        <v>11</v>
      </c>
      <c r="C539" s="132">
        <v>9</v>
      </c>
      <c r="D539" s="132" t="str">
        <f t="shared" ref="D539:D559" si="38">A539&amp;" "&amp;B539&amp;" "&amp;C539</f>
        <v>3/8" Hex AM 9015 9</v>
      </c>
      <c r="E539" s="132">
        <v>10</v>
      </c>
      <c r="I539" s="132">
        <v>10</v>
      </c>
    </row>
    <row r="540" spans="1:9" ht="14.25" customHeight="1" x14ac:dyDescent="0.25">
      <c r="A540" s="132" t="s">
        <v>243</v>
      </c>
      <c r="B540" s="132" t="s">
        <v>11</v>
      </c>
      <c r="C540" s="132">
        <v>12</v>
      </c>
      <c r="D540" s="132" t="str">
        <f t="shared" si="38"/>
        <v>3/8" Hex AM 9015 12</v>
      </c>
      <c r="E540" s="132">
        <v>10</v>
      </c>
      <c r="I540" s="132">
        <v>7</v>
      </c>
    </row>
    <row r="541" spans="1:9" ht="14.25" customHeight="1" x14ac:dyDescent="0.25">
      <c r="A541" s="132" t="s">
        <v>243</v>
      </c>
      <c r="B541" s="132" t="s">
        <v>11</v>
      </c>
      <c r="C541" s="132">
        <v>15</v>
      </c>
      <c r="D541" s="132" t="str">
        <f t="shared" si="38"/>
        <v>3/8" Hex AM 9015 15</v>
      </c>
      <c r="E541" s="132">
        <v>7</v>
      </c>
      <c r="I541" s="132">
        <v>5</v>
      </c>
    </row>
    <row r="542" spans="1:9" ht="14.25" customHeight="1" x14ac:dyDescent="0.25">
      <c r="A542" s="132" t="s">
        <v>243</v>
      </c>
      <c r="B542" s="132" t="s">
        <v>11</v>
      </c>
      <c r="C542" s="132">
        <v>16</v>
      </c>
      <c r="D542" s="132" t="str">
        <f t="shared" si="38"/>
        <v>3/8" Hex AM 9015 16</v>
      </c>
      <c r="E542" s="132">
        <v>7</v>
      </c>
      <c r="I542" s="132">
        <v>5</v>
      </c>
    </row>
    <row r="543" spans="1:9" ht="14.25" customHeight="1" x14ac:dyDescent="0.25">
      <c r="A543" s="132" t="s">
        <v>243</v>
      </c>
      <c r="B543" s="132" t="s">
        <v>11</v>
      </c>
      <c r="C543" s="132">
        <v>20</v>
      </c>
      <c r="D543" s="132" t="str">
        <f t="shared" si="38"/>
        <v>3/8" Hex AM 9015 20</v>
      </c>
      <c r="E543" s="132">
        <v>5</v>
      </c>
      <c r="I543" s="132">
        <v>4</v>
      </c>
    </row>
    <row r="544" spans="1:9" ht="14.25" customHeight="1" x14ac:dyDescent="0.25">
      <c r="A544" s="132" t="s">
        <v>243</v>
      </c>
      <c r="B544" s="132" t="s">
        <v>11</v>
      </c>
      <c r="C544" s="132">
        <v>21</v>
      </c>
      <c r="D544" s="132" t="str">
        <f t="shared" si="38"/>
        <v>3/8" Hex AM 9015 21</v>
      </c>
      <c r="E544" s="132">
        <v>5</v>
      </c>
      <c r="I544" s="132">
        <v>4</v>
      </c>
    </row>
    <row r="545" spans="1:9" ht="14.25" customHeight="1" x14ac:dyDescent="0.25">
      <c r="A545" s="132" t="s">
        <v>243</v>
      </c>
      <c r="B545" s="132" t="s">
        <v>11</v>
      </c>
      <c r="C545" s="132">
        <v>25</v>
      </c>
      <c r="D545" s="132" t="str">
        <f t="shared" si="38"/>
        <v>3/8" Hex AM 9015 25</v>
      </c>
      <c r="E545" s="132">
        <v>5</v>
      </c>
      <c r="I545" s="132">
        <v>3</v>
      </c>
    </row>
    <row r="546" spans="1:9" ht="14.25" customHeight="1" x14ac:dyDescent="0.25">
      <c r="A546" s="132" t="s">
        <v>243</v>
      </c>
      <c r="B546" s="132" t="s">
        <v>11</v>
      </c>
      <c r="C546" s="132">
        <v>27</v>
      </c>
      <c r="D546" s="132" t="str">
        <f t="shared" si="38"/>
        <v>3/8" Hex AM 9015 27</v>
      </c>
      <c r="E546" s="132">
        <v>4</v>
      </c>
      <c r="I546" s="132">
        <v>3</v>
      </c>
    </row>
    <row r="547" spans="1:9" ht="14.25" customHeight="1" x14ac:dyDescent="0.25">
      <c r="A547" s="132" t="s">
        <v>243</v>
      </c>
      <c r="B547" s="132" t="s">
        <v>11</v>
      </c>
      <c r="C547" s="132">
        <v>28</v>
      </c>
      <c r="D547" s="132" t="str">
        <f t="shared" si="38"/>
        <v>3/8" Hex AM 9015 28</v>
      </c>
      <c r="E547" s="132">
        <v>4</v>
      </c>
      <c r="I547" s="132">
        <v>3</v>
      </c>
    </row>
    <row r="548" spans="1:9" ht="14.25" customHeight="1" x14ac:dyDescent="0.25">
      <c r="A548" s="132" t="s">
        <v>243</v>
      </c>
      <c r="B548" s="132" t="s">
        <v>11</v>
      </c>
      <c r="C548" s="132">
        <v>30</v>
      </c>
      <c r="D548" s="132" t="str">
        <f t="shared" si="38"/>
        <v>3/8" Hex AM 9015 30</v>
      </c>
      <c r="E548" s="132">
        <v>4</v>
      </c>
      <c r="I548" s="132">
        <v>3</v>
      </c>
    </row>
    <row r="549" spans="1:9" ht="14.25" customHeight="1" x14ac:dyDescent="0.25">
      <c r="A549" s="132" t="s">
        <v>243</v>
      </c>
      <c r="B549" s="132" t="s">
        <v>11</v>
      </c>
      <c r="C549" s="132">
        <v>35</v>
      </c>
      <c r="D549" s="132" t="str">
        <f t="shared" si="38"/>
        <v>3/8" Hex AM 9015 35</v>
      </c>
      <c r="E549" s="132">
        <v>3</v>
      </c>
      <c r="I549" s="132">
        <v>1</v>
      </c>
    </row>
    <row r="550" spans="1:9" ht="14.25" customHeight="1" x14ac:dyDescent="0.25">
      <c r="A550" s="132" t="s">
        <v>243</v>
      </c>
      <c r="B550" s="132" t="s">
        <v>11</v>
      </c>
      <c r="C550" s="132">
        <v>36</v>
      </c>
      <c r="D550" s="132" t="str">
        <f t="shared" si="38"/>
        <v>3/8" Hex AM 9015 36</v>
      </c>
      <c r="E550" s="132">
        <v>3</v>
      </c>
      <c r="I550" s="132">
        <v>1</v>
      </c>
    </row>
    <row r="551" spans="1:9" ht="14.25" customHeight="1" x14ac:dyDescent="0.25">
      <c r="A551" s="132" t="s">
        <v>243</v>
      </c>
      <c r="B551" s="132" t="s">
        <v>11</v>
      </c>
      <c r="C551" s="132">
        <v>40</v>
      </c>
      <c r="D551" s="132" t="str">
        <f t="shared" si="38"/>
        <v>3/8" Hex AM 9015 40</v>
      </c>
      <c r="E551" s="132">
        <v>3</v>
      </c>
      <c r="I551" s="132">
        <v>1</v>
      </c>
    </row>
    <row r="552" spans="1:9" ht="14.25" customHeight="1" x14ac:dyDescent="0.25">
      <c r="A552" s="132" t="s">
        <v>243</v>
      </c>
      <c r="B552" s="132" t="s">
        <v>11</v>
      </c>
      <c r="C552" s="132">
        <v>45</v>
      </c>
      <c r="D552" s="132" t="str">
        <f t="shared" si="38"/>
        <v>3/8" Hex AM 9015 45</v>
      </c>
      <c r="E552" s="132">
        <v>1</v>
      </c>
      <c r="I552" s="132">
        <v>1</v>
      </c>
    </row>
    <row r="553" spans="1:9" ht="14.25" customHeight="1" x14ac:dyDescent="0.25">
      <c r="A553" s="132" t="s">
        <v>243</v>
      </c>
      <c r="B553" s="132" t="s">
        <v>11</v>
      </c>
      <c r="C553" s="132">
        <v>49</v>
      </c>
      <c r="D553" s="132" t="str">
        <f t="shared" si="38"/>
        <v>3/8" Hex AM 9015 49</v>
      </c>
      <c r="E553" s="132">
        <v>1</v>
      </c>
      <c r="I553" s="132">
        <v>1</v>
      </c>
    </row>
    <row r="554" spans="1:9" ht="14.25" customHeight="1" x14ac:dyDescent="0.25">
      <c r="A554" s="132" t="s">
        <v>243</v>
      </c>
      <c r="B554" s="132" t="s">
        <v>11</v>
      </c>
      <c r="C554" s="132">
        <v>50</v>
      </c>
      <c r="D554" s="132" t="str">
        <f t="shared" si="38"/>
        <v>3/8" Hex AM 9015 50</v>
      </c>
      <c r="E554" s="132">
        <v>1</v>
      </c>
      <c r="I554" s="132">
        <v>1</v>
      </c>
    </row>
    <row r="555" spans="1:9" ht="14.25" customHeight="1" x14ac:dyDescent="0.25">
      <c r="A555" s="132" t="s">
        <v>243</v>
      </c>
      <c r="B555" s="132" t="s">
        <v>11</v>
      </c>
      <c r="C555" s="132">
        <v>63</v>
      </c>
      <c r="D555" s="132" t="str">
        <f t="shared" si="38"/>
        <v>3/8" Hex AM 9015 63</v>
      </c>
      <c r="E555" s="132">
        <v>1</v>
      </c>
      <c r="I555" s="132">
        <v>1</v>
      </c>
    </row>
    <row r="556" spans="1:9" ht="14.25" customHeight="1" x14ac:dyDescent="0.25">
      <c r="A556" s="132" t="s">
        <v>243</v>
      </c>
      <c r="B556" s="132" t="s">
        <v>11</v>
      </c>
      <c r="C556" s="132">
        <v>70</v>
      </c>
      <c r="D556" s="132" t="str">
        <f t="shared" si="38"/>
        <v>3/8" Hex AM 9015 70</v>
      </c>
      <c r="E556" s="132">
        <v>1</v>
      </c>
      <c r="I556" s="132">
        <v>1</v>
      </c>
    </row>
    <row r="557" spans="1:9" ht="14.25" customHeight="1" x14ac:dyDescent="0.25">
      <c r="A557" s="132" t="s">
        <v>243</v>
      </c>
      <c r="B557" s="132" t="s">
        <v>11</v>
      </c>
      <c r="C557" s="132">
        <v>81</v>
      </c>
      <c r="D557" s="132" t="str">
        <f t="shared" si="38"/>
        <v>3/8" Hex AM 9015 81</v>
      </c>
      <c r="E557" s="132">
        <v>1</v>
      </c>
      <c r="I557" s="132">
        <v>1</v>
      </c>
    </row>
    <row r="558" spans="1:9" ht="14.25" customHeight="1" x14ac:dyDescent="0.25">
      <c r="A558" s="132" t="s">
        <v>243</v>
      </c>
      <c r="B558" s="132" t="s">
        <v>11</v>
      </c>
      <c r="C558" s="132">
        <v>90</v>
      </c>
      <c r="D558" s="132" t="str">
        <f t="shared" si="38"/>
        <v>3/8" Hex AM 9015 90</v>
      </c>
      <c r="E558" s="132">
        <v>1</v>
      </c>
      <c r="I558" s="132">
        <v>1</v>
      </c>
    </row>
    <row r="559" spans="1:9" ht="14.25" customHeight="1" x14ac:dyDescent="0.25">
      <c r="A559" s="132" t="s">
        <v>243</v>
      </c>
      <c r="B559" s="132" t="s">
        <v>11</v>
      </c>
      <c r="C559" s="132">
        <v>100</v>
      </c>
      <c r="D559" s="132" t="str">
        <f t="shared" si="38"/>
        <v>3/8" Hex AM 9015 100</v>
      </c>
      <c r="E559" s="132">
        <v>1</v>
      </c>
      <c r="I559" s="132">
        <v>0</v>
      </c>
    </row>
    <row r="560" spans="1:9" ht="14.25" customHeight="1" x14ac:dyDescent="0.25">
      <c r="A560" s="132" t="s">
        <v>243</v>
      </c>
      <c r="B560" s="132" t="s">
        <v>326</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243</v>
      </c>
      <c r="B561" s="132" t="s">
        <v>326</v>
      </c>
      <c r="C561" s="132">
        <v>-4</v>
      </c>
      <c r="D561" s="132" t="str">
        <f t="shared" si="39"/>
        <v>3/8" Hex BB RS-550 -4</v>
      </c>
      <c r="E561" s="132">
        <v>1</v>
      </c>
      <c r="F561" s="132">
        <v>1</v>
      </c>
      <c r="G561" s="132">
        <v>1</v>
      </c>
      <c r="H561" s="132">
        <v>1</v>
      </c>
      <c r="I561" s="132">
        <v>1</v>
      </c>
    </row>
    <row r="562" spans="1:9" ht="14.25" customHeight="1" x14ac:dyDescent="0.25">
      <c r="A562" s="132" t="s">
        <v>243</v>
      </c>
      <c r="B562" s="132" t="s">
        <v>326</v>
      </c>
      <c r="C562" s="132">
        <v>-5</v>
      </c>
      <c r="D562" s="132" t="str">
        <f t="shared" si="39"/>
        <v>3/8" Hex BB RS-550 -5</v>
      </c>
      <c r="E562" s="132">
        <v>1</v>
      </c>
      <c r="F562" s="132">
        <v>1</v>
      </c>
      <c r="G562" s="132">
        <v>0</v>
      </c>
      <c r="H562" s="132">
        <v>1</v>
      </c>
      <c r="I562" s="132">
        <v>1</v>
      </c>
    </row>
    <row r="563" spans="1:9" ht="14.25" customHeight="1" x14ac:dyDescent="0.25">
      <c r="A563" s="132" t="s">
        <v>243</v>
      </c>
      <c r="B563" s="132" t="s">
        <v>326</v>
      </c>
      <c r="C563" s="132">
        <v>-7</v>
      </c>
      <c r="D563" s="132" t="str">
        <f t="shared" si="39"/>
        <v>3/8" Hex BB RS-550 -7</v>
      </c>
      <c r="E563" s="132">
        <v>1</v>
      </c>
      <c r="F563" s="132">
        <v>1</v>
      </c>
      <c r="G563" s="132">
        <v>0</v>
      </c>
      <c r="H563" s="132">
        <v>0</v>
      </c>
      <c r="I563" s="132">
        <v>1</v>
      </c>
    </row>
    <row r="564" spans="1:9" ht="14.25" customHeight="1" x14ac:dyDescent="0.25">
      <c r="A564" s="132" t="s">
        <v>243</v>
      </c>
      <c r="B564" s="132" t="s">
        <v>326</v>
      </c>
      <c r="C564" s="132">
        <v>-9</v>
      </c>
      <c r="D564" s="132" t="str">
        <f t="shared" si="39"/>
        <v>3/8" Hex BB RS-550 -9</v>
      </c>
      <c r="E564" s="132">
        <v>1</v>
      </c>
      <c r="F564" s="132">
        <v>1</v>
      </c>
      <c r="G564" s="132">
        <v>0</v>
      </c>
      <c r="H564" s="132">
        <v>0</v>
      </c>
      <c r="I564" s="132">
        <v>1</v>
      </c>
    </row>
    <row r="565" spans="1:9" ht="14.25" customHeight="1" x14ac:dyDescent="0.25">
      <c r="A565" s="132" t="s">
        <v>243</v>
      </c>
      <c r="B565" s="132" t="s">
        <v>326</v>
      </c>
      <c r="C565" s="132">
        <v>-10</v>
      </c>
      <c r="D565" s="132" t="str">
        <f t="shared" si="39"/>
        <v>3/8" Hex BB RS-550 -10</v>
      </c>
      <c r="E565" s="132">
        <v>1</v>
      </c>
      <c r="F565" s="132">
        <v>1</v>
      </c>
      <c r="G565" s="132">
        <v>0</v>
      </c>
      <c r="H565" s="132">
        <v>0</v>
      </c>
      <c r="I565" s="132">
        <v>1</v>
      </c>
    </row>
    <row r="566" spans="1:9" ht="14.25" customHeight="1" x14ac:dyDescent="0.25">
      <c r="A566" s="132" t="s">
        <v>243</v>
      </c>
      <c r="B566" s="132" t="s">
        <v>326</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243</v>
      </c>
      <c r="B567" s="132" t="s">
        <v>326</v>
      </c>
      <c r="C567" s="132">
        <v>12</v>
      </c>
      <c r="D567" s="132" t="str">
        <f t="shared" si="40"/>
        <v>3/8" Hex BB RS-550 12</v>
      </c>
      <c r="E567" s="132">
        <v>9</v>
      </c>
      <c r="F567" s="132">
        <v>4</v>
      </c>
      <c r="G567" s="132">
        <v>0</v>
      </c>
      <c r="H567" s="132">
        <v>0</v>
      </c>
      <c r="I567" s="132">
        <v>7</v>
      </c>
    </row>
    <row r="568" spans="1:9" ht="14.25" customHeight="1" x14ac:dyDescent="0.25">
      <c r="A568" s="132" t="s">
        <v>243</v>
      </c>
      <c r="B568" s="132" t="s">
        <v>326</v>
      </c>
      <c r="C568" s="132">
        <v>15</v>
      </c>
      <c r="D568" s="132" t="str">
        <f t="shared" si="40"/>
        <v>3/8" Hex BB RS-550 15</v>
      </c>
      <c r="E568" s="132">
        <v>7</v>
      </c>
      <c r="F568" s="132">
        <v>3</v>
      </c>
      <c r="G568" s="132">
        <v>0</v>
      </c>
      <c r="H568" s="132">
        <v>0</v>
      </c>
      <c r="I568" s="132">
        <v>5</v>
      </c>
    </row>
    <row r="569" spans="1:9" ht="14.25" customHeight="1" x14ac:dyDescent="0.25">
      <c r="A569" s="132" t="s">
        <v>243</v>
      </c>
      <c r="B569" s="132" t="s">
        <v>326</v>
      </c>
      <c r="C569" s="132">
        <v>16</v>
      </c>
      <c r="D569" s="132" t="str">
        <f t="shared" si="40"/>
        <v>3/8" Hex BB RS-550 16</v>
      </c>
      <c r="E569" s="132">
        <v>7</v>
      </c>
      <c r="F569" s="132">
        <v>3</v>
      </c>
      <c r="G569" s="132">
        <v>0</v>
      </c>
      <c r="H569" s="132">
        <v>0</v>
      </c>
      <c r="I569" s="132">
        <v>5</v>
      </c>
    </row>
    <row r="570" spans="1:9" ht="14.25" customHeight="1" x14ac:dyDescent="0.25">
      <c r="A570" s="132" t="s">
        <v>243</v>
      </c>
      <c r="B570" s="132" t="s">
        <v>326</v>
      </c>
      <c r="C570" s="132">
        <v>20</v>
      </c>
      <c r="D570" s="132" t="str">
        <f t="shared" si="40"/>
        <v>3/8" Hex BB RS-550 20</v>
      </c>
      <c r="E570" s="132">
        <v>5</v>
      </c>
      <c r="F570" s="132">
        <v>1</v>
      </c>
      <c r="G570" s="132">
        <v>0</v>
      </c>
      <c r="H570" s="132">
        <v>0</v>
      </c>
      <c r="I570" s="132">
        <v>4</v>
      </c>
    </row>
    <row r="571" spans="1:9" ht="14.25" customHeight="1" x14ac:dyDescent="0.25">
      <c r="A571" s="132" t="s">
        <v>243</v>
      </c>
      <c r="B571" s="132" t="s">
        <v>326</v>
      </c>
      <c r="C571" s="132">
        <v>21</v>
      </c>
      <c r="D571" s="132" t="str">
        <f t="shared" si="40"/>
        <v>3/8" Hex BB RS-550 21</v>
      </c>
      <c r="E571" s="132">
        <v>5</v>
      </c>
      <c r="F571" s="132">
        <v>1</v>
      </c>
      <c r="G571" s="132">
        <v>0</v>
      </c>
      <c r="H571" s="132">
        <v>0</v>
      </c>
      <c r="I571" s="132">
        <v>4</v>
      </c>
    </row>
    <row r="572" spans="1:9" ht="14.25" customHeight="1" x14ac:dyDescent="0.25">
      <c r="A572" s="132" t="s">
        <v>243</v>
      </c>
      <c r="B572" s="132" t="s">
        <v>326</v>
      </c>
      <c r="C572" s="132">
        <v>25</v>
      </c>
      <c r="D572" s="132" t="str">
        <f t="shared" si="40"/>
        <v>3/8" Hex BB RS-550 25</v>
      </c>
      <c r="E572" s="132">
        <v>4</v>
      </c>
      <c r="F572" s="132">
        <v>1</v>
      </c>
      <c r="G572" s="132">
        <v>0</v>
      </c>
      <c r="H572" s="132">
        <v>0</v>
      </c>
      <c r="I572" s="132">
        <v>3</v>
      </c>
    </row>
    <row r="573" spans="1:9" ht="14.25" customHeight="1" x14ac:dyDescent="0.25">
      <c r="A573" s="132" t="s">
        <v>243</v>
      </c>
      <c r="B573" s="132" t="s">
        <v>326</v>
      </c>
      <c r="C573" s="132">
        <v>27</v>
      </c>
      <c r="D573" s="132" t="str">
        <f t="shared" si="40"/>
        <v>3/8" Hex BB RS-550 27</v>
      </c>
      <c r="E573" s="132">
        <v>4</v>
      </c>
      <c r="F573" s="132">
        <v>1</v>
      </c>
      <c r="G573" s="132">
        <v>0</v>
      </c>
      <c r="H573" s="132">
        <v>0</v>
      </c>
      <c r="I573" s="132">
        <v>3</v>
      </c>
    </row>
    <row r="574" spans="1:9" ht="14.25" customHeight="1" x14ac:dyDescent="0.25">
      <c r="A574" s="132" t="s">
        <v>243</v>
      </c>
      <c r="B574" s="132" t="s">
        <v>326</v>
      </c>
      <c r="C574" s="132">
        <v>28</v>
      </c>
      <c r="D574" s="132" t="str">
        <f t="shared" si="40"/>
        <v>3/8" Hex BB RS-550 28</v>
      </c>
      <c r="E574" s="132">
        <v>4</v>
      </c>
      <c r="F574" s="132">
        <v>1</v>
      </c>
      <c r="G574" s="132">
        <v>0</v>
      </c>
      <c r="H574" s="132">
        <v>0</v>
      </c>
      <c r="I574" s="132">
        <v>3</v>
      </c>
    </row>
    <row r="575" spans="1:9" ht="14.25" customHeight="1" x14ac:dyDescent="0.25">
      <c r="A575" s="132" t="s">
        <v>243</v>
      </c>
      <c r="B575" s="132" t="s">
        <v>326</v>
      </c>
      <c r="C575" s="132">
        <v>30</v>
      </c>
      <c r="D575" s="132" t="str">
        <f t="shared" si="40"/>
        <v>3/8" Hex BB RS-550 30</v>
      </c>
      <c r="E575" s="132">
        <v>3</v>
      </c>
      <c r="F575" s="132">
        <v>1</v>
      </c>
      <c r="G575" s="132">
        <v>0</v>
      </c>
      <c r="H575" s="132">
        <v>0</v>
      </c>
      <c r="I575" s="132">
        <v>3</v>
      </c>
    </row>
    <row r="576" spans="1:9" ht="14.25" customHeight="1" x14ac:dyDescent="0.25">
      <c r="A576" s="132" t="s">
        <v>243</v>
      </c>
      <c r="B576" s="132" t="s">
        <v>326</v>
      </c>
      <c r="C576" s="132">
        <v>35</v>
      </c>
      <c r="D576" s="132" t="str">
        <f t="shared" si="40"/>
        <v>3/8" Hex BB RS-550 35</v>
      </c>
      <c r="E576" s="132">
        <v>3</v>
      </c>
      <c r="F576" s="132">
        <v>1</v>
      </c>
      <c r="G576" s="132">
        <v>0</v>
      </c>
      <c r="H576" s="132">
        <v>0</v>
      </c>
      <c r="I576" s="132">
        <v>1</v>
      </c>
    </row>
    <row r="577" spans="1:9" ht="14.25" customHeight="1" x14ac:dyDescent="0.25">
      <c r="A577" s="132" t="s">
        <v>243</v>
      </c>
      <c r="B577" s="132" t="s">
        <v>326</v>
      </c>
      <c r="C577" s="132">
        <v>36</v>
      </c>
      <c r="D577" s="132" t="str">
        <f t="shared" si="40"/>
        <v>3/8" Hex BB RS-550 36</v>
      </c>
      <c r="E577" s="132">
        <v>3</v>
      </c>
      <c r="F577" s="132">
        <v>1</v>
      </c>
      <c r="G577" s="132">
        <v>0</v>
      </c>
      <c r="H577" s="132">
        <v>0</v>
      </c>
      <c r="I577" s="132">
        <v>1</v>
      </c>
    </row>
    <row r="578" spans="1:9" ht="14.25" customHeight="1" x14ac:dyDescent="0.25">
      <c r="A578" s="132" t="s">
        <v>243</v>
      </c>
      <c r="B578" s="132" t="s">
        <v>326</v>
      </c>
      <c r="C578" s="132">
        <v>40</v>
      </c>
      <c r="D578" s="132" t="str">
        <f t="shared" si="40"/>
        <v>3/8" Hex BB RS-550 40</v>
      </c>
      <c r="E578" s="132">
        <v>1</v>
      </c>
      <c r="F578" s="132">
        <v>1</v>
      </c>
      <c r="G578" s="132">
        <v>0</v>
      </c>
      <c r="H578" s="132">
        <v>0</v>
      </c>
      <c r="I578" s="132">
        <v>5</v>
      </c>
    </row>
    <row r="579" spans="1:9" ht="14.25" customHeight="1" x14ac:dyDescent="0.25">
      <c r="A579" s="132" t="s">
        <v>243</v>
      </c>
      <c r="B579" s="132" t="s">
        <v>326</v>
      </c>
      <c r="C579" s="132">
        <v>45</v>
      </c>
      <c r="D579" s="132" t="str">
        <f t="shared" si="40"/>
        <v>3/8" Hex BB RS-550 45</v>
      </c>
      <c r="E579" s="132">
        <v>1</v>
      </c>
      <c r="F579" s="132">
        <v>1</v>
      </c>
      <c r="G579" s="132">
        <v>0</v>
      </c>
      <c r="H579" s="132">
        <v>0</v>
      </c>
      <c r="I579" s="132">
        <v>4</v>
      </c>
    </row>
    <row r="580" spans="1:9" ht="14.25" customHeight="1" x14ac:dyDescent="0.25">
      <c r="A580" s="132" t="s">
        <v>243</v>
      </c>
      <c r="B580" s="132" t="s">
        <v>326</v>
      </c>
      <c r="C580" s="132">
        <v>49</v>
      </c>
      <c r="D580" s="132" t="str">
        <f t="shared" si="40"/>
        <v>3/8" Hex BB RS-550 49</v>
      </c>
      <c r="E580" s="132">
        <v>1</v>
      </c>
      <c r="F580" s="132">
        <v>1</v>
      </c>
      <c r="G580" s="132">
        <v>0</v>
      </c>
      <c r="H580" s="132">
        <v>0</v>
      </c>
      <c r="I580" s="132">
        <v>4</v>
      </c>
    </row>
    <row r="581" spans="1:9" ht="14.25" customHeight="1" x14ac:dyDescent="0.25">
      <c r="A581" s="132" t="s">
        <v>243</v>
      </c>
      <c r="B581" s="132" t="s">
        <v>326</v>
      </c>
      <c r="C581" s="132">
        <v>50</v>
      </c>
      <c r="D581" s="132" t="str">
        <f t="shared" si="40"/>
        <v>3/8" Hex BB RS-550 50</v>
      </c>
      <c r="E581" s="132">
        <v>1</v>
      </c>
      <c r="F581" s="132">
        <v>1</v>
      </c>
      <c r="G581" s="132">
        <v>0</v>
      </c>
      <c r="H581" s="132">
        <v>0</v>
      </c>
      <c r="I581" s="132">
        <v>1</v>
      </c>
    </row>
    <row r="582" spans="1:9" ht="14.25" customHeight="1" x14ac:dyDescent="0.25">
      <c r="A582" s="132" t="s">
        <v>243</v>
      </c>
      <c r="B582" s="132" t="s">
        <v>326</v>
      </c>
      <c r="C582" s="132">
        <v>63</v>
      </c>
      <c r="D582" s="132" t="str">
        <f t="shared" si="40"/>
        <v>3/8" Hex BB RS-550 63</v>
      </c>
      <c r="E582" s="132">
        <v>1</v>
      </c>
      <c r="F582" s="132">
        <v>0</v>
      </c>
      <c r="G582" s="132">
        <v>0</v>
      </c>
      <c r="H582" s="132">
        <v>0</v>
      </c>
      <c r="I582" s="132">
        <v>1</v>
      </c>
    </row>
    <row r="583" spans="1:9" ht="14.25" customHeight="1" x14ac:dyDescent="0.25">
      <c r="A583" s="132" t="s">
        <v>243</v>
      </c>
      <c r="B583" s="132" t="s">
        <v>326</v>
      </c>
      <c r="C583" s="132">
        <v>70</v>
      </c>
      <c r="D583" s="132" t="str">
        <f t="shared" si="40"/>
        <v>3/8" Hex BB RS-550 70</v>
      </c>
      <c r="E583" s="132">
        <v>1</v>
      </c>
      <c r="F583" s="132">
        <v>0</v>
      </c>
      <c r="G583" s="132">
        <v>0</v>
      </c>
      <c r="H583" s="132">
        <v>0</v>
      </c>
      <c r="I583" s="132">
        <v>1</v>
      </c>
    </row>
    <row r="584" spans="1:9" ht="14.25" customHeight="1" x14ac:dyDescent="0.25">
      <c r="A584" s="132" t="s">
        <v>243</v>
      </c>
      <c r="B584" s="132" t="s">
        <v>326</v>
      </c>
      <c r="C584" s="132">
        <v>81</v>
      </c>
      <c r="D584" s="132" t="str">
        <f t="shared" si="40"/>
        <v>3/8" Hex BB RS-550 81</v>
      </c>
      <c r="E584" s="132">
        <v>1</v>
      </c>
      <c r="F584" s="132">
        <v>0</v>
      </c>
      <c r="G584" s="132">
        <v>0</v>
      </c>
      <c r="H584" s="132">
        <v>0</v>
      </c>
      <c r="I584" s="132">
        <v>1</v>
      </c>
    </row>
    <row r="585" spans="1:9" ht="14.25" customHeight="1" x14ac:dyDescent="0.25">
      <c r="A585" s="132" t="s">
        <v>243</v>
      </c>
      <c r="B585" s="132" t="s">
        <v>326</v>
      </c>
      <c r="C585" s="132">
        <v>90</v>
      </c>
      <c r="D585" s="132" t="str">
        <f t="shared" si="40"/>
        <v>3/8" Hex BB RS-550 90</v>
      </c>
      <c r="E585" s="132">
        <v>1</v>
      </c>
      <c r="F585" s="132">
        <v>0</v>
      </c>
      <c r="G585" s="132">
        <v>0</v>
      </c>
      <c r="H585" s="132">
        <v>0</v>
      </c>
      <c r="I585" s="132">
        <v>1</v>
      </c>
    </row>
    <row r="586" spans="1:9" ht="14.25" customHeight="1" x14ac:dyDescent="0.25">
      <c r="A586" s="132" t="s">
        <v>243</v>
      </c>
      <c r="B586" s="132" t="s">
        <v>326</v>
      </c>
      <c r="C586" s="132">
        <v>100</v>
      </c>
      <c r="D586" s="132" t="str">
        <f t="shared" si="40"/>
        <v>3/8" Hex BB RS-550 100</v>
      </c>
      <c r="E586" s="132">
        <v>1</v>
      </c>
      <c r="F586" s="132">
        <v>0</v>
      </c>
      <c r="G586" s="132">
        <v>0</v>
      </c>
      <c r="H586" s="132">
        <v>0</v>
      </c>
      <c r="I586" s="132">
        <v>0</v>
      </c>
    </row>
    <row r="587" spans="1:9" ht="14.25" customHeight="1" x14ac:dyDescent="0.25">
      <c r="A587" s="132" t="s">
        <v>243</v>
      </c>
      <c r="B587" s="132" t="s">
        <v>327</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243</v>
      </c>
      <c r="B588" s="132" t="s">
        <v>327</v>
      </c>
      <c r="C588" s="132">
        <v>-4</v>
      </c>
      <c r="D588" s="132" t="str">
        <f t="shared" si="41"/>
        <v>3/8" Hex BB RS-775 -4</v>
      </c>
      <c r="E588" s="132">
        <v>1</v>
      </c>
      <c r="F588" s="132">
        <v>1</v>
      </c>
      <c r="G588" s="132">
        <v>0</v>
      </c>
      <c r="H588" s="132">
        <v>0</v>
      </c>
      <c r="I588" s="132">
        <v>1</v>
      </c>
    </row>
    <row r="589" spans="1:9" ht="14.25" customHeight="1" x14ac:dyDescent="0.25">
      <c r="A589" s="132" t="s">
        <v>243</v>
      </c>
      <c r="B589" s="132" t="s">
        <v>327</v>
      </c>
      <c r="C589" s="132">
        <v>-5</v>
      </c>
      <c r="D589" s="132" t="str">
        <f t="shared" si="41"/>
        <v>3/8" Hex BB RS-775 -5</v>
      </c>
      <c r="E589" s="132">
        <v>1</v>
      </c>
      <c r="F589" s="132">
        <v>1</v>
      </c>
      <c r="G589" s="132">
        <v>0</v>
      </c>
      <c r="H589" s="132">
        <v>0</v>
      </c>
      <c r="I589" s="132">
        <v>1</v>
      </c>
    </row>
    <row r="590" spans="1:9" ht="14.25" customHeight="1" x14ac:dyDescent="0.25">
      <c r="A590" s="132" t="s">
        <v>243</v>
      </c>
      <c r="B590" s="132" t="s">
        <v>327</v>
      </c>
      <c r="C590" s="132">
        <v>-7</v>
      </c>
      <c r="D590" s="132" t="str">
        <f t="shared" si="41"/>
        <v>3/8" Hex BB RS-775 -7</v>
      </c>
      <c r="E590" s="132">
        <v>1</v>
      </c>
      <c r="F590" s="132">
        <v>1</v>
      </c>
      <c r="G590" s="132">
        <v>0</v>
      </c>
      <c r="H590" s="132">
        <v>0</v>
      </c>
      <c r="I590" s="132">
        <v>1</v>
      </c>
    </row>
    <row r="591" spans="1:9" ht="14.25" customHeight="1" x14ac:dyDescent="0.25">
      <c r="A591" s="132" t="s">
        <v>243</v>
      </c>
      <c r="B591" s="132" t="s">
        <v>327</v>
      </c>
      <c r="C591" s="132">
        <v>-9</v>
      </c>
      <c r="D591" s="132" t="str">
        <f t="shared" si="41"/>
        <v>3/8" Hex BB RS-775 -9</v>
      </c>
      <c r="E591" s="132">
        <v>1</v>
      </c>
      <c r="F591" s="132">
        <v>1</v>
      </c>
      <c r="G591" s="132">
        <v>0</v>
      </c>
      <c r="H591" s="132">
        <v>0</v>
      </c>
      <c r="I591" s="132">
        <v>1</v>
      </c>
    </row>
    <row r="592" spans="1:9" ht="14.25" customHeight="1" x14ac:dyDescent="0.25">
      <c r="A592" s="132" t="s">
        <v>243</v>
      </c>
      <c r="B592" s="132" t="s">
        <v>327</v>
      </c>
      <c r="C592" s="132">
        <v>-10</v>
      </c>
      <c r="D592" s="132" t="str">
        <f t="shared" si="41"/>
        <v>3/8" Hex BB RS-775 -10</v>
      </c>
      <c r="E592" s="132">
        <v>1</v>
      </c>
      <c r="F592" s="132">
        <v>1</v>
      </c>
      <c r="G592" s="132">
        <v>0</v>
      </c>
      <c r="H592" s="132">
        <v>0</v>
      </c>
      <c r="I592" s="132">
        <v>1</v>
      </c>
    </row>
    <row r="593" spans="1:9" ht="14.25" customHeight="1" x14ac:dyDescent="0.25">
      <c r="A593" s="132" t="s">
        <v>243</v>
      </c>
      <c r="B593" s="132" t="s">
        <v>327</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243</v>
      </c>
      <c r="B594" s="132" t="s">
        <v>327</v>
      </c>
      <c r="C594" s="132">
        <v>12</v>
      </c>
      <c r="D594" s="132" t="str">
        <f t="shared" si="42"/>
        <v>3/8" Hex BB RS-775 12</v>
      </c>
      <c r="E594" s="132">
        <v>5</v>
      </c>
      <c r="F594" s="132">
        <v>1</v>
      </c>
      <c r="G594" s="132">
        <v>0</v>
      </c>
      <c r="H594" s="132">
        <v>0</v>
      </c>
      <c r="I594" s="132">
        <v>10</v>
      </c>
    </row>
    <row r="595" spans="1:9" ht="14.25" customHeight="1" x14ac:dyDescent="0.25">
      <c r="A595" s="132" t="s">
        <v>243</v>
      </c>
      <c r="B595" s="132" t="s">
        <v>327</v>
      </c>
      <c r="C595" s="132">
        <v>15</v>
      </c>
      <c r="D595" s="132" t="str">
        <f t="shared" si="42"/>
        <v>3/8" Hex BB RS-775 15</v>
      </c>
      <c r="E595" s="132">
        <v>4</v>
      </c>
      <c r="F595" s="132">
        <v>1</v>
      </c>
      <c r="G595" s="132">
        <v>0</v>
      </c>
      <c r="H595" s="132">
        <v>0</v>
      </c>
      <c r="I595" s="132">
        <v>7</v>
      </c>
    </row>
    <row r="596" spans="1:9" ht="14.25" customHeight="1" x14ac:dyDescent="0.25">
      <c r="A596" s="132" t="s">
        <v>243</v>
      </c>
      <c r="B596" s="132" t="s">
        <v>327</v>
      </c>
      <c r="C596" s="132">
        <v>16</v>
      </c>
      <c r="D596" s="132" t="str">
        <f t="shared" si="42"/>
        <v>3/8" Hex BB RS-775 16</v>
      </c>
      <c r="E596" s="132">
        <v>4</v>
      </c>
      <c r="F596" s="132">
        <v>1</v>
      </c>
      <c r="G596" s="132">
        <v>0</v>
      </c>
      <c r="H596" s="132">
        <v>0</v>
      </c>
      <c r="I596" s="132">
        <v>7</v>
      </c>
    </row>
    <row r="597" spans="1:9" ht="14.25" customHeight="1" x14ac:dyDescent="0.25">
      <c r="A597" s="132" t="s">
        <v>243</v>
      </c>
      <c r="B597" s="132" t="s">
        <v>327</v>
      </c>
      <c r="C597" s="132">
        <v>20</v>
      </c>
      <c r="D597" s="132" t="str">
        <f t="shared" si="42"/>
        <v>3/8" Hex BB RS-775 20</v>
      </c>
      <c r="E597" s="132">
        <v>3</v>
      </c>
      <c r="F597" s="132">
        <v>1</v>
      </c>
      <c r="G597" s="132">
        <v>0</v>
      </c>
      <c r="H597" s="132">
        <v>0</v>
      </c>
      <c r="I597" s="132">
        <v>5</v>
      </c>
    </row>
    <row r="598" spans="1:9" ht="14.25" customHeight="1" x14ac:dyDescent="0.25">
      <c r="A598" s="132" t="s">
        <v>243</v>
      </c>
      <c r="B598" s="132" t="s">
        <v>327</v>
      </c>
      <c r="C598" s="132">
        <v>21</v>
      </c>
      <c r="D598" s="132" t="str">
        <f t="shared" si="42"/>
        <v>3/8" Hex BB RS-775 21</v>
      </c>
      <c r="E598" s="132">
        <v>3</v>
      </c>
      <c r="F598" s="132">
        <v>1</v>
      </c>
      <c r="G598" s="132">
        <v>0</v>
      </c>
      <c r="H598" s="132">
        <v>0</v>
      </c>
      <c r="I598" s="132">
        <v>5</v>
      </c>
    </row>
    <row r="599" spans="1:9" ht="14.25" customHeight="1" x14ac:dyDescent="0.25">
      <c r="A599" s="132" t="s">
        <v>243</v>
      </c>
      <c r="B599" s="132" t="s">
        <v>327</v>
      </c>
      <c r="C599" s="132">
        <v>25</v>
      </c>
      <c r="D599" s="132" t="str">
        <f t="shared" si="42"/>
        <v>3/8" Hex BB RS-775 25</v>
      </c>
      <c r="E599" s="132">
        <v>1</v>
      </c>
      <c r="F599" s="132">
        <v>1</v>
      </c>
      <c r="G599" s="132">
        <v>0</v>
      </c>
      <c r="H599" s="132">
        <v>0</v>
      </c>
      <c r="I599" s="132">
        <v>5</v>
      </c>
    </row>
    <row r="600" spans="1:9" ht="14.25" customHeight="1" x14ac:dyDescent="0.25">
      <c r="A600" s="132" t="s">
        <v>243</v>
      </c>
      <c r="B600" s="132" t="s">
        <v>327</v>
      </c>
      <c r="C600" s="132">
        <v>27</v>
      </c>
      <c r="D600" s="132" t="str">
        <f t="shared" si="42"/>
        <v>3/8" Hex BB RS-775 27</v>
      </c>
      <c r="E600" s="132">
        <v>1</v>
      </c>
      <c r="F600" s="132">
        <v>1</v>
      </c>
      <c r="G600" s="132">
        <v>0</v>
      </c>
      <c r="H600" s="132">
        <v>0</v>
      </c>
      <c r="I600" s="132">
        <v>4</v>
      </c>
    </row>
    <row r="601" spans="1:9" ht="14.25" customHeight="1" x14ac:dyDescent="0.25">
      <c r="A601" s="132" t="s">
        <v>243</v>
      </c>
      <c r="B601" s="132" t="s">
        <v>327</v>
      </c>
      <c r="C601" s="132">
        <v>28</v>
      </c>
      <c r="D601" s="132" t="str">
        <f t="shared" si="42"/>
        <v>3/8" Hex BB RS-775 28</v>
      </c>
      <c r="E601" s="132">
        <v>1</v>
      </c>
      <c r="F601" s="132">
        <v>1</v>
      </c>
      <c r="G601" s="132">
        <v>0</v>
      </c>
      <c r="H601" s="132">
        <v>0</v>
      </c>
      <c r="I601" s="132">
        <v>4</v>
      </c>
    </row>
    <row r="602" spans="1:9" ht="14.25" customHeight="1" x14ac:dyDescent="0.25">
      <c r="A602" s="132" t="s">
        <v>243</v>
      </c>
      <c r="B602" s="132" t="s">
        <v>327</v>
      </c>
      <c r="C602" s="132">
        <v>30</v>
      </c>
      <c r="D602" s="132" t="str">
        <f t="shared" si="42"/>
        <v>3/8" Hex BB RS-775 30</v>
      </c>
      <c r="E602" s="132">
        <v>1</v>
      </c>
      <c r="F602" s="132">
        <v>1</v>
      </c>
      <c r="G602" s="132">
        <v>0</v>
      </c>
      <c r="H602" s="132">
        <v>0</v>
      </c>
      <c r="I602" s="132">
        <v>4</v>
      </c>
    </row>
    <row r="603" spans="1:9" ht="14.25" customHeight="1" x14ac:dyDescent="0.25">
      <c r="A603" s="132" t="s">
        <v>243</v>
      </c>
      <c r="B603" s="132" t="s">
        <v>327</v>
      </c>
      <c r="C603" s="132">
        <v>35</v>
      </c>
      <c r="D603" s="132" t="str">
        <f t="shared" si="42"/>
        <v>3/8" Hex BB RS-775 35</v>
      </c>
      <c r="E603" s="132">
        <v>1</v>
      </c>
      <c r="F603" s="132">
        <v>1</v>
      </c>
      <c r="G603" s="132">
        <v>0</v>
      </c>
      <c r="H603" s="132">
        <v>0</v>
      </c>
      <c r="I603" s="132">
        <v>3</v>
      </c>
    </row>
    <row r="604" spans="1:9" ht="14.25" customHeight="1" x14ac:dyDescent="0.25">
      <c r="A604" s="132" t="s">
        <v>243</v>
      </c>
      <c r="B604" s="132" t="s">
        <v>327</v>
      </c>
      <c r="C604" s="132">
        <v>36</v>
      </c>
      <c r="D604" s="132" t="str">
        <f t="shared" si="42"/>
        <v>3/8" Hex BB RS-775 36</v>
      </c>
      <c r="E604" s="132">
        <v>1</v>
      </c>
      <c r="F604" s="132">
        <v>0</v>
      </c>
      <c r="G604" s="132">
        <v>0</v>
      </c>
      <c r="H604" s="132">
        <v>0</v>
      </c>
      <c r="I604" s="132">
        <v>3</v>
      </c>
    </row>
    <row r="605" spans="1:9" ht="14.25" customHeight="1" x14ac:dyDescent="0.25">
      <c r="A605" s="132" t="s">
        <v>243</v>
      </c>
      <c r="B605" s="132" t="s">
        <v>327</v>
      </c>
      <c r="C605" s="132">
        <v>40</v>
      </c>
      <c r="D605" s="132" t="str">
        <f t="shared" si="42"/>
        <v>3/8" Hex BB RS-775 40</v>
      </c>
      <c r="E605" s="132">
        <v>1</v>
      </c>
      <c r="F605" s="132">
        <v>0</v>
      </c>
      <c r="G605" s="132">
        <v>0</v>
      </c>
      <c r="H605" s="132">
        <v>0</v>
      </c>
      <c r="I605" s="132">
        <v>3</v>
      </c>
    </row>
    <row r="606" spans="1:9" ht="14.25" customHeight="1" x14ac:dyDescent="0.25">
      <c r="A606" s="132" t="s">
        <v>243</v>
      </c>
      <c r="B606" s="132" t="s">
        <v>327</v>
      </c>
      <c r="C606" s="132">
        <v>45</v>
      </c>
      <c r="D606" s="132" t="str">
        <f t="shared" si="42"/>
        <v>3/8" Hex BB RS-775 45</v>
      </c>
      <c r="E606" s="132">
        <v>1</v>
      </c>
      <c r="F606" s="132">
        <v>0</v>
      </c>
      <c r="G606" s="132">
        <v>0</v>
      </c>
      <c r="H606" s="132">
        <v>0</v>
      </c>
      <c r="I606" s="132">
        <v>1</v>
      </c>
    </row>
    <row r="607" spans="1:9" ht="14.25" customHeight="1" x14ac:dyDescent="0.25">
      <c r="A607" s="132" t="s">
        <v>243</v>
      </c>
      <c r="B607" s="132" t="s">
        <v>327</v>
      </c>
      <c r="C607" s="132">
        <v>49</v>
      </c>
      <c r="D607" s="132" t="str">
        <f t="shared" si="42"/>
        <v>3/8" Hex BB RS-775 49</v>
      </c>
      <c r="E607" s="132">
        <v>1</v>
      </c>
      <c r="F607" s="132">
        <v>0</v>
      </c>
      <c r="G607" s="132">
        <v>0</v>
      </c>
      <c r="H607" s="132">
        <v>0</v>
      </c>
      <c r="I607" s="132">
        <v>1</v>
      </c>
    </row>
    <row r="608" spans="1:9" ht="14.25" customHeight="1" x14ac:dyDescent="0.25">
      <c r="A608" s="132" t="s">
        <v>243</v>
      </c>
      <c r="B608" s="132" t="s">
        <v>327</v>
      </c>
      <c r="C608" s="132">
        <v>50</v>
      </c>
      <c r="D608" s="132" t="str">
        <f t="shared" si="42"/>
        <v>3/8" Hex BB RS-775 50</v>
      </c>
      <c r="E608" s="132">
        <v>1</v>
      </c>
      <c r="F608" s="132">
        <v>0</v>
      </c>
      <c r="G608" s="132">
        <v>0</v>
      </c>
      <c r="H608" s="132">
        <v>0</v>
      </c>
      <c r="I608" s="132">
        <v>1</v>
      </c>
    </row>
    <row r="609" spans="1:9" ht="14.25" customHeight="1" x14ac:dyDescent="0.25">
      <c r="A609" s="132" t="s">
        <v>243</v>
      </c>
      <c r="B609" s="132" t="s">
        <v>327</v>
      </c>
      <c r="C609" s="132">
        <v>63</v>
      </c>
      <c r="D609" s="132" t="str">
        <f t="shared" si="42"/>
        <v>3/8" Hex BB RS-775 63</v>
      </c>
      <c r="E609" s="132">
        <v>1</v>
      </c>
      <c r="F609" s="132">
        <v>0</v>
      </c>
      <c r="G609" s="132">
        <v>0</v>
      </c>
      <c r="H609" s="132">
        <v>0</v>
      </c>
      <c r="I609" s="132">
        <v>1</v>
      </c>
    </row>
    <row r="610" spans="1:9" ht="14.25" customHeight="1" x14ac:dyDescent="0.25">
      <c r="A610" s="132" t="s">
        <v>243</v>
      </c>
      <c r="B610" s="132" t="s">
        <v>327</v>
      </c>
      <c r="C610" s="132">
        <v>70</v>
      </c>
      <c r="D610" s="132" t="str">
        <f t="shared" si="42"/>
        <v>3/8" Hex BB RS-775 70</v>
      </c>
      <c r="E610" s="132">
        <v>1</v>
      </c>
      <c r="F610" s="132">
        <v>0</v>
      </c>
      <c r="G610" s="132">
        <v>0</v>
      </c>
      <c r="H610" s="132">
        <v>0</v>
      </c>
      <c r="I610" s="132">
        <v>1</v>
      </c>
    </row>
    <row r="611" spans="1:9" ht="14.25" customHeight="1" x14ac:dyDescent="0.25">
      <c r="A611" s="132" t="s">
        <v>243</v>
      </c>
      <c r="B611" s="132" t="s">
        <v>327</v>
      </c>
      <c r="C611" s="132">
        <v>81</v>
      </c>
      <c r="D611" s="132" t="str">
        <f t="shared" si="42"/>
        <v>3/8" Hex BB RS-775 81</v>
      </c>
      <c r="E611" s="132">
        <v>0</v>
      </c>
      <c r="F611" s="132">
        <v>0</v>
      </c>
      <c r="G611" s="132">
        <v>0</v>
      </c>
      <c r="H611" s="132">
        <v>0</v>
      </c>
      <c r="I611" s="132">
        <v>1</v>
      </c>
    </row>
    <row r="612" spans="1:9" ht="14.25" customHeight="1" x14ac:dyDescent="0.25">
      <c r="A612" s="132" t="s">
        <v>243</v>
      </c>
      <c r="B612" s="132" t="s">
        <v>327</v>
      </c>
      <c r="C612" s="132">
        <v>90</v>
      </c>
      <c r="D612" s="132" t="str">
        <f t="shared" si="42"/>
        <v>3/8" Hex BB RS-775 90</v>
      </c>
      <c r="E612" s="132">
        <v>0</v>
      </c>
      <c r="F612" s="132">
        <v>0</v>
      </c>
      <c r="G612" s="132">
        <v>0</v>
      </c>
      <c r="H612" s="132">
        <v>0</v>
      </c>
      <c r="I612" s="132">
        <v>1</v>
      </c>
    </row>
    <row r="613" spans="1:9" ht="14.25" customHeight="1" x14ac:dyDescent="0.25">
      <c r="A613" s="132" t="s">
        <v>243</v>
      </c>
      <c r="B613" s="132" t="s">
        <v>327</v>
      </c>
      <c r="C613" s="132">
        <v>100</v>
      </c>
      <c r="D613" s="132" t="str">
        <f t="shared" si="42"/>
        <v>3/8" Hex BB RS-775 100</v>
      </c>
      <c r="E613" s="132">
        <v>0</v>
      </c>
      <c r="F613" s="132">
        <v>0</v>
      </c>
      <c r="G613" s="132">
        <v>0</v>
      </c>
      <c r="H613" s="132">
        <v>0</v>
      </c>
      <c r="I613" s="132">
        <v>1</v>
      </c>
    </row>
    <row r="614" spans="1:9" ht="14.25" customHeight="1" x14ac:dyDescent="0.25">
      <c r="A614" s="132" t="s">
        <v>243</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243</v>
      </c>
      <c r="B615" s="132" t="s">
        <v>8</v>
      </c>
      <c r="C615" s="132">
        <v>-4</v>
      </c>
      <c r="D615" s="132" t="str">
        <f t="shared" si="43"/>
        <v>3/8" Hex BAG Motor -4</v>
      </c>
      <c r="E615" s="132">
        <v>1</v>
      </c>
      <c r="F615" s="132">
        <v>1</v>
      </c>
      <c r="G615" s="132">
        <v>1</v>
      </c>
      <c r="H615" s="132">
        <v>0</v>
      </c>
      <c r="I615" s="132">
        <v>1</v>
      </c>
    </row>
    <row r="616" spans="1:9" ht="14.25" customHeight="1" x14ac:dyDescent="0.25">
      <c r="A616" s="132" t="s">
        <v>243</v>
      </c>
      <c r="B616" s="132" t="s">
        <v>8</v>
      </c>
      <c r="C616" s="132">
        <v>-5</v>
      </c>
      <c r="D616" s="132" t="str">
        <f t="shared" si="43"/>
        <v>3/8" Hex BAG Motor -5</v>
      </c>
      <c r="E616" s="132">
        <v>1</v>
      </c>
      <c r="F616" s="132">
        <v>1</v>
      </c>
      <c r="G616" s="132">
        <v>0</v>
      </c>
      <c r="H616" s="132">
        <v>0</v>
      </c>
      <c r="I616" s="132">
        <v>1</v>
      </c>
    </row>
    <row r="617" spans="1:9" ht="14.25" customHeight="1" x14ac:dyDescent="0.25">
      <c r="A617" s="132" t="s">
        <v>243</v>
      </c>
      <c r="B617" s="132" t="s">
        <v>8</v>
      </c>
      <c r="C617" s="132">
        <v>-7</v>
      </c>
      <c r="D617" s="132" t="str">
        <f t="shared" si="43"/>
        <v>3/8" Hex BAG Motor -7</v>
      </c>
      <c r="E617" s="132">
        <v>1</v>
      </c>
      <c r="F617" s="132">
        <v>1</v>
      </c>
      <c r="G617" s="132">
        <v>0</v>
      </c>
      <c r="H617" s="132">
        <v>0</v>
      </c>
      <c r="I617" s="132">
        <v>1</v>
      </c>
    </row>
    <row r="618" spans="1:9" ht="14.25" customHeight="1" x14ac:dyDescent="0.25">
      <c r="A618" s="132" t="s">
        <v>243</v>
      </c>
      <c r="B618" s="132" t="s">
        <v>8</v>
      </c>
      <c r="C618" s="132">
        <v>-9</v>
      </c>
      <c r="D618" s="132" t="str">
        <f t="shared" si="43"/>
        <v>3/8" Hex BAG Motor -9</v>
      </c>
      <c r="E618" s="132">
        <v>1</v>
      </c>
      <c r="F618" s="132">
        <v>1</v>
      </c>
      <c r="G618" s="132">
        <v>0</v>
      </c>
      <c r="H618" s="132">
        <v>0</v>
      </c>
      <c r="I618" s="132">
        <v>1</v>
      </c>
    </row>
    <row r="619" spans="1:9" ht="14.25" customHeight="1" x14ac:dyDescent="0.25">
      <c r="A619" s="132" t="s">
        <v>243</v>
      </c>
      <c r="B619" s="132" t="s">
        <v>8</v>
      </c>
      <c r="C619" s="132">
        <v>-10</v>
      </c>
      <c r="D619" s="132" t="str">
        <f t="shared" si="43"/>
        <v>3/8" Hex BAG Motor -10</v>
      </c>
      <c r="E619" s="132">
        <v>1</v>
      </c>
      <c r="F619" s="132">
        <v>1</v>
      </c>
      <c r="G619" s="132">
        <v>0</v>
      </c>
      <c r="H619" s="132">
        <v>0</v>
      </c>
      <c r="I619" s="132">
        <v>1</v>
      </c>
    </row>
    <row r="620" spans="1:9" ht="14.25" customHeight="1" x14ac:dyDescent="0.25">
      <c r="A620" s="132" t="s">
        <v>243</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243</v>
      </c>
      <c r="B621" s="132" t="s">
        <v>8</v>
      </c>
      <c r="C621" s="132">
        <v>12</v>
      </c>
      <c r="D621" s="132" t="str">
        <f t="shared" si="44"/>
        <v>3/8" Hex BAG Motor 12</v>
      </c>
      <c r="E621" s="132">
        <v>10</v>
      </c>
      <c r="F621" s="132">
        <v>5</v>
      </c>
      <c r="G621" s="132">
        <v>0</v>
      </c>
      <c r="H621" s="132">
        <v>0</v>
      </c>
      <c r="I621" s="132">
        <v>5</v>
      </c>
    </row>
    <row r="622" spans="1:9" ht="14.25" customHeight="1" x14ac:dyDescent="0.25">
      <c r="A622" s="132" t="s">
        <v>243</v>
      </c>
      <c r="B622" s="132" t="s">
        <v>8</v>
      </c>
      <c r="C622" s="132">
        <v>15</v>
      </c>
      <c r="D622" s="132" t="str">
        <f t="shared" si="44"/>
        <v>3/8" Hex BAG Motor 15</v>
      </c>
      <c r="E622" s="132">
        <v>7</v>
      </c>
      <c r="F622" s="132">
        <v>4</v>
      </c>
      <c r="G622" s="132">
        <v>0</v>
      </c>
      <c r="H622" s="132">
        <v>0</v>
      </c>
      <c r="I622" s="132">
        <v>5</v>
      </c>
    </row>
    <row r="623" spans="1:9" ht="14.25" customHeight="1" x14ac:dyDescent="0.25">
      <c r="A623" s="132" t="s">
        <v>243</v>
      </c>
      <c r="B623" s="132" t="s">
        <v>8</v>
      </c>
      <c r="C623" s="132">
        <v>16</v>
      </c>
      <c r="D623" s="132" t="str">
        <f t="shared" si="44"/>
        <v>3/8" Hex BAG Motor 16</v>
      </c>
      <c r="E623" s="132">
        <v>7</v>
      </c>
      <c r="F623" s="132">
        <v>3</v>
      </c>
      <c r="G623" s="132">
        <v>0</v>
      </c>
      <c r="H623" s="132">
        <v>0</v>
      </c>
      <c r="I623" s="132">
        <v>5</v>
      </c>
    </row>
    <row r="624" spans="1:9" ht="14.25" customHeight="1" x14ac:dyDescent="0.25">
      <c r="A624" s="132" t="s">
        <v>243</v>
      </c>
      <c r="B624" s="132" t="s">
        <v>8</v>
      </c>
      <c r="C624" s="132">
        <v>20</v>
      </c>
      <c r="D624" s="132" t="str">
        <f t="shared" si="44"/>
        <v>3/8" Hex BAG Motor 20</v>
      </c>
      <c r="E624" s="132">
        <v>5</v>
      </c>
      <c r="F624" s="132">
        <v>3</v>
      </c>
      <c r="G624" s="132">
        <v>0</v>
      </c>
      <c r="H624" s="132">
        <v>0</v>
      </c>
      <c r="I624" s="132">
        <v>4</v>
      </c>
    </row>
    <row r="625" spans="1:9" ht="14.25" customHeight="1" x14ac:dyDescent="0.25">
      <c r="A625" s="132" t="s">
        <v>243</v>
      </c>
      <c r="B625" s="132" t="s">
        <v>8</v>
      </c>
      <c r="C625" s="132">
        <v>21</v>
      </c>
      <c r="D625" s="132" t="str">
        <f t="shared" si="44"/>
        <v>3/8" Hex BAG Motor 21</v>
      </c>
      <c r="E625" s="132">
        <v>5</v>
      </c>
      <c r="F625" s="132">
        <v>1</v>
      </c>
      <c r="G625" s="132">
        <v>0</v>
      </c>
      <c r="H625" s="132">
        <v>0</v>
      </c>
      <c r="I625" s="132">
        <v>3</v>
      </c>
    </row>
    <row r="626" spans="1:9" ht="14.25" customHeight="1" x14ac:dyDescent="0.25">
      <c r="A626" s="132" t="s">
        <v>243</v>
      </c>
      <c r="B626" s="132" t="s">
        <v>8</v>
      </c>
      <c r="C626" s="132">
        <v>25</v>
      </c>
      <c r="D626" s="132" t="str">
        <f t="shared" si="44"/>
        <v>3/8" Hex BAG Motor 25</v>
      </c>
      <c r="E626" s="132">
        <v>5</v>
      </c>
      <c r="F626" s="132">
        <v>1</v>
      </c>
      <c r="G626" s="132">
        <v>0</v>
      </c>
      <c r="H626" s="132">
        <v>0</v>
      </c>
      <c r="I626" s="132">
        <v>3</v>
      </c>
    </row>
    <row r="627" spans="1:9" ht="14.25" customHeight="1" x14ac:dyDescent="0.25">
      <c r="A627" s="132" t="s">
        <v>243</v>
      </c>
      <c r="B627" s="132" t="s">
        <v>8</v>
      </c>
      <c r="C627" s="132">
        <v>27</v>
      </c>
      <c r="D627" s="132" t="str">
        <f t="shared" si="44"/>
        <v>3/8" Hex BAG Motor 27</v>
      </c>
      <c r="E627" s="132">
        <v>4</v>
      </c>
      <c r="F627" s="132">
        <v>1</v>
      </c>
      <c r="G627" s="132">
        <v>0</v>
      </c>
      <c r="H627" s="132">
        <v>0</v>
      </c>
      <c r="I627" s="132">
        <v>3</v>
      </c>
    </row>
    <row r="628" spans="1:9" ht="14.25" customHeight="1" x14ac:dyDescent="0.25">
      <c r="A628" s="132" t="s">
        <v>243</v>
      </c>
      <c r="B628" s="132" t="s">
        <v>8</v>
      </c>
      <c r="C628" s="132">
        <v>28</v>
      </c>
      <c r="D628" s="132" t="str">
        <f t="shared" si="44"/>
        <v>3/8" Hex BAG Motor 28</v>
      </c>
      <c r="E628" s="132">
        <v>4</v>
      </c>
      <c r="F628" s="132">
        <v>1</v>
      </c>
      <c r="G628" s="132">
        <v>0</v>
      </c>
      <c r="H628" s="132">
        <v>0</v>
      </c>
      <c r="I628" s="132">
        <v>1</v>
      </c>
    </row>
    <row r="629" spans="1:9" ht="14.25" customHeight="1" x14ac:dyDescent="0.25">
      <c r="A629" s="132" t="s">
        <v>243</v>
      </c>
      <c r="B629" s="132" t="s">
        <v>8</v>
      </c>
      <c r="C629" s="132">
        <v>30</v>
      </c>
      <c r="D629" s="132" t="str">
        <f t="shared" si="44"/>
        <v>3/8" Hex BAG Motor 30</v>
      </c>
      <c r="E629" s="132">
        <v>4</v>
      </c>
      <c r="F629" s="132">
        <v>1</v>
      </c>
      <c r="G629" s="132">
        <v>0</v>
      </c>
      <c r="H629" s="132">
        <v>0</v>
      </c>
      <c r="I629" s="132">
        <v>1</v>
      </c>
    </row>
    <row r="630" spans="1:9" ht="14.25" customHeight="1" x14ac:dyDescent="0.25">
      <c r="A630" s="132" t="s">
        <v>243</v>
      </c>
      <c r="B630" s="132" t="s">
        <v>8</v>
      </c>
      <c r="C630" s="132">
        <v>35</v>
      </c>
      <c r="D630" s="132" t="str">
        <f t="shared" si="44"/>
        <v>3/8" Hex BAG Motor 35</v>
      </c>
      <c r="E630" s="132">
        <v>3</v>
      </c>
      <c r="F630" s="132">
        <v>1</v>
      </c>
      <c r="G630" s="132">
        <v>0</v>
      </c>
      <c r="H630" s="132">
        <v>0</v>
      </c>
      <c r="I630" s="132">
        <v>1</v>
      </c>
    </row>
    <row r="631" spans="1:9" ht="14.25" customHeight="1" x14ac:dyDescent="0.25">
      <c r="A631" s="132" t="s">
        <v>243</v>
      </c>
      <c r="B631" s="132" t="s">
        <v>8</v>
      </c>
      <c r="C631" s="132">
        <v>36</v>
      </c>
      <c r="D631" s="132" t="str">
        <f t="shared" si="44"/>
        <v>3/8" Hex BAG Motor 36</v>
      </c>
      <c r="E631" s="132">
        <v>3</v>
      </c>
      <c r="F631" s="132">
        <v>1</v>
      </c>
      <c r="G631" s="132">
        <v>0</v>
      </c>
      <c r="H631" s="132">
        <v>0</v>
      </c>
      <c r="I631" s="132">
        <v>1</v>
      </c>
    </row>
    <row r="632" spans="1:9" ht="14.25" customHeight="1" x14ac:dyDescent="0.25">
      <c r="A632" s="132" t="s">
        <v>243</v>
      </c>
      <c r="B632" s="132" t="s">
        <v>8</v>
      </c>
      <c r="C632" s="132">
        <v>40</v>
      </c>
      <c r="D632" s="132" t="str">
        <f t="shared" si="44"/>
        <v>3/8" Hex BAG Motor 40</v>
      </c>
      <c r="E632" s="132">
        <v>3</v>
      </c>
      <c r="F632" s="132">
        <v>1</v>
      </c>
      <c r="G632" s="132">
        <v>0</v>
      </c>
      <c r="H632" s="132">
        <v>0</v>
      </c>
      <c r="I632" s="132">
        <v>1</v>
      </c>
    </row>
    <row r="633" spans="1:9" ht="14.25" customHeight="1" x14ac:dyDescent="0.25">
      <c r="A633" s="132" t="s">
        <v>243</v>
      </c>
      <c r="B633" s="132" t="s">
        <v>8</v>
      </c>
      <c r="C633" s="132">
        <v>45</v>
      </c>
      <c r="D633" s="132" t="str">
        <f t="shared" si="44"/>
        <v>3/8" Hex BAG Motor 45</v>
      </c>
      <c r="E633" s="132">
        <v>1</v>
      </c>
      <c r="F633" s="132">
        <v>1</v>
      </c>
      <c r="G633" s="132">
        <v>0</v>
      </c>
      <c r="H633" s="132">
        <v>0</v>
      </c>
      <c r="I633" s="132">
        <v>1</v>
      </c>
    </row>
    <row r="634" spans="1:9" ht="14.25" customHeight="1" x14ac:dyDescent="0.25">
      <c r="A634" s="132" t="s">
        <v>243</v>
      </c>
      <c r="B634" s="132" t="s">
        <v>8</v>
      </c>
      <c r="C634" s="132">
        <v>49</v>
      </c>
      <c r="D634" s="132" t="str">
        <f t="shared" si="44"/>
        <v>3/8" Hex BAG Motor 49</v>
      </c>
      <c r="E634" s="132">
        <v>1</v>
      </c>
      <c r="F634" s="132">
        <v>1</v>
      </c>
      <c r="G634" s="132">
        <v>0</v>
      </c>
      <c r="H634" s="132">
        <v>0</v>
      </c>
      <c r="I634" s="132">
        <v>1</v>
      </c>
    </row>
    <row r="635" spans="1:9" ht="14.25" customHeight="1" x14ac:dyDescent="0.25">
      <c r="A635" s="132" t="s">
        <v>243</v>
      </c>
      <c r="B635" s="132" t="s">
        <v>8</v>
      </c>
      <c r="C635" s="132">
        <v>50</v>
      </c>
      <c r="D635" s="132" t="str">
        <f t="shared" si="44"/>
        <v>3/8" Hex BAG Motor 50</v>
      </c>
      <c r="E635" s="132">
        <v>1</v>
      </c>
      <c r="F635" s="132">
        <v>1</v>
      </c>
      <c r="G635" s="132">
        <v>0</v>
      </c>
      <c r="H635" s="132">
        <v>0</v>
      </c>
      <c r="I635" s="132">
        <v>1</v>
      </c>
    </row>
    <row r="636" spans="1:9" ht="14.25" customHeight="1" x14ac:dyDescent="0.25">
      <c r="A636" s="132" t="s">
        <v>243</v>
      </c>
      <c r="B636" s="132" t="s">
        <v>8</v>
      </c>
      <c r="C636" s="132">
        <v>63</v>
      </c>
      <c r="D636" s="132" t="str">
        <f t="shared" si="44"/>
        <v>3/8" Hex BAG Motor 63</v>
      </c>
      <c r="E636" s="132">
        <v>1</v>
      </c>
      <c r="F636" s="132">
        <v>0</v>
      </c>
      <c r="G636" s="132">
        <v>0</v>
      </c>
      <c r="H636" s="132">
        <v>0</v>
      </c>
      <c r="I636" s="132">
        <v>1</v>
      </c>
    </row>
    <row r="637" spans="1:9" ht="14.25" customHeight="1" x14ac:dyDescent="0.25">
      <c r="A637" s="132" t="s">
        <v>243</v>
      </c>
      <c r="B637" s="132" t="s">
        <v>8</v>
      </c>
      <c r="C637" s="132">
        <v>70</v>
      </c>
      <c r="D637" s="132" t="str">
        <f t="shared" si="44"/>
        <v>3/8" Hex BAG Motor 70</v>
      </c>
      <c r="E637" s="132">
        <v>1</v>
      </c>
      <c r="F637" s="132">
        <v>0</v>
      </c>
      <c r="G637" s="132">
        <v>0</v>
      </c>
      <c r="H637" s="132">
        <v>0</v>
      </c>
      <c r="I637" s="132">
        <v>1</v>
      </c>
    </row>
    <row r="638" spans="1:9" ht="14.25" customHeight="1" x14ac:dyDescent="0.25">
      <c r="A638" s="132" t="s">
        <v>243</v>
      </c>
      <c r="B638" s="132" t="s">
        <v>8</v>
      </c>
      <c r="C638" s="132">
        <v>81</v>
      </c>
      <c r="D638" s="132" t="str">
        <f t="shared" si="44"/>
        <v>3/8" Hex BAG Motor 81</v>
      </c>
      <c r="E638" s="132">
        <v>1</v>
      </c>
      <c r="F638" s="132">
        <v>0</v>
      </c>
      <c r="G638" s="132">
        <v>0</v>
      </c>
      <c r="H638" s="132">
        <v>0</v>
      </c>
      <c r="I638" s="132">
        <v>1</v>
      </c>
    </row>
    <row r="639" spans="1:9" ht="14.25" customHeight="1" x14ac:dyDescent="0.25">
      <c r="A639" s="132" t="s">
        <v>243</v>
      </c>
      <c r="B639" s="132" t="s">
        <v>8</v>
      </c>
      <c r="C639" s="132">
        <v>90</v>
      </c>
      <c r="D639" s="132" t="str">
        <f t="shared" si="44"/>
        <v>3/8" Hex BAG Motor 90</v>
      </c>
      <c r="E639" s="132">
        <v>1</v>
      </c>
      <c r="F639" s="132">
        <v>0</v>
      </c>
      <c r="G639" s="132">
        <v>0</v>
      </c>
      <c r="H639" s="132">
        <v>0</v>
      </c>
      <c r="I639" s="132">
        <v>0</v>
      </c>
    </row>
    <row r="640" spans="1:9" ht="14.25" customHeight="1" x14ac:dyDescent="0.25">
      <c r="A640" s="132" t="s">
        <v>243</v>
      </c>
      <c r="B640" s="132" t="s">
        <v>8</v>
      </c>
      <c r="C640" s="132">
        <v>100</v>
      </c>
      <c r="D640" s="132" t="str">
        <f t="shared" si="44"/>
        <v>3/8" Hex BAG Motor 100</v>
      </c>
      <c r="E640" s="132">
        <v>1</v>
      </c>
      <c r="F640" s="132">
        <v>0</v>
      </c>
      <c r="G640" s="132">
        <v>0</v>
      </c>
      <c r="H640" s="132">
        <v>0</v>
      </c>
      <c r="I640" s="132">
        <v>0</v>
      </c>
    </row>
    <row r="641" spans="1:9" ht="14.25" customHeight="1" x14ac:dyDescent="0.25">
      <c r="A641" s="132" t="s">
        <v>243</v>
      </c>
      <c r="B641" s="132" t="s">
        <v>255</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243</v>
      </c>
      <c r="B642" s="132" t="s">
        <v>255</v>
      </c>
      <c r="C642" s="132">
        <v>-4</v>
      </c>
      <c r="D642" s="132" t="str">
        <f t="shared" si="45"/>
        <v>3/8" Hex 775pro -4</v>
      </c>
      <c r="E642" s="132">
        <v>1</v>
      </c>
      <c r="F642" s="132">
        <v>1</v>
      </c>
      <c r="G642" s="132">
        <v>0</v>
      </c>
      <c r="H642" s="132">
        <v>0</v>
      </c>
      <c r="I642" s="132">
        <v>1</v>
      </c>
    </row>
    <row r="643" spans="1:9" ht="14.25" customHeight="1" x14ac:dyDescent="0.25">
      <c r="A643" s="132" t="s">
        <v>243</v>
      </c>
      <c r="B643" s="132" t="s">
        <v>255</v>
      </c>
      <c r="C643" s="132">
        <v>-5</v>
      </c>
      <c r="D643" s="132" t="str">
        <f t="shared" si="45"/>
        <v>3/8" Hex 775pro -5</v>
      </c>
      <c r="E643" s="132">
        <v>1</v>
      </c>
      <c r="F643" s="132">
        <v>1</v>
      </c>
      <c r="G643" s="132">
        <v>0</v>
      </c>
      <c r="H643" s="132">
        <v>0</v>
      </c>
      <c r="I643" s="132">
        <v>1</v>
      </c>
    </row>
    <row r="644" spans="1:9" ht="14.25" customHeight="1" x14ac:dyDescent="0.25">
      <c r="A644" s="132" t="s">
        <v>243</v>
      </c>
      <c r="B644" s="132" t="s">
        <v>255</v>
      </c>
      <c r="C644" s="132">
        <v>-7</v>
      </c>
      <c r="D644" s="132" t="str">
        <f t="shared" si="45"/>
        <v>3/8" Hex 775pro -7</v>
      </c>
      <c r="E644" s="132">
        <v>1</v>
      </c>
      <c r="F644" s="132">
        <v>1</v>
      </c>
      <c r="G644" s="132">
        <v>0</v>
      </c>
      <c r="H644" s="132">
        <v>0</v>
      </c>
      <c r="I644" s="132">
        <v>1</v>
      </c>
    </row>
    <row r="645" spans="1:9" ht="14.25" customHeight="1" x14ac:dyDescent="0.25">
      <c r="A645" s="132" t="s">
        <v>243</v>
      </c>
      <c r="B645" s="132" t="s">
        <v>255</v>
      </c>
      <c r="C645" s="132">
        <v>-9</v>
      </c>
      <c r="D645" s="132" t="str">
        <f t="shared" si="45"/>
        <v>3/8" Hex 775pro -9</v>
      </c>
      <c r="E645" s="132">
        <v>1</v>
      </c>
      <c r="F645" s="132">
        <v>1</v>
      </c>
      <c r="G645" s="132">
        <v>0</v>
      </c>
      <c r="H645" s="132">
        <v>0</v>
      </c>
      <c r="I645" s="132">
        <v>1</v>
      </c>
    </row>
    <row r="646" spans="1:9" ht="14.25" customHeight="1" x14ac:dyDescent="0.25">
      <c r="A646" s="132" t="s">
        <v>243</v>
      </c>
      <c r="B646" s="132" t="s">
        <v>255</v>
      </c>
      <c r="C646" s="132">
        <v>-10</v>
      </c>
      <c r="D646" s="132" t="str">
        <f t="shared" si="45"/>
        <v>3/8" Hex 775pro -10</v>
      </c>
      <c r="E646" s="132">
        <v>1</v>
      </c>
      <c r="F646" s="132">
        <v>1</v>
      </c>
      <c r="G646" s="132">
        <v>0</v>
      </c>
      <c r="H646" s="132">
        <v>0</v>
      </c>
      <c r="I646" s="132">
        <v>1</v>
      </c>
    </row>
    <row r="647" spans="1:9" ht="14.25" customHeight="1" x14ac:dyDescent="0.25">
      <c r="A647" s="132" t="s">
        <v>243</v>
      </c>
      <c r="B647" s="132" t="s">
        <v>255</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243</v>
      </c>
      <c r="B648" s="132" t="s">
        <v>255</v>
      </c>
      <c r="C648" s="132">
        <v>12</v>
      </c>
      <c r="D648" s="132" t="str">
        <f t="shared" si="46"/>
        <v>3/8" Hex 775pro 12</v>
      </c>
      <c r="E648" s="132">
        <v>5</v>
      </c>
      <c r="F648" s="132">
        <v>3</v>
      </c>
      <c r="G648" s="132">
        <v>0</v>
      </c>
      <c r="H648" s="132">
        <v>0</v>
      </c>
      <c r="I648" s="132">
        <v>4</v>
      </c>
    </row>
    <row r="649" spans="1:9" ht="14.25" customHeight="1" x14ac:dyDescent="0.25">
      <c r="A649" s="132" t="s">
        <v>243</v>
      </c>
      <c r="B649" s="132" t="s">
        <v>255</v>
      </c>
      <c r="C649" s="132">
        <v>15</v>
      </c>
      <c r="D649" s="132" t="str">
        <f t="shared" si="46"/>
        <v>3/8" Hex 775pro 15</v>
      </c>
      <c r="E649" s="132">
        <v>5</v>
      </c>
      <c r="F649" s="132">
        <v>1</v>
      </c>
      <c r="G649" s="132">
        <v>0</v>
      </c>
      <c r="H649" s="132">
        <v>0</v>
      </c>
      <c r="I649" s="132">
        <v>3</v>
      </c>
    </row>
    <row r="650" spans="1:9" ht="14.25" customHeight="1" x14ac:dyDescent="0.25">
      <c r="A650" s="132" t="s">
        <v>243</v>
      </c>
      <c r="B650" s="132" t="s">
        <v>255</v>
      </c>
      <c r="C650" s="132">
        <v>16</v>
      </c>
      <c r="D650" s="132" t="str">
        <f t="shared" si="46"/>
        <v>3/8" Hex 775pro 16</v>
      </c>
      <c r="E650" s="132">
        <v>4</v>
      </c>
      <c r="F650" s="132">
        <v>1</v>
      </c>
      <c r="G650" s="132">
        <v>0</v>
      </c>
      <c r="H650" s="132">
        <v>0</v>
      </c>
      <c r="I650" s="132">
        <v>3</v>
      </c>
    </row>
    <row r="651" spans="1:9" ht="14.25" customHeight="1" x14ac:dyDescent="0.25">
      <c r="A651" s="132" t="s">
        <v>243</v>
      </c>
      <c r="B651" s="132" t="s">
        <v>255</v>
      </c>
      <c r="C651" s="132">
        <v>20</v>
      </c>
      <c r="D651" s="132" t="str">
        <f t="shared" si="46"/>
        <v>3/8" Hex 775pro 20</v>
      </c>
      <c r="E651" s="132">
        <v>3</v>
      </c>
      <c r="F651" s="132">
        <v>1</v>
      </c>
      <c r="G651" s="132">
        <v>0</v>
      </c>
      <c r="H651" s="132">
        <v>0</v>
      </c>
      <c r="I651" s="132">
        <v>1</v>
      </c>
    </row>
    <row r="652" spans="1:9" ht="14.25" customHeight="1" x14ac:dyDescent="0.25">
      <c r="A652" s="132" t="s">
        <v>243</v>
      </c>
      <c r="B652" s="132" t="s">
        <v>255</v>
      </c>
      <c r="C652" s="132">
        <v>21</v>
      </c>
      <c r="D652" s="132" t="str">
        <f t="shared" si="46"/>
        <v>3/8" Hex 775pro 21</v>
      </c>
      <c r="E652" s="132">
        <v>3</v>
      </c>
      <c r="F652" s="132">
        <v>1</v>
      </c>
      <c r="G652" s="132">
        <v>0</v>
      </c>
      <c r="H652" s="132">
        <v>0</v>
      </c>
      <c r="I652" s="132">
        <v>1</v>
      </c>
    </row>
    <row r="653" spans="1:9" ht="14.25" customHeight="1" x14ac:dyDescent="0.25">
      <c r="A653" s="132" t="s">
        <v>243</v>
      </c>
      <c r="B653" s="132" t="s">
        <v>255</v>
      </c>
      <c r="C653" s="132">
        <v>25</v>
      </c>
      <c r="D653" s="132" t="str">
        <f t="shared" si="46"/>
        <v>3/8" Hex 775pro 25</v>
      </c>
      <c r="E653" s="132">
        <v>3</v>
      </c>
      <c r="F653" s="132">
        <v>1</v>
      </c>
      <c r="G653" s="132">
        <v>0</v>
      </c>
      <c r="H653" s="132">
        <v>0</v>
      </c>
      <c r="I653" s="132">
        <v>1</v>
      </c>
    </row>
    <row r="654" spans="1:9" ht="14.25" customHeight="1" x14ac:dyDescent="0.25">
      <c r="A654" s="132" t="s">
        <v>243</v>
      </c>
      <c r="B654" s="132" t="s">
        <v>255</v>
      </c>
      <c r="C654" s="132">
        <v>27</v>
      </c>
      <c r="D654" s="132" t="str">
        <f t="shared" si="46"/>
        <v>3/8" Hex 775pro 27</v>
      </c>
      <c r="E654" s="132">
        <v>1</v>
      </c>
      <c r="F654" s="132">
        <v>1</v>
      </c>
      <c r="G654" s="132">
        <v>0</v>
      </c>
      <c r="H654" s="132">
        <v>0</v>
      </c>
      <c r="I654" s="132">
        <v>1</v>
      </c>
    </row>
    <row r="655" spans="1:9" ht="14.25" customHeight="1" x14ac:dyDescent="0.25">
      <c r="A655" s="132" t="s">
        <v>243</v>
      </c>
      <c r="B655" s="132" t="s">
        <v>255</v>
      </c>
      <c r="C655" s="132">
        <v>28</v>
      </c>
      <c r="D655" s="132" t="str">
        <f t="shared" si="46"/>
        <v>3/8" Hex 775pro 28</v>
      </c>
      <c r="E655" s="132">
        <v>1</v>
      </c>
      <c r="F655" s="132">
        <v>1</v>
      </c>
      <c r="G655" s="132">
        <v>0</v>
      </c>
      <c r="H655" s="132">
        <v>0</v>
      </c>
      <c r="I655" s="132">
        <v>1</v>
      </c>
    </row>
    <row r="656" spans="1:9" ht="14.25" customHeight="1" x14ac:dyDescent="0.25">
      <c r="A656" s="132" t="s">
        <v>243</v>
      </c>
      <c r="B656" s="132" t="s">
        <v>255</v>
      </c>
      <c r="C656" s="132">
        <v>30</v>
      </c>
      <c r="D656" s="132" t="str">
        <f t="shared" si="46"/>
        <v>3/8" Hex 775pro 30</v>
      </c>
      <c r="E656" s="132">
        <v>1</v>
      </c>
      <c r="F656" s="132">
        <v>1</v>
      </c>
      <c r="G656" s="132">
        <v>0</v>
      </c>
      <c r="H656" s="132">
        <v>0</v>
      </c>
      <c r="I656" s="132">
        <v>1</v>
      </c>
    </row>
    <row r="657" spans="1:9" ht="14.25" customHeight="1" x14ac:dyDescent="0.25">
      <c r="A657" s="132" t="s">
        <v>243</v>
      </c>
      <c r="B657" s="132" t="s">
        <v>255</v>
      </c>
      <c r="C657" s="132">
        <v>35</v>
      </c>
      <c r="D657" s="132" t="str">
        <f t="shared" si="46"/>
        <v>3/8" Hex 775pro 35</v>
      </c>
      <c r="E657" s="132">
        <v>1</v>
      </c>
      <c r="F657" s="132">
        <v>1</v>
      </c>
      <c r="G657" s="132">
        <v>0</v>
      </c>
      <c r="H657" s="132">
        <v>0</v>
      </c>
      <c r="I657" s="132">
        <v>1</v>
      </c>
    </row>
    <row r="658" spans="1:9" ht="14.25" customHeight="1" x14ac:dyDescent="0.25">
      <c r="A658" s="132" t="s">
        <v>243</v>
      </c>
      <c r="B658" s="132" t="s">
        <v>255</v>
      </c>
      <c r="C658" s="132">
        <v>36</v>
      </c>
      <c r="D658" s="132" t="str">
        <f t="shared" si="46"/>
        <v>3/8" Hex 775pro 36</v>
      </c>
      <c r="E658" s="132">
        <v>1</v>
      </c>
      <c r="F658" s="132">
        <v>1</v>
      </c>
      <c r="G658" s="132">
        <v>0</v>
      </c>
      <c r="H658" s="132">
        <v>0</v>
      </c>
      <c r="I658" s="132">
        <v>1</v>
      </c>
    </row>
    <row r="659" spans="1:9" ht="14.25" customHeight="1" x14ac:dyDescent="0.25">
      <c r="A659" s="132" t="s">
        <v>243</v>
      </c>
      <c r="B659" s="132" t="s">
        <v>255</v>
      </c>
      <c r="C659" s="132">
        <v>40</v>
      </c>
      <c r="D659" s="132" t="str">
        <f t="shared" si="46"/>
        <v>3/8" Hex 775pro 40</v>
      </c>
      <c r="E659" s="132">
        <v>1</v>
      </c>
      <c r="F659" s="132">
        <v>0</v>
      </c>
      <c r="G659" s="132">
        <v>0</v>
      </c>
      <c r="H659" s="132">
        <v>0</v>
      </c>
      <c r="I659" s="132">
        <v>1</v>
      </c>
    </row>
    <row r="660" spans="1:9" ht="14.25" customHeight="1" x14ac:dyDescent="0.25">
      <c r="A660" s="132" t="s">
        <v>243</v>
      </c>
      <c r="B660" s="132" t="s">
        <v>255</v>
      </c>
      <c r="C660" s="132">
        <v>45</v>
      </c>
      <c r="D660" s="132" t="str">
        <f t="shared" si="46"/>
        <v>3/8" Hex 775pro 45</v>
      </c>
      <c r="E660" s="132">
        <v>1</v>
      </c>
      <c r="F660" s="132">
        <v>0</v>
      </c>
      <c r="G660" s="132">
        <v>0</v>
      </c>
      <c r="H660" s="132">
        <v>0</v>
      </c>
      <c r="I660" s="132">
        <v>1</v>
      </c>
    </row>
    <row r="661" spans="1:9" ht="14.25" customHeight="1" x14ac:dyDescent="0.25">
      <c r="A661" s="132" t="s">
        <v>243</v>
      </c>
      <c r="B661" s="132" t="s">
        <v>255</v>
      </c>
      <c r="C661" s="132">
        <v>49</v>
      </c>
      <c r="D661" s="132" t="str">
        <f t="shared" si="46"/>
        <v>3/8" Hex 775pro 49</v>
      </c>
      <c r="E661" s="132">
        <v>1</v>
      </c>
      <c r="F661" s="132">
        <v>0</v>
      </c>
      <c r="G661" s="132">
        <v>0</v>
      </c>
      <c r="H661" s="132">
        <v>0</v>
      </c>
      <c r="I661" s="132">
        <v>1</v>
      </c>
    </row>
    <row r="662" spans="1:9" ht="14.25" customHeight="1" x14ac:dyDescent="0.25">
      <c r="A662" s="132" t="s">
        <v>243</v>
      </c>
      <c r="B662" s="132" t="s">
        <v>255</v>
      </c>
      <c r="C662" s="132">
        <v>50</v>
      </c>
      <c r="D662" s="132" t="str">
        <f t="shared" si="46"/>
        <v>3/8" Hex 775pro 50</v>
      </c>
      <c r="E662" s="132">
        <v>1</v>
      </c>
      <c r="F662" s="132">
        <v>0</v>
      </c>
      <c r="G662" s="132">
        <v>0</v>
      </c>
      <c r="H662" s="132">
        <v>0</v>
      </c>
      <c r="I662" s="132">
        <v>0</v>
      </c>
    </row>
    <row r="663" spans="1:9" ht="14.25" customHeight="1" x14ac:dyDescent="0.25">
      <c r="A663" s="132" t="s">
        <v>243</v>
      </c>
      <c r="B663" s="132" t="s">
        <v>255</v>
      </c>
      <c r="C663" s="132">
        <v>63</v>
      </c>
      <c r="D663" s="132" t="str">
        <f t="shared" si="46"/>
        <v>3/8" Hex 775pro 63</v>
      </c>
      <c r="E663" s="132">
        <v>1</v>
      </c>
      <c r="F663" s="132">
        <v>0</v>
      </c>
      <c r="G663" s="132">
        <v>0</v>
      </c>
      <c r="H663" s="132">
        <v>0</v>
      </c>
      <c r="I663" s="132">
        <v>0</v>
      </c>
    </row>
    <row r="664" spans="1:9" ht="14.25" customHeight="1" x14ac:dyDescent="0.25">
      <c r="A664" s="132" t="s">
        <v>243</v>
      </c>
      <c r="B664" s="132" t="s">
        <v>255</v>
      </c>
      <c r="C664" s="132">
        <v>70</v>
      </c>
      <c r="D664" s="132" t="str">
        <f t="shared" si="46"/>
        <v>3/8" Hex 775pro 70</v>
      </c>
      <c r="E664" s="132">
        <v>1</v>
      </c>
      <c r="F664" s="132">
        <v>0</v>
      </c>
      <c r="G664" s="132">
        <v>0</v>
      </c>
      <c r="H664" s="132">
        <v>0</v>
      </c>
      <c r="I664" s="132">
        <v>0</v>
      </c>
    </row>
    <row r="665" spans="1:9" ht="14.25" customHeight="1" x14ac:dyDescent="0.25">
      <c r="A665" s="132" t="s">
        <v>243</v>
      </c>
      <c r="B665" s="132" t="s">
        <v>255</v>
      </c>
      <c r="C665" s="132">
        <v>81</v>
      </c>
      <c r="D665" s="132" t="str">
        <f t="shared" si="46"/>
        <v>3/8" Hex 775pro 81</v>
      </c>
      <c r="E665" s="132">
        <v>0</v>
      </c>
      <c r="F665" s="132">
        <v>0</v>
      </c>
      <c r="G665" s="132">
        <v>0</v>
      </c>
      <c r="H665" s="132">
        <v>0</v>
      </c>
      <c r="I665" s="132">
        <v>0</v>
      </c>
    </row>
    <row r="666" spans="1:9" ht="14.25" customHeight="1" x14ac:dyDescent="0.25">
      <c r="A666" s="132" t="s">
        <v>243</v>
      </c>
      <c r="B666" s="132" t="s">
        <v>255</v>
      </c>
      <c r="C666" s="132">
        <v>90</v>
      </c>
      <c r="D666" s="132" t="str">
        <f t="shared" si="46"/>
        <v>3/8" Hex 775pro 90</v>
      </c>
      <c r="E666" s="132">
        <v>0</v>
      </c>
      <c r="F666" s="132">
        <v>0</v>
      </c>
      <c r="G666" s="132">
        <v>0</v>
      </c>
      <c r="H666" s="132">
        <v>0</v>
      </c>
      <c r="I666" s="132">
        <v>0</v>
      </c>
    </row>
    <row r="667" spans="1:9" ht="14.25" customHeight="1" x14ac:dyDescent="0.25">
      <c r="A667" s="132" t="s">
        <v>243</v>
      </c>
      <c r="B667" s="132" t="s">
        <v>255</v>
      </c>
      <c r="C667" s="132">
        <v>100</v>
      </c>
      <c r="D667" s="132" t="str">
        <f t="shared" si="46"/>
        <v>3/8" Hex 775pro 100</v>
      </c>
      <c r="E667" s="132">
        <v>0</v>
      </c>
      <c r="F667" s="132">
        <v>0</v>
      </c>
      <c r="G667" s="132">
        <v>0</v>
      </c>
      <c r="H667" s="132">
        <v>0</v>
      </c>
      <c r="I667" s="132">
        <v>0</v>
      </c>
    </row>
    <row r="668" spans="1:9" ht="14.25" customHeight="1" x14ac:dyDescent="0.25">
      <c r="A668" s="132" t="s">
        <v>243</v>
      </c>
      <c r="B668" s="132" t="s">
        <v>7</v>
      </c>
      <c r="C668" s="132">
        <v>-3</v>
      </c>
      <c r="D668" s="132" t="str">
        <f t="shared" ref="D668:D673" si="47">A668&amp;" "&amp;B668&amp;" "&amp;C668</f>
        <v>3/8" Hex Mini CIM -3</v>
      </c>
      <c r="E668" s="132">
        <v>1</v>
      </c>
      <c r="I668" s="132">
        <v>0</v>
      </c>
    </row>
    <row r="669" spans="1:9" ht="14.25" customHeight="1" x14ac:dyDescent="0.25">
      <c r="A669" s="132" t="s">
        <v>243</v>
      </c>
      <c r="B669" s="132" t="s">
        <v>7</v>
      </c>
      <c r="C669" s="132">
        <v>-4</v>
      </c>
      <c r="D669" s="132" t="str">
        <f t="shared" si="47"/>
        <v>3/8" Hex Mini CIM -4</v>
      </c>
      <c r="E669" s="132">
        <v>1</v>
      </c>
      <c r="I669" s="132">
        <v>0</v>
      </c>
    </row>
    <row r="670" spans="1:9" ht="14.25" customHeight="1" x14ac:dyDescent="0.25">
      <c r="A670" s="132" t="s">
        <v>243</v>
      </c>
      <c r="B670" s="132" t="s">
        <v>7</v>
      </c>
      <c r="C670" s="132">
        <v>-5</v>
      </c>
      <c r="D670" s="132" t="str">
        <f t="shared" si="47"/>
        <v>3/8" Hex Mini CIM -5</v>
      </c>
      <c r="E670" s="132">
        <v>1</v>
      </c>
      <c r="I670" s="132">
        <v>0</v>
      </c>
    </row>
    <row r="671" spans="1:9" ht="14.25" customHeight="1" x14ac:dyDescent="0.25">
      <c r="A671" s="132" t="s">
        <v>243</v>
      </c>
      <c r="B671" s="132" t="s">
        <v>7</v>
      </c>
      <c r="C671" s="132">
        <v>-7</v>
      </c>
      <c r="D671" s="132" t="str">
        <f t="shared" si="47"/>
        <v>3/8" Hex Mini CIM -7</v>
      </c>
      <c r="E671" s="132">
        <v>1</v>
      </c>
      <c r="I671" s="132">
        <v>0</v>
      </c>
    </row>
    <row r="672" spans="1:9" ht="14.25" customHeight="1" x14ac:dyDescent="0.25">
      <c r="A672" s="132" t="s">
        <v>243</v>
      </c>
      <c r="B672" s="132" t="s">
        <v>7</v>
      </c>
      <c r="C672" s="132">
        <v>-9</v>
      </c>
      <c r="D672" s="132" t="str">
        <f t="shared" si="47"/>
        <v>3/8" Hex Mini CIM -9</v>
      </c>
      <c r="E672" s="132">
        <v>1</v>
      </c>
      <c r="I672" s="132">
        <v>0</v>
      </c>
    </row>
    <row r="673" spans="1:9" ht="14.25" customHeight="1" x14ac:dyDescent="0.25">
      <c r="A673" s="132" t="s">
        <v>243</v>
      </c>
      <c r="B673" s="132" t="s">
        <v>7</v>
      </c>
      <c r="C673" s="132">
        <v>-10</v>
      </c>
      <c r="D673" s="132" t="str">
        <f t="shared" si="47"/>
        <v>3/8" Hex Mini CIM -10</v>
      </c>
      <c r="E673" s="132">
        <v>1</v>
      </c>
      <c r="I673" s="132">
        <v>0</v>
      </c>
    </row>
    <row r="674" spans="1:9" ht="14.25" customHeight="1" x14ac:dyDescent="0.25">
      <c r="A674" s="132" t="s">
        <v>243</v>
      </c>
      <c r="B674" s="132" t="s">
        <v>7</v>
      </c>
      <c r="C674" s="132">
        <v>9</v>
      </c>
      <c r="D674" s="132" t="str">
        <f t="shared" ref="D674:D694" si="48">A674&amp;" "&amp;B674&amp;" "&amp;C674</f>
        <v>3/8" Hex Mini CIM 9</v>
      </c>
      <c r="E674" s="132">
        <v>4</v>
      </c>
      <c r="I674" s="132">
        <v>0</v>
      </c>
    </row>
    <row r="675" spans="1:9" ht="14.25" customHeight="1" x14ac:dyDescent="0.25">
      <c r="A675" s="132" t="s">
        <v>243</v>
      </c>
      <c r="B675" s="132" t="s">
        <v>7</v>
      </c>
      <c r="C675" s="132">
        <v>12</v>
      </c>
      <c r="D675" s="132" t="str">
        <f t="shared" si="48"/>
        <v>3/8" Hex Mini CIM 12</v>
      </c>
      <c r="E675" s="132">
        <v>3</v>
      </c>
      <c r="I675" s="132">
        <v>0</v>
      </c>
    </row>
    <row r="676" spans="1:9" ht="14.25" customHeight="1" x14ac:dyDescent="0.25">
      <c r="A676" s="132" t="s">
        <v>243</v>
      </c>
      <c r="B676" s="132" t="s">
        <v>7</v>
      </c>
      <c r="C676" s="132">
        <v>15</v>
      </c>
      <c r="D676" s="132" t="str">
        <f t="shared" si="48"/>
        <v>3/8" Hex Mini CIM 15</v>
      </c>
      <c r="E676" s="132">
        <v>1</v>
      </c>
      <c r="I676" s="132">
        <v>0</v>
      </c>
    </row>
    <row r="677" spans="1:9" ht="14.25" customHeight="1" x14ac:dyDescent="0.25">
      <c r="A677" s="132" t="s">
        <v>243</v>
      </c>
      <c r="B677" s="132" t="s">
        <v>7</v>
      </c>
      <c r="C677" s="132">
        <v>16</v>
      </c>
      <c r="D677" s="132" t="str">
        <f t="shared" si="48"/>
        <v>3/8" Hex Mini CIM 16</v>
      </c>
      <c r="E677" s="132">
        <v>1</v>
      </c>
      <c r="I677" s="132">
        <v>0</v>
      </c>
    </row>
    <row r="678" spans="1:9" ht="14.25" customHeight="1" x14ac:dyDescent="0.25">
      <c r="A678" s="132" t="s">
        <v>243</v>
      </c>
      <c r="B678" s="132" t="s">
        <v>7</v>
      </c>
      <c r="C678" s="132">
        <v>20</v>
      </c>
      <c r="D678" s="132" t="str">
        <f t="shared" si="48"/>
        <v>3/8" Hex Mini CIM 20</v>
      </c>
      <c r="E678" s="132">
        <v>1</v>
      </c>
      <c r="I678" s="132">
        <v>0</v>
      </c>
    </row>
    <row r="679" spans="1:9" ht="14.25" customHeight="1" x14ac:dyDescent="0.25">
      <c r="A679" s="132" t="s">
        <v>243</v>
      </c>
      <c r="B679" s="132" t="s">
        <v>7</v>
      </c>
      <c r="C679" s="132">
        <v>21</v>
      </c>
      <c r="D679" s="132" t="str">
        <f t="shared" si="48"/>
        <v>3/8" Hex Mini CIM 21</v>
      </c>
      <c r="E679" s="132">
        <v>1</v>
      </c>
      <c r="I679" s="132">
        <v>0</v>
      </c>
    </row>
    <row r="680" spans="1:9" ht="14.25" customHeight="1" x14ac:dyDescent="0.25">
      <c r="A680" s="132" t="s">
        <v>243</v>
      </c>
      <c r="B680" s="132" t="s">
        <v>7</v>
      </c>
      <c r="C680" s="132">
        <v>25</v>
      </c>
      <c r="D680" s="132" t="str">
        <f t="shared" si="48"/>
        <v>3/8" Hex Mini CIM 25</v>
      </c>
      <c r="E680" s="132">
        <v>1</v>
      </c>
      <c r="I680" s="132">
        <v>0</v>
      </c>
    </row>
    <row r="681" spans="1:9" ht="14.25" customHeight="1" x14ac:dyDescent="0.25">
      <c r="A681" s="132" t="s">
        <v>243</v>
      </c>
      <c r="B681" s="132" t="s">
        <v>7</v>
      </c>
      <c r="C681" s="132">
        <v>27</v>
      </c>
      <c r="D681" s="132" t="str">
        <f t="shared" si="48"/>
        <v>3/8" Hex Mini CIM 27</v>
      </c>
      <c r="E681" s="132">
        <v>1</v>
      </c>
      <c r="I681" s="132">
        <v>0</v>
      </c>
    </row>
    <row r="682" spans="1:9" ht="14.25" customHeight="1" x14ac:dyDescent="0.25">
      <c r="A682" s="132" t="s">
        <v>243</v>
      </c>
      <c r="B682" s="132" t="s">
        <v>7</v>
      </c>
      <c r="C682" s="132">
        <v>28</v>
      </c>
      <c r="D682" s="132" t="str">
        <f t="shared" si="48"/>
        <v>3/8" Hex Mini CIM 28</v>
      </c>
      <c r="E682" s="132">
        <v>1</v>
      </c>
      <c r="I682" s="132">
        <v>0</v>
      </c>
    </row>
    <row r="683" spans="1:9" ht="14.25" customHeight="1" x14ac:dyDescent="0.25">
      <c r="A683" s="132" t="s">
        <v>243</v>
      </c>
      <c r="B683" s="132" t="s">
        <v>7</v>
      </c>
      <c r="C683" s="132">
        <v>30</v>
      </c>
      <c r="D683" s="132" t="str">
        <f t="shared" si="48"/>
        <v>3/8" Hex Mini CIM 30</v>
      </c>
      <c r="E683" s="132">
        <v>1</v>
      </c>
      <c r="I683" s="132">
        <v>0</v>
      </c>
    </row>
    <row r="684" spans="1:9" ht="14.25" customHeight="1" x14ac:dyDescent="0.25">
      <c r="A684" s="132" t="s">
        <v>243</v>
      </c>
      <c r="B684" s="132" t="s">
        <v>7</v>
      </c>
      <c r="C684" s="132">
        <v>35</v>
      </c>
      <c r="D684" s="132" t="str">
        <f t="shared" si="48"/>
        <v>3/8" Hex Mini CIM 35</v>
      </c>
      <c r="E684" s="132">
        <v>1</v>
      </c>
      <c r="I684" s="132">
        <v>0</v>
      </c>
    </row>
    <row r="685" spans="1:9" ht="14.25" customHeight="1" x14ac:dyDescent="0.25">
      <c r="A685" s="132" t="s">
        <v>243</v>
      </c>
      <c r="B685" s="132" t="s">
        <v>7</v>
      </c>
      <c r="C685" s="132">
        <v>36</v>
      </c>
      <c r="D685" s="132" t="str">
        <f t="shared" si="48"/>
        <v>3/8" Hex Mini CIM 36</v>
      </c>
      <c r="E685" s="132">
        <v>1</v>
      </c>
      <c r="I685" s="132">
        <v>0</v>
      </c>
    </row>
    <row r="686" spans="1:9" ht="14.25" customHeight="1" x14ac:dyDescent="0.25">
      <c r="A686" s="132" t="s">
        <v>243</v>
      </c>
      <c r="B686" s="132" t="s">
        <v>7</v>
      </c>
      <c r="C686" s="132">
        <v>40</v>
      </c>
      <c r="D686" s="132" t="str">
        <f t="shared" si="48"/>
        <v>3/8" Hex Mini CIM 40</v>
      </c>
      <c r="E686" s="132">
        <v>0</v>
      </c>
      <c r="I686" s="132">
        <v>0</v>
      </c>
    </row>
    <row r="687" spans="1:9" ht="14.25" customHeight="1" x14ac:dyDescent="0.25">
      <c r="A687" s="132" t="s">
        <v>243</v>
      </c>
      <c r="B687" s="132" t="s">
        <v>7</v>
      </c>
      <c r="C687" s="132">
        <v>45</v>
      </c>
      <c r="D687" s="132" t="str">
        <f t="shared" si="48"/>
        <v>3/8" Hex Mini CIM 45</v>
      </c>
      <c r="E687" s="132">
        <v>0</v>
      </c>
      <c r="I687" s="132">
        <v>0</v>
      </c>
    </row>
    <row r="688" spans="1:9" ht="14.25" customHeight="1" x14ac:dyDescent="0.25">
      <c r="A688" s="132" t="s">
        <v>243</v>
      </c>
      <c r="B688" s="132" t="s">
        <v>7</v>
      </c>
      <c r="C688" s="132">
        <v>49</v>
      </c>
      <c r="D688" s="132" t="str">
        <f t="shared" si="48"/>
        <v>3/8" Hex Mini CIM 49</v>
      </c>
      <c r="E688" s="132">
        <v>0</v>
      </c>
      <c r="I688" s="132">
        <v>0</v>
      </c>
    </row>
    <row r="689" spans="1:9" ht="14.25" customHeight="1" x14ac:dyDescent="0.25">
      <c r="A689" s="132" t="s">
        <v>243</v>
      </c>
      <c r="B689" s="132" t="s">
        <v>7</v>
      </c>
      <c r="C689" s="132">
        <v>50</v>
      </c>
      <c r="D689" s="132" t="str">
        <f t="shared" si="48"/>
        <v>3/8" Hex Mini CIM 50</v>
      </c>
      <c r="E689" s="132">
        <v>0</v>
      </c>
      <c r="I689" s="132">
        <v>0</v>
      </c>
    </row>
    <row r="690" spans="1:9" ht="14.25" customHeight="1" x14ac:dyDescent="0.25">
      <c r="A690" s="132" t="s">
        <v>243</v>
      </c>
      <c r="B690" s="132" t="s">
        <v>7</v>
      </c>
      <c r="C690" s="132">
        <v>63</v>
      </c>
      <c r="D690" s="132" t="str">
        <f t="shared" si="48"/>
        <v>3/8" Hex Mini CIM 63</v>
      </c>
      <c r="E690" s="132">
        <v>0</v>
      </c>
      <c r="I690" s="132">
        <v>0</v>
      </c>
    </row>
    <row r="691" spans="1:9" ht="14.25" customHeight="1" x14ac:dyDescent="0.25">
      <c r="A691" s="132" t="s">
        <v>243</v>
      </c>
      <c r="B691" s="132" t="s">
        <v>7</v>
      </c>
      <c r="C691" s="132">
        <v>70</v>
      </c>
      <c r="D691" s="132" t="str">
        <f t="shared" si="48"/>
        <v>3/8" Hex Mini CIM 70</v>
      </c>
      <c r="E691" s="132">
        <v>0</v>
      </c>
      <c r="I691" s="132">
        <v>0</v>
      </c>
    </row>
    <row r="692" spans="1:9" ht="14.25" customHeight="1" x14ac:dyDescent="0.25">
      <c r="A692" s="132" t="s">
        <v>243</v>
      </c>
      <c r="B692" s="132" t="s">
        <v>7</v>
      </c>
      <c r="C692" s="132">
        <v>81</v>
      </c>
      <c r="D692" s="132" t="str">
        <f t="shared" si="48"/>
        <v>3/8" Hex Mini CIM 81</v>
      </c>
      <c r="E692" s="132">
        <v>0</v>
      </c>
      <c r="I692" s="132">
        <v>0</v>
      </c>
    </row>
    <row r="693" spans="1:9" ht="14.25" customHeight="1" x14ac:dyDescent="0.25">
      <c r="A693" s="132" t="s">
        <v>243</v>
      </c>
      <c r="B693" s="132" t="s">
        <v>7</v>
      </c>
      <c r="C693" s="132">
        <v>90</v>
      </c>
      <c r="D693" s="132" t="str">
        <f t="shared" si="48"/>
        <v>3/8" Hex Mini CIM 90</v>
      </c>
      <c r="E693" s="132">
        <v>0</v>
      </c>
      <c r="I693" s="132">
        <v>0</v>
      </c>
    </row>
    <row r="694" spans="1:9" ht="14.25" customHeight="1" x14ac:dyDescent="0.25">
      <c r="A694" s="132" t="s">
        <v>243</v>
      </c>
      <c r="B694" s="132" t="s">
        <v>7</v>
      </c>
      <c r="C694" s="132">
        <v>100</v>
      </c>
      <c r="D694" s="132" t="str">
        <f t="shared" si="48"/>
        <v>3/8" Hex Mini CIM 100</v>
      </c>
      <c r="E694" s="132">
        <v>0</v>
      </c>
      <c r="I694" s="132">
        <v>0</v>
      </c>
    </row>
    <row r="695" spans="1:9" ht="14.25" customHeight="1" x14ac:dyDescent="0.25">
      <c r="A695" s="132" t="s">
        <v>243</v>
      </c>
      <c r="B695" s="132" t="s">
        <v>6</v>
      </c>
      <c r="C695" s="132">
        <v>-3</v>
      </c>
      <c r="D695" s="132" t="str">
        <f t="shared" ref="D695:D700" si="49">A695&amp;" "&amp;B695&amp;" "&amp;C695</f>
        <v>3/8" Hex CIM -3</v>
      </c>
      <c r="E695" s="132">
        <v>1</v>
      </c>
      <c r="I695" s="132">
        <v>0</v>
      </c>
    </row>
    <row r="696" spans="1:9" ht="14.25" customHeight="1" x14ac:dyDescent="0.25">
      <c r="A696" s="132" t="s">
        <v>243</v>
      </c>
      <c r="B696" s="132" t="s">
        <v>6</v>
      </c>
      <c r="C696" s="132">
        <v>-4</v>
      </c>
      <c r="D696" s="132" t="str">
        <f t="shared" si="49"/>
        <v>3/8" Hex CIM -4</v>
      </c>
      <c r="E696" s="132">
        <v>1</v>
      </c>
      <c r="I696" s="132">
        <v>0</v>
      </c>
    </row>
    <row r="697" spans="1:9" ht="14.25" customHeight="1" x14ac:dyDescent="0.25">
      <c r="A697" s="132" t="s">
        <v>243</v>
      </c>
      <c r="B697" s="132" t="s">
        <v>6</v>
      </c>
      <c r="C697" s="132">
        <v>-5</v>
      </c>
      <c r="D697" s="132" t="str">
        <f t="shared" si="49"/>
        <v>3/8" Hex CIM -5</v>
      </c>
      <c r="E697" s="132">
        <v>1</v>
      </c>
      <c r="I697" s="132">
        <v>0</v>
      </c>
    </row>
    <row r="698" spans="1:9" ht="14.25" customHeight="1" x14ac:dyDescent="0.25">
      <c r="A698" s="132" t="s">
        <v>243</v>
      </c>
      <c r="B698" s="132" t="s">
        <v>6</v>
      </c>
      <c r="C698" s="132">
        <v>-7</v>
      </c>
      <c r="D698" s="132" t="str">
        <f t="shared" si="49"/>
        <v>3/8" Hex CIM -7</v>
      </c>
      <c r="E698" s="132">
        <v>1</v>
      </c>
      <c r="I698" s="132">
        <v>0</v>
      </c>
    </row>
    <row r="699" spans="1:9" ht="14.25" customHeight="1" x14ac:dyDescent="0.25">
      <c r="A699" s="132" t="s">
        <v>243</v>
      </c>
      <c r="B699" s="132" t="s">
        <v>6</v>
      </c>
      <c r="C699" s="132">
        <v>-9</v>
      </c>
      <c r="D699" s="132" t="str">
        <f t="shared" si="49"/>
        <v>3/8" Hex CIM -9</v>
      </c>
      <c r="E699" s="132">
        <v>1</v>
      </c>
      <c r="I699" s="132">
        <v>0</v>
      </c>
    </row>
    <row r="700" spans="1:9" ht="14.25" customHeight="1" x14ac:dyDescent="0.25">
      <c r="A700" s="132" t="s">
        <v>243</v>
      </c>
      <c r="B700" s="132" t="s">
        <v>6</v>
      </c>
      <c r="C700" s="132">
        <v>-10</v>
      </c>
      <c r="D700" s="132" t="str">
        <f t="shared" si="49"/>
        <v>3/8" Hex CIM -10</v>
      </c>
      <c r="E700" s="132">
        <v>1</v>
      </c>
      <c r="I700" s="132">
        <v>0</v>
      </c>
    </row>
    <row r="701" spans="1:9" ht="14.25" customHeight="1" x14ac:dyDescent="0.25">
      <c r="A701" s="132" t="s">
        <v>243</v>
      </c>
      <c r="B701" s="132" t="s">
        <v>6</v>
      </c>
      <c r="C701" s="132">
        <v>9</v>
      </c>
      <c r="D701" s="132" t="str">
        <f t="shared" ref="D701:D721" si="50">A701&amp;" "&amp;B701&amp;" "&amp;C701</f>
        <v>3/8" Hex CIM 9</v>
      </c>
      <c r="E701" s="132">
        <v>1</v>
      </c>
      <c r="I701" s="132">
        <v>0</v>
      </c>
    </row>
    <row r="702" spans="1:9" ht="14.25" customHeight="1" x14ac:dyDescent="0.25">
      <c r="A702" s="132" t="s">
        <v>243</v>
      </c>
      <c r="B702" s="132" t="s">
        <v>6</v>
      </c>
      <c r="C702" s="132">
        <v>12</v>
      </c>
      <c r="D702" s="132" t="str">
        <f t="shared" si="50"/>
        <v>3/8" Hex CIM 12</v>
      </c>
      <c r="E702" s="132">
        <v>1</v>
      </c>
      <c r="I702" s="132">
        <v>0</v>
      </c>
    </row>
    <row r="703" spans="1:9" ht="14.25" customHeight="1" x14ac:dyDescent="0.25">
      <c r="A703" s="132" t="s">
        <v>243</v>
      </c>
      <c r="B703" s="132" t="s">
        <v>6</v>
      </c>
      <c r="C703" s="132">
        <v>15</v>
      </c>
      <c r="D703" s="132" t="str">
        <f t="shared" si="50"/>
        <v>3/8" Hex CIM 15</v>
      </c>
      <c r="E703" s="132">
        <v>1</v>
      </c>
      <c r="I703" s="132">
        <v>0</v>
      </c>
    </row>
    <row r="704" spans="1:9" ht="14.25" customHeight="1" x14ac:dyDescent="0.25">
      <c r="A704" s="132" t="s">
        <v>243</v>
      </c>
      <c r="B704" s="132" t="s">
        <v>6</v>
      </c>
      <c r="C704" s="132">
        <v>16</v>
      </c>
      <c r="D704" s="132" t="str">
        <f t="shared" si="50"/>
        <v>3/8" Hex CIM 16</v>
      </c>
      <c r="E704" s="132">
        <v>1</v>
      </c>
      <c r="I704" s="132">
        <v>0</v>
      </c>
    </row>
    <row r="705" spans="1:9" ht="14.25" customHeight="1" x14ac:dyDescent="0.25">
      <c r="A705" s="132" t="s">
        <v>243</v>
      </c>
      <c r="B705" s="132" t="s">
        <v>6</v>
      </c>
      <c r="C705" s="132">
        <v>20</v>
      </c>
      <c r="D705" s="132" t="str">
        <f t="shared" si="50"/>
        <v>3/8" Hex CIM 20</v>
      </c>
      <c r="E705" s="132">
        <v>1</v>
      </c>
      <c r="I705" s="132">
        <v>0</v>
      </c>
    </row>
    <row r="706" spans="1:9" ht="14.25" customHeight="1" x14ac:dyDescent="0.25">
      <c r="A706" s="132" t="s">
        <v>243</v>
      </c>
      <c r="B706" s="132" t="s">
        <v>6</v>
      </c>
      <c r="C706" s="132">
        <v>21</v>
      </c>
      <c r="D706" s="132" t="str">
        <f t="shared" si="50"/>
        <v>3/8" Hex CIM 21</v>
      </c>
      <c r="E706" s="132">
        <v>1</v>
      </c>
      <c r="I706" s="132">
        <v>0</v>
      </c>
    </row>
    <row r="707" spans="1:9" ht="14.25" customHeight="1" x14ac:dyDescent="0.25">
      <c r="A707" s="132" t="s">
        <v>243</v>
      </c>
      <c r="B707" s="132" t="s">
        <v>6</v>
      </c>
      <c r="C707" s="132">
        <v>25</v>
      </c>
      <c r="D707" s="132" t="str">
        <f t="shared" si="50"/>
        <v>3/8" Hex CIM 25</v>
      </c>
      <c r="E707" s="132">
        <v>0</v>
      </c>
      <c r="I707" s="132">
        <v>0</v>
      </c>
    </row>
    <row r="708" spans="1:9" ht="14.25" customHeight="1" x14ac:dyDescent="0.25">
      <c r="A708" s="132" t="s">
        <v>243</v>
      </c>
      <c r="B708" s="132" t="s">
        <v>6</v>
      </c>
      <c r="C708" s="132">
        <v>27</v>
      </c>
      <c r="D708" s="132" t="str">
        <f t="shared" si="50"/>
        <v>3/8" Hex CIM 27</v>
      </c>
      <c r="E708" s="132">
        <v>0</v>
      </c>
      <c r="I708" s="132">
        <v>0</v>
      </c>
    </row>
    <row r="709" spans="1:9" ht="14.25" customHeight="1" x14ac:dyDescent="0.25">
      <c r="A709" s="132" t="s">
        <v>243</v>
      </c>
      <c r="B709" s="132" t="s">
        <v>6</v>
      </c>
      <c r="C709" s="132">
        <v>28</v>
      </c>
      <c r="D709" s="132" t="str">
        <f t="shared" si="50"/>
        <v>3/8" Hex CIM 28</v>
      </c>
      <c r="E709" s="132">
        <v>0</v>
      </c>
      <c r="I709" s="132">
        <v>0</v>
      </c>
    </row>
    <row r="710" spans="1:9" ht="14.25" customHeight="1" x14ac:dyDescent="0.25">
      <c r="A710" s="132" t="s">
        <v>243</v>
      </c>
      <c r="B710" s="132" t="s">
        <v>6</v>
      </c>
      <c r="C710" s="132">
        <v>30</v>
      </c>
      <c r="D710" s="132" t="str">
        <f t="shared" si="50"/>
        <v>3/8" Hex CIM 30</v>
      </c>
      <c r="E710" s="132">
        <v>0</v>
      </c>
      <c r="I710" s="132">
        <v>0</v>
      </c>
    </row>
    <row r="711" spans="1:9" ht="14.25" customHeight="1" x14ac:dyDescent="0.25">
      <c r="A711" s="132" t="s">
        <v>243</v>
      </c>
      <c r="B711" s="132" t="s">
        <v>6</v>
      </c>
      <c r="C711" s="132">
        <v>35</v>
      </c>
      <c r="D711" s="132" t="str">
        <f t="shared" si="50"/>
        <v>3/8" Hex CIM 35</v>
      </c>
      <c r="E711" s="132">
        <v>0</v>
      </c>
      <c r="I711" s="132">
        <v>0</v>
      </c>
    </row>
    <row r="712" spans="1:9" ht="14.25" customHeight="1" x14ac:dyDescent="0.25">
      <c r="A712" s="132" t="s">
        <v>243</v>
      </c>
      <c r="B712" s="132" t="s">
        <v>6</v>
      </c>
      <c r="C712" s="132">
        <v>36</v>
      </c>
      <c r="D712" s="132" t="str">
        <f t="shared" si="50"/>
        <v>3/8" Hex CIM 36</v>
      </c>
      <c r="E712" s="132">
        <v>0</v>
      </c>
      <c r="I712" s="132">
        <v>0</v>
      </c>
    </row>
    <row r="713" spans="1:9" ht="14.25" customHeight="1" x14ac:dyDescent="0.25">
      <c r="A713" s="132" t="s">
        <v>243</v>
      </c>
      <c r="B713" s="132" t="s">
        <v>6</v>
      </c>
      <c r="C713" s="132">
        <v>40</v>
      </c>
      <c r="D713" s="132" t="str">
        <f t="shared" si="50"/>
        <v>3/8" Hex CIM 40</v>
      </c>
      <c r="E713" s="132">
        <v>0</v>
      </c>
      <c r="I713" s="132">
        <v>0</v>
      </c>
    </row>
    <row r="714" spans="1:9" ht="14.25" customHeight="1" x14ac:dyDescent="0.25">
      <c r="A714" s="132" t="s">
        <v>243</v>
      </c>
      <c r="B714" s="132" t="s">
        <v>6</v>
      </c>
      <c r="C714" s="132">
        <v>45</v>
      </c>
      <c r="D714" s="132" t="str">
        <f t="shared" si="50"/>
        <v>3/8" Hex CIM 45</v>
      </c>
      <c r="E714" s="132">
        <v>0</v>
      </c>
      <c r="I714" s="132">
        <v>0</v>
      </c>
    </row>
    <row r="715" spans="1:9" ht="14.25" customHeight="1" x14ac:dyDescent="0.25">
      <c r="A715" s="132" t="s">
        <v>243</v>
      </c>
      <c r="B715" s="132" t="s">
        <v>6</v>
      </c>
      <c r="C715" s="132">
        <v>49</v>
      </c>
      <c r="D715" s="132" t="str">
        <f t="shared" si="50"/>
        <v>3/8" Hex CIM 49</v>
      </c>
      <c r="E715" s="132">
        <v>0</v>
      </c>
      <c r="I715" s="132">
        <v>0</v>
      </c>
    </row>
    <row r="716" spans="1:9" ht="14.25" customHeight="1" x14ac:dyDescent="0.25">
      <c r="A716" s="132" t="s">
        <v>243</v>
      </c>
      <c r="B716" s="132" t="s">
        <v>6</v>
      </c>
      <c r="C716" s="132">
        <v>50</v>
      </c>
      <c r="D716" s="132" t="str">
        <f t="shared" si="50"/>
        <v>3/8" Hex CIM 50</v>
      </c>
      <c r="E716" s="132">
        <v>0</v>
      </c>
      <c r="I716" s="132">
        <v>0</v>
      </c>
    </row>
    <row r="717" spans="1:9" ht="14.25" customHeight="1" x14ac:dyDescent="0.25">
      <c r="A717" s="132" t="s">
        <v>243</v>
      </c>
      <c r="B717" s="132" t="s">
        <v>6</v>
      </c>
      <c r="C717" s="132">
        <v>63</v>
      </c>
      <c r="D717" s="132" t="str">
        <f t="shared" si="50"/>
        <v>3/8" Hex CIM 63</v>
      </c>
      <c r="E717" s="132">
        <v>0</v>
      </c>
      <c r="I717" s="132">
        <v>0</v>
      </c>
    </row>
    <row r="718" spans="1:9" ht="14.25" customHeight="1" x14ac:dyDescent="0.25">
      <c r="A718" s="132" t="s">
        <v>243</v>
      </c>
      <c r="B718" s="132" t="s">
        <v>6</v>
      </c>
      <c r="C718" s="132">
        <v>70</v>
      </c>
      <c r="D718" s="132" t="str">
        <f t="shared" si="50"/>
        <v>3/8" Hex CIM 70</v>
      </c>
      <c r="E718" s="132">
        <v>0</v>
      </c>
      <c r="I718" s="132">
        <v>0</v>
      </c>
    </row>
    <row r="719" spans="1:9" ht="14.25" customHeight="1" x14ac:dyDescent="0.25">
      <c r="A719" s="132" t="s">
        <v>243</v>
      </c>
      <c r="B719" s="132" t="s">
        <v>6</v>
      </c>
      <c r="C719" s="132">
        <v>81</v>
      </c>
      <c r="D719" s="132" t="str">
        <f t="shared" si="50"/>
        <v>3/8" Hex CIM 81</v>
      </c>
      <c r="E719" s="132">
        <v>0</v>
      </c>
      <c r="I719" s="132">
        <v>0</v>
      </c>
    </row>
    <row r="720" spans="1:9" ht="14.25" customHeight="1" x14ac:dyDescent="0.25">
      <c r="A720" s="132" t="s">
        <v>243</v>
      </c>
      <c r="B720" s="132" t="s">
        <v>6</v>
      </c>
      <c r="C720" s="132">
        <v>90</v>
      </c>
      <c r="D720" s="132" t="str">
        <f t="shared" si="50"/>
        <v>3/8" Hex CIM 90</v>
      </c>
      <c r="E720" s="132">
        <v>0</v>
      </c>
      <c r="I720" s="132">
        <v>0</v>
      </c>
    </row>
    <row r="721" spans="1:9" ht="14.25" customHeight="1" x14ac:dyDescent="0.25">
      <c r="A721" s="132" t="s">
        <v>243</v>
      </c>
      <c r="B721" s="132" t="s">
        <v>6</v>
      </c>
      <c r="C721" s="132">
        <v>100</v>
      </c>
      <c r="D721" s="132" t="str">
        <f t="shared" si="50"/>
        <v>3/8" Hex CIM 100</v>
      </c>
      <c r="E721" s="132">
        <v>0</v>
      </c>
      <c r="I721" s="132">
        <v>0</v>
      </c>
    </row>
    <row r="722" spans="1:9" ht="14.25" customHeight="1" x14ac:dyDescent="0.25">
      <c r="A722" s="132" t="s">
        <v>243</v>
      </c>
      <c r="B722" s="132" t="s">
        <v>9</v>
      </c>
      <c r="C722" s="132">
        <v>-3</v>
      </c>
      <c r="D722" s="132" t="str">
        <f t="shared" ref="D722:D727" si="51">A722&amp;" "&amp;B722&amp;" "&amp;C722</f>
        <v>3/8" Hex NEO -3</v>
      </c>
      <c r="E722" s="132">
        <v>1</v>
      </c>
      <c r="I722" s="132">
        <v>0</v>
      </c>
    </row>
    <row r="723" spans="1:9" ht="14.25" customHeight="1" x14ac:dyDescent="0.25">
      <c r="A723" s="132" t="s">
        <v>243</v>
      </c>
      <c r="B723" s="132" t="s">
        <v>9</v>
      </c>
      <c r="C723" s="132">
        <v>-4</v>
      </c>
      <c r="D723" s="132" t="str">
        <f t="shared" si="51"/>
        <v>3/8" Hex NEO -4</v>
      </c>
      <c r="E723" s="132">
        <v>1</v>
      </c>
      <c r="I723" s="132">
        <v>0</v>
      </c>
    </row>
    <row r="724" spans="1:9" ht="14.25" customHeight="1" x14ac:dyDescent="0.25">
      <c r="A724" s="132" t="s">
        <v>243</v>
      </c>
      <c r="B724" s="132" t="s">
        <v>9</v>
      </c>
      <c r="C724" s="132">
        <v>-5</v>
      </c>
      <c r="D724" s="132" t="str">
        <f t="shared" si="51"/>
        <v>3/8" Hex NEO -5</v>
      </c>
      <c r="E724" s="132">
        <v>1</v>
      </c>
      <c r="I724" s="132">
        <v>0</v>
      </c>
    </row>
    <row r="725" spans="1:9" ht="14.25" customHeight="1" x14ac:dyDescent="0.25">
      <c r="A725" s="132" t="s">
        <v>243</v>
      </c>
      <c r="B725" s="132" t="s">
        <v>9</v>
      </c>
      <c r="C725" s="132">
        <v>-7</v>
      </c>
      <c r="D725" s="132" t="str">
        <f t="shared" si="51"/>
        <v>3/8" Hex NEO -7</v>
      </c>
      <c r="E725" s="132">
        <v>1</v>
      </c>
      <c r="I725" s="132">
        <v>0</v>
      </c>
    </row>
    <row r="726" spans="1:9" ht="14.25" customHeight="1" x14ac:dyDescent="0.25">
      <c r="A726" s="132" t="s">
        <v>243</v>
      </c>
      <c r="B726" s="132" t="s">
        <v>9</v>
      </c>
      <c r="C726" s="132">
        <v>-9</v>
      </c>
      <c r="D726" s="132" t="str">
        <f t="shared" si="51"/>
        <v>3/8" Hex NEO -9</v>
      </c>
      <c r="E726" s="132">
        <v>1</v>
      </c>
      <c r="I726" s="132">
        <v>0</v>
      </c>
    </row>
    <row r="727" spans="1:9" ht="14.25" customHeight="1" x14ac:dyDescent="0.25">
      <c r="A727" s="132" t="s">
        <v>243</v>
      </c>
      <c r="B727" s="132" t="s">
        <v>9</v>
      </c>
      <c r="C727" s="132">
        <v>-10</v>
      </c>
      <c r="D727" s="132" t="str">
        <f t="shared" si="51"/>
        <v>3/8" Hex NEO -10</v>
      </c>
      <c r="E727" s="132">
        <v>1</v>
      </c>
      <c r="I727" s="132">
        <v>0</v>
      </c>
    </row>
    <row r="728" spans="1:9" ht="14.25" customHeight="1" x14ac:dyDescent="0.25">
      <c r="A728" s="132" t="s">
        <v>243</v>
      </c>
      <c r="B728" s="132" t="s">
        <v>9</v>
      </c>
      <c r="C728" s="132">
        <v>9</v>
      </c>
      <c r="D728" s="132" t="str">
        <f t="shared" ref="D728:D748" si="52">A728&amp;" "&amp;B728&amp;" "&amp;C728</f>
        <v>3/8" Hex NEO 9</v>
      </c>
      <c r="E728" s="132">
        <v>1</v>
      </c>
      <c r="I728" s="132">
        <v>0</v>
      </c>
    </row>
    <row r="729" spans="1:9" ht="14.25" customHeight="1" x14ac:dyDescent="0.25">
      <c r="A729" s="132" t="s">
        <v>243</v>
      </c>
      <c r="B729" s="132" t="s">
        <v>9</v>
      </c>
      <c r="C729" s="132">
        <v>12</v>
      </c>
      <c r="D729" s="132" t="str">
        <f t="shared" si="52"/>
        <v>3/8" Hex NEO 12</v>
      </c>
      <c r="E729" s="132">
        <v>1</v>
      </c>
      <c r="I729" s="132">
        <v>0</v>
      </c>
    </row>
    <row r="730" spans="1:9" ht="14.25" customHeight="1" x14ac:dyDescent="0.25">
      <c r="A730" s="132" t="s">
        <v>243</v>
      </c>
      <c r="B730" s="132" t="s">
        <v>9</v>
      </c>
      <c r="C730" s="132">
        <v>15</v>
      </c>
      <c r="D730" s="132" t="str">
        <f t="shared" si="52"/>
        <v>3/8" Hex NEO 15</v>
      </c>
      <c r="E730" s="132">
        <v>1</v>
      </c>
      <c r="I730" s="132">
        <v>0</v>
      </c>
    </row>
    <row r="731" spans="1:9" ht="14.25" customHeight="1" x14ac:dyDescent="0.25">
      <c r="A731" s="132" t="s">
        <v>243</v>
      </c>
      <c r="B731" s="132" t="s">
        <v>9</v>
      </c>
      <c r="C731" s="132">
        <v>16</v>
      </c>
      <c r="D731" s="132" t="str">
        <f t="shared" si="52"/>
        <v>3/8" Hex NEO 16</v>
      </c>
      <c r="E731" s="132">
        <v>1</v>
      </c>
      <c r="I731" s="132">
        <v>0</v>
      </c>
    </row>
    <row r="732" spans="1:9" ht="14.25" customHeight="1" x14ac:dyDescent="0.25">
      <c r="A732" s="132" t="s">
        <v>243</v>
      </c>
      <c r="B732" s="132" t="s">
        <v>9</v>
      </c>
      <c r="C732" s="132">
        <v>20</v>
      </c>
      <c r="D732" s="132" t="str">
        <f t="shared" si="52"/>
        <v>3/8" Hex NEO 20</v>
      </c>
      <c r="E732" s="132">
        <v>0</v>
      </c>
      <c r="I732" s="132">
        <v>0</v>
      </c>
    </row>
    <row r="733" spans="1:9" ht="14.25" customHeight="1" x14ac:dyDescent="0.25">
      <c r="A733" s="132" t="s">
        <v>243</v>
      </c>
      <c r="B733" s="132" t="s">
        <v>9</v>
      </c>
      <c r="C733" s="132">
        <v>21</v>
      </c>
      <c r="D733" s="132" t="str">
        <f t="shared" si="52"/>
        <v>3/8" Hex NEO 21</v>
      </c>
      <c r="E733" s="132">
        <v>0</v>
      </c>
      <c r="I733" s="132">
        <v>0</v>
      </c>
    </row>
    <row r="734" spans="1:9" ht="14.25" customHeight="1" x14ac:dyDescent="0.25">
      <c r="A734" s="132" t="s">
        <v>243</v>
      </c>
      <c r="B734" s="132" t="s">
        <v>9</v>
      </c>
      <c r="C734" s="132">
        <v>25</v>
      </c>
      <c r="D734" s="132" t="str">
        <f t="shared" si="52"/>
        <v>3/8" Hex NEO 25</v>
      </c>
      <c r="E734" s="132">
        <v>0</v>
      </c>
      <c r="I734" s="132">
        <v>0</v>
      </c>
    </row>
    <row r="735" spans="1:9" ht="14.25" customHeight="1" x14ac:dyDescent="0.25">
      <c r="A735" s="132" t="s">
        <v>243</v>
      </c>
      <c r="B735" s="132" t="s">
        <v>9</v>
      </c>
      <c r="C735" s="132">
        <v>27</v>
      </c>
      <c r="D735" s="132" t="str">
        <f t="shared" si="52"/>
        <v>3/8" Hex NEO 27</v>
      </c>
      <c r="E735" s="132">
        <v>0</v>
      </c>
      <c r="I735" s="132">
        <v>0</v>
      </c>
    </row>
    <row r="736" spans="1:9" ht="14.25" customHeight="1" x14ac:dyDescent="0.25">
      <c r="A736" s="132" t="s">
        <v>243</v>
      </c>
      <c r="B736" s="132" t="s">
        <v>9</v>
      </c>
      <c r="C736" s="132">
        <v>28</v>
      </c>
      <c r="D736" s="132" t="str">
        <f t="shared" si="52"/>
        <v>3/8" Hex NEO 28</v>
      </c>
      <c r="E736" s="132">
        <v>0</v>
      </c>
      <c r="I736" s="132">
        <v>0</v>
      </c>
    </row>
    <row r="737" spans="1:9" ht="14.25" customHeight="1" x14ac:dyDescent="0.25">
      <c r="A737" s="132" t="s">
        <v>243</v>
      </c>
      <c r="B737" s="132" t="s">
        <v>9</v>
      </c>
      <c r="C737" s="132">
        <v>30</v>
      </c>
      <c r="D737" s="132" t="str">
        <f t="shared" si="52"/>
        <v>3/8" Hex NEO 30</v>
      </c>
      <c r="E737" s="132">
        <v>0</v>
      </c>
      <c r="I737" s="132">
        <v>0</v>
      </c>
    </row>
    <row r="738" spans="1:9" ht="14.25" customHeight="1" x14ac:dyDescent="0.25">
      <c r="A738" s="132" t="s">
        <v>243</v>
      </c>
      <c r="B738" s="132" t="s">
        <v>9</v>
      </c>
      <c r="C738" s="132">
        <v>35</v>
      </c>
      <c r="D738" s="132" t="str">
        <f t="shared" si="52"/>
        <v>3/8" Hex NEO 35</v>
      </c>
      <c r="E738" s="132">
        <v>0</v>
      </c>
      <c r="I738" s="132">
        <v>0</v>
      </c>
    </row>
    <row r="739" spans="1:9" ht="14.25" customHeight="1" x14ac:dyDescent="0.25">
      <c r="A739" s="132" t="s">
        <v>243</v>
      </c>
      <c r="B739" s="132" t="s">
        <v>9</v>
      </c>
      <c r="C739" s="132">
        <v>36</v>
      </c>
      <c r="D739" s="132" t="str">
        <f t="shared" si="52"/>
        <v>3/8" Hex NEO 36</v>
      </c>
      <c r="E739" s="132">
        <v>0</v>
      </c>
      <c r="I739" s="132">
        <v>0</v>
      </c>
    </row>
    <row r="740" spans="1:9" ht="14.25" customHeight="1" x14ac:dyDescent="0.25">
      <c r="A740" s="132" t="s">
        <v>243</v>
      </c>
      <c r="B740" s="132" t="s">
        <v>9</v>
      </c>
      <c r="C740" s="132">
        <v>40</v>
      </c>
      <c r="D740" s="132" t="str">
        <f t="shared" si="52"/>
        <v>3/8" Hex NEO 40</v>
      </c>
      <c r="E740" s="132">
        <v>0</v>
      </c>
      <c r="I740" s="132">
        <v>0</v>
      </c>
    </row>
    <row r="741" spans="1:9" ht="14.25" customHeight="1" x14ac:dyDescent="0.25">
      <c r="A741" s="132" t="s">
        <v>243</v>
      </c>
      <c r="B741" s="132" t="s">
        <v>9</v>
      </c>
      <c r="C741" s="132">
        <v>45</v>
      </c>
      <c r="D741" s="132" t="str">
        <f t="shared" si="52"/>
        <v>3/8" Hex NEO 45</v>
      </c>
      <c r="E741" s="132">
        <v>0</v>
      </c>
      <c r="I741" s="132">
        <v>0</v>
      </c>
    </row>
    <row r="742" spans="1:9" ht="14.25" customHeight="1" x14ac:dyDescent="0.25">
      <c r="A742" s="132" t="s">
        <v>243</v>
      </c>
      <c r="B742" s="132" t="s">
        <v>9</v>
      </c>
      <c r="C742" s="132">
        <v>49</v>
      </c>
      <c r="D742" s="132" t="str">
        <f t="shared" si="52"/>
        <v>3/8" Hex NEO 49</v>
      </c>
      <c r="E742" s="132">
        <v>0</v>
      </c>
      <c r="I742" s="132">
        <v>0</v>
      </c>
    </row>
    <row r="743" spans="1:9" ht="14.25" customHeight="1" x14ac:dyDescent="0.25">
      <c r="A743" s="132" t="s">
        <v>243</v>
      </c>
      <c r="B743" s="132" t="s">
        <v>9</v>
      </c>
      <c r="C743" s="132">
        <v>50</v>
      </c>
      <c r="D743" s="132" t="str">
        <f t="shared" si="52"/>
        <v>3/8" Hex NEO 50</v>
      </c>
      <c r="E743" s="132">
        <v>0</v>
      </c>
      <c r="I743" s="132">
        <v>0</v>
      </c>
    </row>
    <row r="744" spans="1:9" ht="14.25" customHeight="1" x14ac:dyDescent="0.25">
      <c r="A744" s="132" t="s">
        <v>243</v>
      </c>
      <c r="B744" s="132" t="s">
        <v>9</v>
      </c>
      <c r="C744" s="132">
        <v>63</v>
      </c>
      <c r="D744" s="132" t="str">
        <f t="shared" si="52"/>
        <v>3/8" Hex NEO 63</v>
      </c>
      <c r="E744" s="132">
        <v>0</v>
      </c>
      <c r="I744" s="132">
        <v>0</v>
      </c>
    </row>
    <row r="745" spans="1:9" ht="14.25" customHeight="1" x14ac:dyDescent="0.25">
      <c r="A745" s="132" t="s">
        <v>243</v>
      </c>
      <c r="B745" s="132" t="s">
        <v>9</v>
      </c>
      <c r="C745" s="132">
        <v>70</v>
      </c>
      <c r="D745" s="132" t="str">
        <f t="shared" si="52"/>
        <v>3/8" Hex NEO 70</v>
      </c>
      <c r="E745" s="132">
        <v>0</v>
      </c>
      <c r="I745" s="132">
        <v>0</v>
      </c>
    </row>
    <row r="746" spans="1:9" ht="14.25" customHeight="1" x14ac:dyDescent="0.25">
      <c r="A746" s="132" t="s">
        <v>243</v>
      </c>
      <c r="B746" s="132" t="s">
        <v>9</v>
      </c>
      <c r="C746" s="132">
        <v>81</v>
      </c>
      <c r="D746" s="132" t="str">
        <f t="shared" si="52"/>
        <v>3/8" Hex NEO 81</v>
      </c>
      <c r="E746" s="132">
        <v>0</v>
      </c>
      <c r="I746" s="132">
        <v>0</v>
      </c>
    </row>
    <row r="747" spans="1:9" ht="14.25" customHeight="1" x14ac:dyDescent="0.25">
      <c r="A747" s="132" t="s">
        <v>243</v>
      </c>
      <c r="B747" s="132" t="s">
        <v>9</v>
      </c>
      <c r="C747" s="132">
        <v>90</v>
      </c>
      <c r="D747" s="132" t="str">
        <f t="shared" si="52"/>
        <v>3/8" Hex NEO 90</v>
      </c>
      <c r="E747" s="132">
        <v>0</v>
      </c>
      <c r="I747" s="132">
        <v>0</v>
      </c>
    </row>
    <row r="748" spans="1:9" ht="14.25" customHeight="1" x14ac:dyDescent="0.25">
      <c r="A748" s="132" t="s">
        <v>243</v>
      </c>
      <c r="B748" s="132" t="s">
        <v>9</v>
      </c>
      <c r="C748" s="132">
        <v>100</v>
      </c>
      <c r="D748" s="132" t="str">
        <f t="shared" si="52"/>
        <v>3/8" Hex NEO 100</v>
      </c>
      <c r="E748" s="132">
        <v>0</v>
      </c>
      <c r="I748" s="132">
        <v>0</v>
      </c>
    </row>
    <row r="749" spans="1:9" ht="14.25" customHeight="1" x14ac:dyDescent="0.25">
      <c r="A749" s="132" t="s">
        <v>243</v>
      </c>
      <c r="B749" s="132" t="s">
        <v>333</v>
      </c>
      <c r="C749" s="132">
        <v>-3</v>
      </c>
      <c r="D749" s="132" t="str">
        <f t="shared" ref="D749:D754" si="53">A749&amp;" "&amp;B749&amp;" "&amp;C749</f>
        <v>3/8" Hex Falcon 500 -3</v>
      </c>
      <c r="E749" s="132">
        <v>1</v>
      </c>
      <c r="I749" s="132">
        <v>0</v>
      </c>
    </row>
    <row r="750" spans="1:9" ht="14.25" customHeight="1" x14ac:dyDescent="0.25">
      <c r="A750" s="132" t="s">
        <v>243</v>
      </c>
      <c r="B750" s="132" t="s">
        <v>333</v>
      </c>
      <c r="C750" s="132">
        <v>-4</v>
      </c>
      <c r="D750" s="132" t="str">
        <f t="shared" si="53"/>
        <v>3/8" Hex Falcon 500 -4</v>
      </c>
      <c r="E750" s="132">
        <v>1</v>
      </c>
      <c r="I750" s="132">
        <v>0</v>
      </c>
    </row>
    <row r="751" spans="1:9" ht="14.25" customHeight="1" x14ac:dyDescent="0.25">
      <c r="A751" s="132" t="s">
        <v>243</v>
      </c>
      <c r="B751" s="132" t="s">
        <v>333</v>
      </c>
      <c r="C751" s="132">
        <v>-5</v>
      </c>
      <c r="D751" s="132" t="str">
        <f t="shared" si="53"/>
        <v>3/8" Hex Falcon 500 -5</v>
      </c>
      <c r="E751" s="132">
        <v>1</v>
      </c>
      <c r="I751" s="132">
        <v>0</v>
      </c>
    </row>
    <row r="752" spans="1:9" ht="14.25" customHeight="1" x14ac:dyDescent="0.25">
      <c r="A752" s="132" t="s">
        <v>243</v>
      </c>
      <c r="B752" s="132" t="s">
        <v>333</v>
      </c>
      <c r="C752" s="132">
        <v>-7</v>
      </c>
      <c r="D752" s="132" t="str">
        <f t="shared" si="53"/>
        <v>3/8" Hex Falcon 500 -7</v>
      </c>
      <c r="E752" s="132">
        <v>1</v>
      </c>
      <c r="I752" s="132">
        <v>0</v>
      </c>
    </row>
    <row r="753" spans="1:9" ht="14.25" customHeight="1" x14ac:dyDescent="0.25">
      <c r="A753" s="132" t="s">
        <v>243</v>
      </c>
      <c r="B753" s="132" t="s">
        <v>333</v>
      </c>
      <c r="C753" s="132">
        <v>-9</v>
      </c>
      <c r="D753" s="132" t="str">
        <f t="shared" si="53"/>
        <v>3/8" Hex Falcon 500 -9</v>
      </c>
      <c r="E753" s="132">
        <v>1</v>
      </c>
      <c r="I753" s="132">
        <v>0</v>
      </c>
    </row>
    <row r="754" spans="1:9" ht="14.25" customHeight="1" x14ac:dyDescent="0.25">
      <c r="A754" s="132" t="s">
        <v>243</v>
      </c>
      <c r="B754" s="132" t="s">
        <v>333</v>
      </c>
      <c r="C754" s="132">
        <v>-10</v>
      </c>
      <c r="D754" s="132" t="str">
        <f t="shared" si="53"/>
        <v>3/8" Hex Falcon 500 -10</v>
      </c>
      <c r="E754" s="132">
        <v>1</v>
      </c>
      <c r="I754" s="132">
        <v>0</v>
      </c>
    </row>
    <row r="755" spans="1:9" ht="14.25" customHeight="1" x14ac:dyDescent="0.25">
      <c r="A755" s="132" t="s">
        <v>243</v>
      </c>
      <c r="B755" s="132" t="s">
        <v>333</v>
      </c>
      <c r="C755" s="132">
        <v>9</v>
      </c>
      <c r="D755" s="132" t="str">
        <f t="shared" ref="D755:D775" si="54">A755&amp;" "&amp;B755&amp;" "&amp;C755</f>
        <v>3/8" Hex Falcon 500 9</v>
      </c>
      <c r="E755" s="132">
        <v>1</v>
      </c>
      <c r="I755" s="132">
        <v>0</v>
      </c>
    </row>
    <row r="756" spans="1:9" ht="14.25" customHeight="1" x14ac:dyDescent="0.25">
      <c r="A756" s="132" t="s">
        <v>243</v>
      </c>
      <c r="B756" s="132" t="s">
        <v>333</v>
      </c>
      <c r="C756" s="132">
        <v>12</v>
      </c>
      <c r="D756" s="132" t="str">
        <f t="shared" si="54"/>
        <v>3/8" Hex Falcon 500 12</v>
      </c>
      <c r="E756" s="132">
        <v>1</v>
      </c>
      <c r="I756" s="132">
        <v>0</v>
      </c>
    </row>
    <row r="757" spans="1:9" ht="14.25" customHeight="1" x14ac:dyDescent="0.25">
      <c r="A757" s="132" t="s">
        <v>243</v>
      </c>
      <c r="B757" s="132" t="s">
        <v>333</v>
      </c>
      <c r="C757" s="132">
        <v>15</v>
      </c>
      <c r="D757" s="132" t="str">
        <f t="shared" si="54"/>
        <v>3/8" Hex Falcon 500 15</v>
      </c>
      <c r="E757" s="132">
        <v>0</v>
      </c>
      <c r="I757" s="132">
        <v>0</v>
      </c>
    </row>
    <row r="758" spans="1:9" ht="14.25" customHeight="1" x14ac:dyDescent="0.25">
      <c r="A758" s="132" t="s">
        <v>243</v>
      </c>
      <c r="B758" s="132" t="s">
        <v>333</v>
      </c>
      <c r="C758" s="132">
        <v>16</v>
      </c>
      <c r="D758" s="132" t="str">
        <f t="shared" si="54"/>
        <v>3/8" Hex Falcon 500 16</v>
      </c>
      <c r="E758" s="132">
        <v>0</v>
      </c>
      <c r="I758" s="132">
        <v>0</v>
      </c>
    </row>
    <row r="759" spans="1:9" ht="14.25" customHeight="1" x14ac:dyDescent="0.25">
      <c r="A759" s="132" t="s">
        <v>243</v>
      </c>
      <c r="B759" s="132" t="s">
        <v>333</v>
      </c>
      <c r="C759" s="132">
        <v>20</v>
      </c>
      <c r="D759" s="132" t="str">
        <f t="shared" si="54"/>
        <v>3/8" Hex Falcon 500 20</v>
      </c>
      <c r="E759" s="132">
        <v>0</v>
      </c>
      <c r="I759" s="132">
        <v>0</v>
      </c>
    </row>
    <row r="760" spans="1:9" ht="14.25" customHeight="1" x14ac:dyDescent="0.25">
      <c r="A760" s="132" t="s">
        <v>243</v>
      </c>
      <c r="B760" s="132" t="s">
        <v>333</v>
      </c>
      <c r="C760" s="132">
        <v>21</v>
      </c>
      <c r="D760" s="132" t="str">
        <f t="shared" si="54"/>
        <v>3/8" Hex Falcon 500 21</v>
      </c>
      <c r="E760" s="132">
        <v>0</v>
      </c>
      <c r="I760" s="132">
        <v>0</v>
      </c>
    </row>
    <row r="761" spans="1:9" ht="14.25" customHeight="1" x14ac:dyDescent="0.25">
      <c r="A761" s="132" t="s">
        <v>243</v>
      </c>
      <c r="B761" s="132" t="s">
        <v>333</v>
      </c>
      <c r="C761" s="132">
        <v>25</v>
      </c>
      <c r="D761" s="132" t="str">
        <f t="shared" si="54"/>
        <v>3/8" Hex Falcon 500 25</v>
      </c>
      <c r="E761" s="132">
        <v>0</v>
      </c>
      <c r="I761" s="132">
        <v>0</v>
      </c>
    </row>
    <row r="762" spans="1:9" ht="14.25" customHeight="1" x14ac:dyDescent="0.25">
      <c r="A762" s="132" t="s">
        <v>243</v>
      </c>
      <c r="B762" s="132" t="s">
        <v>333</v>
      </c>
      <c r="C762" s="132">
        <v>27</v>
      </c>
      <c r="D762" s="132" t="str">
        <f t="shared" si="54"/>
        <v>3/8" Hex Falcon 500 27</v>
      </c>
      <c r="E762" s="132">
        <v>0</v>
      </c>
      <c r="I762" s="132">
        <v>0</v>
      </c>
    </row>
    <row r="763" spans="1:9" ht="14.25" customHeight="1" x14ac:dyDescent="0.25">
      <c r="A763" s="132" t="s">
        <v>243</v>
      </c>
      <c r="B763" s="132" t="s">
        <v>333</v>
      </c>
      <c r="C763" s="132">
        <v>28</v>
      </c>
      <c r="D763" s="132" t="str">
        <f t="shared" si="54"/>
        <v>3/8" Hex Falcon 500 28</v>
      </c>
      <c r="E763" s="132">
        <v>0</v>
      </c>
      <c r="I763" s="132">
        <v>0</v>
      </c>
    </row>
    <row r="764" spans="1:9" ht="14.25" customHeight="1" x14ac:dyDescent="0.25">
      <c r="A764" s="132" t="s">
        <v>243</v>
      </c>
      <c r="B764" s="132" t="s">
        <v>333</v>
      </c>
      <c r="C764" s="132">
        <v>30</v>
      </c>
      <c r="D764" s="132" t="str">
        <f t="shared" si="54"/>
        <v>3/8" Hex Falcon 500 30</v>
      </c>
      <c r="E764" s="132">
        <v>0</v>
      </c>
      <c r="I764" s="132">
        <v>0</v>
      </c>
    </row>
    <row r="765" spans="1:9" ht="14.25" customHeight="1" x14ac:dyDescent="0.25">
      <c r="A765" s="132" t="s">
        <v>243</v>
      </c>
      <c r="B765" s="132" t="s">
        <v>333</v>
      </c>
      <c r="C765" s="132">
        <v>35</v>
      </c>
      <c r="D765" s="132" t="str">
        <f t="shared" si="54"/>
        <v>3/8" Hex Falcon 500 35</v>
      </c>
      <c r="E765" s="132">
        <v>0</v>
      </c>
      <c r="I765" s="132">
        <v>0</v>
      </c>
    </row>
    <row r="766" spans="1:9" ht="14.25" customHeight="1" x14ac:dyDescent="0.25">
      <c r="A766" s="132" t="s">
        <v>243</v>
      </c>
      <c r="B766" s="132" t="s">
        <v>333</v>
      </c>
      <c r="C766" s="132">
        <v>36</v>
      </c>
      <c r="D766" s="132" t="str">
        <f t="shared" si="54"/>
        <v>3/8" Hex Falcon 500 36</v>
      </c>
      <c r="E766" s="132">
        <v>0</v>
      </c>
      <c r="I766" s="132">
        <v>0</v>
      </c>
    </row>
    <row r="767" spans="1:9" ht="14.25" customHeight="1" x14ac:dyDescent="0.25">
      <c r="A767" s="132" t="s">
        <v>243</v>
      </c>
      <c r="B767" s="132" t="s">
        <v>333</v>
      </c>
      <c r="C767" s="132">
        <v>40</v>
      </c>
      <c r="D767" s="132" t="str">
        <f t="shared" si="54"/>
        <v>3/8" Hex Falcon 500 40</v>
      </c>
      <c r="E767" s="132">
        <v>0</v>
      </c>
      <c r="I767" s="132">
        <v>0</v>
      </c>
    </row>
    <row r="768" spans="1:9" ht="14.25" customHeight="1" x14ac:dyDescent="0.25">
      <c r="A768" s="132" t="s">
        <v>243</v>
      </c>
      <c r="B768" s="132" t="s">
        <v>333</v>
      </c>
      <c r="C768" s="132">
        <v>45</v>
      </c>
      <c r="D768" s="132" t="str">
        <f t="shared" si="54"/>
        <v>3/8" Hex Falcon 500 45</v>
      </c>
      <c r="E768" s="132">
        <v>0</v>
      </c>
      <c r="I768" s="132">
        <v>0</v>
      </c>
    </row>
    <row r="769" spans="1:9" ht="14.25" customHeight="1" x14ac:dyDescent="0.25">
      <c r="A769" s="132" t="s">
        <v>243</v>
      </c>
      <c r="B769" s="132" t="s">
        <v>333</v>
      </c>
      <c r="C769" s="132">
        <v>49</v>
      </c>
      <c r="D769" s="132" t="str">
        <f t="shared" si="54"/>
        <v>3/8" Hex Falcon 500 49</v>
      </c>
      <c r="E769" s="132">
        <v>0</v>
      </c>
      <c r="I769" s="132">
        <v>0</v>
      </c>
    </row>
    <row r="770" spans="1:9" ht="14.25" customHeight="1" x14ac:dyDescent="0.25">
      <c r="A770" s="132" t="s">
        <v>243</v>
      </c>
      <c r="B770" s="132" t="s">
        <v>333</v>
      </c>
      <c r="C770" s="132">
        <v>50</v>
      </c>
      <c r="D770" s="132" t="str">
        <f t="shared" si="54"/>
        <v>3/8" Hex Falcon 500 50</v>
      </c>
      <c r="E770" s="132">
        <v>0</v>
      </c>
      <c r="I770" s="132">
        <v>0</v>
      </c>
    </row>
    <row r="771" spans="1:9" ht="14.25" customHeight="1" x14ac:dyDescent="0.25">
      <c r="A771" s="132" t="s">
        <v>243</v>
      </c>
      <c r="B771" s="132" t="s">
        <v>333</v>
      </c>
      <c r="C771" s="132">
        <v>63</v>
      </c>
      <c r="D771" s="132" t="str">
        <f t="shared" si="54"/>
        <v>3/8" Hex Falcon 500 63</v>
      </c>
      <c r="E771" s="132">
        <v>0</v>
      </c>
      <c r="I771" s="132">
        <v>0</v>
      </c>
    </row>
    <row r="772" spans="1:9" ht="14.25" customHeight="1" x14ac:dyDescent="0.25">
      <c r="A772" s="132" t="s">
        <v>243</v>
      </c>
      <c r="B772" s="132" t="s">
        <v>333</v>
      </c>
      <c r="C772" s="132">
        <v>70</v>
      </c>
      <c r="D772" s="132" t="str">
        <f t="shared" si="54"/>
        <v>3/8" Hex Falcon 500 70</v>
      </c>
      <c r="E772" s="132">
        <v>0</v>
      </c>
      <c r="I772" s="132">
        <v>0</v>
      </c>
    </row>
    <row r="773" spans="1:9" ht="14.25" customHeight="1" x14ac:dyDescent="0.25">
      <c r="A773" s="132" t="s">
        <v>243</v>
      </c>
      <c r="B773" s="132" t="s">
        <v>333</v>
      </c>
      <c r="C773" s="132">
        <v>81</v>
      </c>
      <c r="D773" s="132" t="str">
        <f t="shared" si="54"/>
        <v>3/8" Hex Falcon 500 81</v>
      </c>
      <c r="E773" s="132">
        <v>0</v>
      </c>
      <c r="I773" s="132">
        <v>0</v>
      </c>
    </row>
    <row r="774" spans="1:9" ht="14.25" customHeight="1" x14ac:dyDescent="0.25">
      <c r="A774" s="132" t="s">
        <v>243</v>
      </c>
      <c r="B774" s="132" t="s">
        <v>333</v>
      </c>
      <c r="C774" s="132">
        <v>90</v>
      </c>
      <c r="D774" s="132" t="str">
        <f t="shared" si="54"/>
        <v>3/8" Hex Falcon 500 90</v>
      </c>
      <c r="E774" s="132">
        <v>0</v>
      </c>
      <c r="I774" s="132">
        <v>0</v>
      </c>
    </row>
    <row r="775" spans="1:9" ht="14.25" customHeight="1" x14ac:dyDescent="0.25">
      <c r="A775" s="132" t="s">
        <v>243</v>
      </c>
      <c r="B775" s="132" t="s">
        <v>333</v>
      </c>
      <c r="C775" s="132">
        <v>100</v>
      </c>
      <c r="D775" s="132" t="str">
        <f t="shared" si="54"/>
        <v>3/8" Hex Falcon 500 100</v>
      </c>
      <c r="E775" s="132">
        <v>0</v>
      </c>
      <c r="I775" s="132">
        <v>0</v>
      </c>
    </row>
    <row r="776" spans="1:9" ht="14.25" customHeight="1" x14ac:dyDescent="0.25">
      <c r="A776" s="132" t="s">
        <v>246</v>
      </c>
      <c r="B776" s="132" t="s">
        <v>11</v>
      </c>
      <c r="C776" s="132">
        <v>-3</v>
      </c>
      <c r="D776" s="132" t="str">
        <f t="shared" ref="D776:D781" si="55">A776&amp;" "&amp;B776&amp;" "&amp;C776</f>
        <v>CIM Motor AM 9015 -3</v>
      </c>
      <c r="E776" s="132">
        <v>1</v>
      </c>
      <c r="I776" s="132">
        <v>1</v>
      </c>
    </row>
    <row r="777" spans="1:9" ht="14.25" customHeight="1" x14ac:dyDescent="0.25">
      <c r="A777" s="132" t="s">
        <v>246</v>
      </c>
      <c r="B777" s="132" t="s">
        <v>11</v>
      </c>
      <c r="C777" s="132">
        <v>-4</v>
      </c>
      <c r="D777" s="132" t="str">
        <f t="shared" si="55"/>
        <v>CIM Motor AM 9015 -4</v>
      </c>
      <c r="E777" s="132">
        <v>1</v>
      </c>
      <c r="I777" s="132">
        <v>1</v>
      </c>
    </row>
    <row r="778" spans="1:9" ht="14.25" customHeight="1" x14ac:dyDescent="0.25">
      <c r="A778" s="132" t="s">
        <v>246</v>
      </c>
      <c r="B778" s="132" t="s">
        <v>11</v>
      </c>
      <c r="C778" s="132">
        <v>-5</v>
      </c>
      <c r="D778" s="132" t="str">
        <f t="shared" si="55"/>
        <v>CIM Motor AM 9015 -5</v>
      </c>
      <c r="E778" s="132">
        <v>1</v>
      </c>
      <c r="I778" s="132">
        <v>1</v>
      </c>
    </row>
    <row r="779" spans="1:9" ht="14.25" customHeight="1" x14ac:dyDescent="0.25">
      <c r="A779" s="132" t="s">
        <v>246</v>
      </c>
      <c r="B779" s="132" t="s">
        <v>11</v>
      </c>
      <c r="C779" s="132">
        <v>-7</v>
      </c>
      <c r="D779" s="132" t="str">
        <f t="shared" si="55"/>
        <v>CIM Motor AM 9015 -7</v>
      </c>
      <c r="E779" s="132">
        <v>1</v>
      </c>
      <c r="I779" s="132">
        <v>1</v>
      </c>
    </row>
    <row r="780" spans="1:9" ht="14.25" customHeight="1" x14ac:dyDescent="0.25">
      <c r="A780" s="132" t="s">
        <v>246</v>
      </c>
      <c r="B780" s="132" t="s">
        <v>11</v>
      </c>
      <c r="C780" s="132">
        <v>-9</v>
      </c>
      <c r="D780" s="132" t="str">
        <f t="shared" si="55"/>
        <v>CIM Motor AM 9015 -9</v>
      </c>
      <c r="E780" s="132">
        <v>1</v>
      </c>
      <c r="I780" s="132">
        <v>1</v>
      </c>
    </row>
    <row r="781" spans="1:9" ht="14.25" customHeight="1" x14ac:dyDescent="0.25">
      <c r="A781" s="132" t="s">
        <v>246</v>
      </c>
      <c r="B781" s="132" t="s">
        <v>11</v>
      </c>
      <c r="C781" s="132">
        <v>-10</v>
      </c>
      <c r="D781" s="132" t="str">
        <f t="shared" si="55"/>
        <v>CIM Motor AM 9015 -10</v>
      </c>
      <c r="E781" s="132">
        <v>1</v>
      </c>
      <c r="I781" s="132">
        <v>1</v>
      </c>
    </row>
    <row r="782" spans="1:9" ht="14.25" customHeight="1" x14ac:dyDescent="0.25">
      <c r="A782" s="132" t="s">
        <v>246</v>
      </c>
      <c r="B782" s="132" t="s">
        <v>11</v>
      </c>
      <c r="C782" s="132">
        <v>9</v>
      </c>
      <c r="D782" s="132" t="str">
        <f t="shared" ref="D782:D802" si="56">A782&amp;" "&amp;B782&amp;" "&amp;C782</f>
        <v>CIM Motor AM 9015 9</v>
      </c>
      <c r="E782" s="132">
        <v>7</v>
      </c>
      <c r="I782" s="132">
        <v>7</v>
      </c>
    </row>
    <row r="783" spans="1:9" ht="14.25" customHeight="1" x14ac:dyDescent="0.25">
      <c r="A783" s="132" t="s">
        <v>246</v>
      </c>
      <c r="B783" s="132" t="s">
        <v>11</v>
      </c>
      <c r="C783" s="132">
        <v>12</v>
      </c>
      <c r="D783" s="132" t="str">
        <f t="shared" si="56"/>
        <v>CIM Motor AM 9015 12</v>
      </c>
      <c r="E783" s="132">
        <v>5</v>
      </c>
      <c r="I783" s="132">
        <v>5</v>
      </c>
    </row>
    <row r="784" spans="1:9" ht="14.25" customHeight="1" x14ac:dyDescent="0.25">
      <c r="A784" s="132" t="s">
        <v>246</v>
      </c>
      <c r="B784" s="132" t="s">
        <v>11</v>
      </c>
      <c r="C784" s="132">
        <v>15</v>
      </c>
      <c r="D784" s="132" t="str">
        <f t="shared" si="56"/>
        <v>CIM Motor AM 9015 15</v>
      </c>
      <c r="E784" s="132">
        <v>4</v>
      </c>
      <c r="I784" s="132">
        <v>5</v>
      </c>
    </row>
    <row r="785" spans="1:9" ht="14.25" customHeight="1" x14ac:dyDescent="0.25">
      <c r="A785" s="132" t="s">
        <v>246</v>
      </c>
      <c r="B785" s="132" t="s">
        <v>11</v>
      </c>
      <c r="C785" s="132">
        <v>16</v>
      </c>
      <c r="D785" s="132" t="str">
        <f t="shared" si="56"/>
        <v>CIM Motor AM 9015 16</v>
      </c>
      <c r="E785" s="132">
        <v>4</v>
      </c>
      <c r="I785" s="132">
        <v>5</v>
      </c>
    </row>
    <row r="786" spans="1:9" ht="14.25" customHeight="1" x14ac:dyDescent="0.25">
      <c r="A786" s="132" t="s">
        <v>246</v>
      </c>
      <c r="B786" s="132" t="s">
        <v>11</v>
      </c>
      <c r="C786" s="132">
        <v>20</v>
      </c>
      <c r="D786" s="132" t="str">
        <f t="shared" si="56"/>
        <v>CIM Motor AM 9015 20</v>
      </c>
      <c r="E786" s="132">
        <v>3</v>
      </c>
      <c r="I786" s="132">
        <v>4</v>
      </c>
    </row>
    <row r="787" spans="1:9" ht="14.25" customHeight="1" x14ac:dyDescent="0.25">
      <c r="A787" s="132" t="s">
        <v>246</v>
      </c>
      <c r="B787" s="132" t="s">
        <v>11</v>
      </c>
      <c r="C787" s="132">
        <v>21</v>
      </c>
      <c r="D787" s="132" t="str">
        <f t="shared" si="56"/>
        <v>CIM Motor AM 9015 21</v>
      </c>
      <c r="E787" s="132">
        <v>3</v>
      </c>
      <c r="I787" s="132">
        <v>3</v>
      </c>
    </row>
    <row r="788" spans="1:9" ht="14.25" customHeight="1" x14ac:dyDescent="0.25">
      <c r="A788" s="132" t="s">
        <v>246</v>
      </c>
      <c r="B788" s="132" t="s">
        <v>11</v>
      </c>
      <c r="C788" s="132">
        <v>25</v>
      </c>
      <c r="D788" s="132" t="str">
        <f t="shared" si="56"/>
        <v>CIM Motor AM 9015 25</v>
      </c>
      <c r="E788" s="132">
        <v>1</v>
      </c>
      <c r="I788" s="132">
        <v>3</v>
      </c>
    </row>
    <row r="789" spans="1:9" ht="14.25" customHeight="1" x14ac:dyDescent="0.25">
      <c r="A789" s="132" t="s">
        <v>246</v>
      </c>
      <c r="B789" s="132" t="s">
        <v>11</v>
      </c>
      <c r="C789" s="132">
        <v>27</v>
      </c>
      <c r="D789" s="132" t="str">
        <f t="shared" si="56"/>
        <v>CIM Motor AM 9015 27</v>
      </c>
      <c r="E789" s="132">
        <v>1</v>
      </c>
      <c r="I789" s="132">
        <v>1</v>
      </c>
    </row>
    <row r="790" spans="1:9" ht="14.25" customHeight="1" x14ac:dyDescent="0.25">
      <c r="A790" s="132" t="s">
        <v>246</v>
      </c>
      <c r="B790" s="132" t="s">
        <v>11</v>
      </c>
      <c r="C790" s="132">
        <v>28</v>
      </c>
      <c r="D790" s="132" t="str">
        <f t="shared" si="56"/>
        <v>CIM Motor AM 9015 28</v>
      </c>
      <c r="E790" s="132">
        <v>1</v>
      </c>
      <c r="I790" s="132">
        <v>1</v>
      </c>
    </row>
    <row r="791" spans="1:9" ht="14.25" customHeight="1" x14ac:dyDescent="0.25">
      <c r="A791" s="132" t="s">
        <v>246</v>
      </c>
      <c r="B791" s="132" t="s">
        <v>11</v>
      </c>
      <c r="C791" s="132">
        <v>30</v>
      </c>
      <c r="D791" s="132" t="str">
        <f t="shared" si="56"/>
        <v>CIM Motor AM 9015 30</v>
      </c>
      <c r="E791" s="132">
        <v>1</v>
      </c>
      <c r="I791" s="132">
        <v>1</v>
      </c>
    </row>
    <row r="792" spans="1:9" ht="14.25" customHeight="1" x14ac:dyDescent="0.25">
      <c r="A792" s="132" t="s">
        <v>246</v>
      </c>
      <c r="B792" s="132" t="s">
        <v>11</v>
      </c>
      <c r="C792" s="132">
        <v>35</v>
      </c>
      <c r="D792" s="132" t="str">
        <f t="shared" si="56"/>
        <v>CIM Motor AM 9015 35</v>
      </c>
      <c r="E792" s="132">
        <v>1</v>
      </c>
      <c r="I792" s="132">
        <v>1</v>
      </c>
    </row>
    <row r="793" spans="1:9" ht="14.25" customHeight="1" x14ac:dyDescent="0.25">
      <c r="A793" s="132" t="s">
        <v>246</v>
      </c>
      <c r="B793" s="132" t="s">
        <v>11</v>
      </c>
      <c r="C793" s="132">
        <v>36</v>
      </c>
      <c r="D793" s="132" t="str">
        <f t="shared" si="56"/>
        <v>CIM Motor AM 9015 36</v>
      </c>
      <c r="E793" s="132">
        <v>1</v>
      </c>
      <c r="I793" s="132">
        <v>1</v>
      </c>
    </row>
    <row r="794" spans="1:9" ht="14.25" customHeight="1" x14ac:dyDescent="0.25">
      <c r="A794" s="132" t="s">
        <v>246</v>
      </c>
      <c r="B794" s="132" t="s">
        <v>11</v>
      </c>
      <c r="C794" s="132">
        <v>40</v>
      </c>
      <c r="D794" s="132" t="str">
        <f t="shared" si="56"/>
        <v>CIM Motor AM 9015 40</v>
      </c>
      <c r="E794" s="132">
        <v>1</v>
      </c>
      <c r="I794" s="132">
        <v>1</v>
      </c>
    </row>
    <row r="795" spans="1:9" ht="14.25" customHeight="1" x14ac:dyDescent="0.25">
      <c r="A795" s="132" t="s">
        <v>246</v>
      </c>
      <c r="B795" s="132" t="s">
        <v>11</v>
      </c>
      <c r="C795" s="132">
        <v>45</v>
      </c>
      <c r="D795" s="132" t="str">
        <f t="shared" si="56"/>
        <v>CIM Motor AM 9015 45</v>
      </c>
      <c r="E795" s="132">
        <v>1</v>
      </c>
      <c r="I795" s="132">
        <v>1</v>
      </c>
    </row>
    <row r="796" spans="1:9" ht="14.25" customHeight="1" x14ac:dyDescent="0.25">
      <c r="A796" s="132" t="s">
        <v>246</v>
      </c>
      <c r="B796" s="132" t="s">
        <v>11</v>
      </c>
      <c r="C796" s="132">
        <v>49</v>
      </c>
      <c r="D796" s="132" t="str">
        <f t="shared" si="56"/>
        <v>CIM Motor AM 9015 49</v>
      </c>
      <c r="E796" s="132">
        <v>1</v>
      </c>
      <c r="I796" s="132">
        <v>1</v>
      </c>
    </row>
    <row r="797" spans="1:9" ht="14.25" customHeight="1" x14ac:dyDescent="0.25">
      <c r="A797" s="132" t="s">
        <v>246</v>
      </c>
      <c r="B797" s="132" t="s">
        <v>11</v>
      </c>
      <c r="C797" s="132">
        <v>50</v>
      </c>
      <c r="D797" s="132" t="str">
        <f t="shared" si="56"/>
        <v>CIM Motor AM 9015 50</v>
      </c>
      <c r="E797" s="132">
        <v>1</v>
      </c>
      <c r="I797" s="132">
        <v>1</v>
      </c>
    </row>
    <row r="798" spans="1:9" ht="14.25" customHeight="1" x14ac:dyDescent="0.25">
      <c r="A798" s="132" t="s">
        <v>246</v>
      </c>
      <c r="B798" s="132" t="s">
        <v>11</v>
      </c>
      <c r="C798" s="132">
        <v>63</v>
      </c>
      <c r="D798" s="132" t="str">
        <f t="shared" si="56"/>
        <v>CIM Motor AM 9015 63</v>
      </c>
      <c r="E798" s="132">
        <v>1</v>
      </c>
      <c r="I798" s="132">
        <v>1</v>
      </c>
    </row>
    <row r="799" spans="1:9" ht="14.25" customHeight="1" x14ac:dyDescent="0.25">
      <c r="A799" s="132" t="s">
        <v>246</v>
      </c>
      <c r="B799" s="132" t="s">
        <v>11</v>
      </c>
      <c r="C799" s="132">
        <v>70</v>
      </c>
      <c r="D799" s="132" t="str">
        <f t="shared" si="56"/>
        <v>CIM Motor AM 9015 70</v>
      </c>
      <c r="E799" s="132">
        <v>0</v>
      </c>
      <c r="I799" s="132">
        <v>1</v>
      </c>
    </row>
    <row r="800" spans="1:9" ht="14.25" customHeight="1" x14ac:dyDescent="0.25">
      <c r="A800" s="132" t="s">
        <v>246</v>
      </c>
      <c r="B800" s="132" t="s">
        <v>11</v>
      </c>
      <c r="C800" s="132">
        <v>81</v>
      </c>
      <c r="D800" s="132" t="str">
        <f t="shared" si="56"/>
        <v>CIM Motor AM 9015 81</v>
      </c>
      <c r="E800" s="132">
        <v>0</v>
      </c>
      <c r="I800" s="132">
        <v>0</v>
      </c>
    </row>
    <row r="801" spans="1:9" ht="14.25" customHeight="1" x14ac:dyDescent="0.25">
      <c r="A801" s="132" t="s">
        <v>246</v>
      </c>
      <c r="B801" s="132" t="s">
        <v>11</v>
      </c>
      <c r="C801" s="132">
        <v>90</v>
      </c>
      <c r="D801" s="132" t="str">
        <f t="shared" si="56"/>
        <v>CIM Motor AM 9015 90</v>
      </c>
      <c r="E801" s="132">
        <v>0</v>
      </c>
      <c r="I801" s="132">
        <v>0</v>
      </c>
    </row>
    <row r="802" spans="1:9" ht="14.25" customHeight="1" x14ac:dyDescent="0.25">
      <c r="A802" s="132" t="s">
        <v>246</v>
      </c>
      <c r="B802" s="132" t="s">
        <v>11</v>
      </c>
      <c r="C802" s="132">
        <v>100</v>
      </c>
      <c r="D802" s="132" t="str">
        <f t="shared" si="56"/>
        <v>CIM Motor AM 9015 100</v>
      </c>
      <c r="E802" s="132">
        <v>0</v>
      </c>
      <c r="I802" s="132">
        <v>0</v>
      </c>
    </row>
    <row r="803" spans="1:9" ht="14.25" customHeight="1" x14ac:dyDescent="0.25">
      <c r="A803" s="132" t="s">
        <v>246</v>
      </c>
      <c r="B803" s="132" t="s">
        <v>326</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246</v>
      </c>
      <c r="B804" s="132" t="s">
        <v>326</v>
      </c>
      <c r="C804" s="132">
        <v>-4</v>
      </c>
      <c r="D804" s="132" t="str">
        <f t="shared" si="57"/>
        <v>CIM Motor BB RS-550 -4</v>
      </c>
      <c r="E804" s="132">
        <v>1</v>
      </c>
      <c r="F804" s="132">
        <v>1</v>
      </c>
      <c r="G804" s="132">
        <v>0</v>
      </c>
      <c r="H804" s="132">
        <v>0</v>
      </c>
      <c r="I804" s="132">
        <v>1</v>
      </c>
    </row>
    <row r="805" spans="1:9" ht="14.25" customHeight="1" x14ac:dyDescent="0.25">
      <c r="A805" s="132" t="s">
        <v>246</v>
      </c>
      <c r="B805" s="132" t="s">
        <v>326</v>
      </c>
      <c r="C805" s="132">
        <v>-5</v>
      </c>
      <c r="D805" s="132" t="str">
        <f t="shared" si="57"/>
        <v>CIM Motor BB RS-550 -5</v>
      </c>
      <c r="E805" s="132">
        <v>1</v>
      </c>
      <c r="F805" s="132">
        <v>1</v>
      </c>
      <c r="G805" s="132">
        <v>0</v>
      </c>
      <c r="H805" s="132">
        <v>0</v>
      </c>
      <c r="I805" s="132">
        <v>1</v>
      </c>
    </row>
    <row r="806" spans="1:9" ht="14.25" customHeight="1" x14ac:dyDescent="0.25">
      <c r="A806" s="132" t="s">
        <v>246</v>
      </c>
      <c r="B806" s="132" t="s">
        <v>326</v>
      </c>
      <c r="C806" s="132">
        <v>-7</v>
      </c>
      <c r="D806" s="132" t="str">
        <f t="shared" si="57"/>
        <v>CIM Motor BB RS-550 -7</v>
      </c>
      <c r="E806" s="132">
        <v>1</v>
      </c>
      <c r="F806" s="132">
        <v>1</v>
      </c>
      <c r="G806" s="132">
        <v>0</v>
      </c>
      <c r="H806" s="132">
        <v>0</v>
      </c>
      <c r="I806" s="132">
        <v>1</v>
      </c>
    </row>
    <row r="807" spans="1:9" ht="14.25" customHeight="1" x14ac:dyDescent="0.25">
      <c r="A807" s="132" t="s">
        <v>246</v>
      </c>
      <c r="B807" s="132" t="s">
        <v>326</v>
      </c>
      <c r="C807" s="132">
        <v>-9</v>
      </c>
      <c r="D807" s="132" t="str">
        <f t="shared" si="57"/>
        <v>CIM Motor BB RS-550 -9</v>
      </c>
      <c r="E807" s="132">
        <v>1</v>
      </c>
      <c r="F807" s="132">
        <v>1</v>
      </c>
      <c r="G807" s="132">
        <v>0</v>
      </c>
      <c r="H807" s="132">
        <v>0</v>
      </c>
      <c r="I807" s="132">
        <v>1</v>
      </c>
    </row>
    <row r="808" spans="1:9" ht="14.25" customHeight="1" x14ac:dyDescent="0.25">
      <c r="A808" s="132" t="s">
        <v>246</v>
      </c>
      <c r="B808" s="132" t="s">
        <v>326</v>
      </c>
      <c r="C808" s="132">
        <v>-10</v>
      </c>
      <c r="D808" s="132" t="str">
        <f t="shared" si="57"/>
        <v>CIM Motor BB RS-550 -10</v>
      </c>
      <c r="E808" s="132">
        <v>1</v>
      </c>
      <c r="F808" s="132">
        <v>1</v>
      </c>
      <c r="G808" s="132">
        <v>0</v>
      </c>
      <c r="H808" s="132">
        <v>0</v>
      </c>
      <c r="I808" s="132">
        <v>1</v>
      </c>
    </row>
    <row r="809" spans="1:9" ht="14.25" customHeight="1" x14ac:dyDescent="0.25">
      <c r="A809" s="132" t="s">
        <v>246</v>
      </c>
      <c r="B809" s="132" t="s">
        <v>326</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246</v>
      </c>
      <c r="B810" s="132" t="s">
        <v>326</v>
      </c>
      <c r="C810" s="132">
        <v>12</v>
      </c>
      <c r="D810" s="132" t="str">
        <f t="shared" si="58"/>
        <v>CIM Motor BB RS-550 12</v>
      </c>
      <c r="E810" s="132">
        <v>4</v>
      </c>
      <c r="F810" s="132">
        <v>1</v>
      </c>
      <c r="G810" s="132">
        <v>0</v>
      </c>
      <c r="H810" s="132">
        <v>0</v>
      </c>
      <c r="I810" s="132">
        <v>5</v>
      </c>
    </row>
    <row r="811" spans="1:9" ht="14.25" customHeight="1" x14ac:dyDescent="0.25">
      <c r="A811" s="132" t="s">
        <v>246</v>
      </c>
      <c r="B811" s="132" t="s">
        <v>326</v>
      </c>
      <c r="C811" s="132">
        <v>15</v>
      </c>
      <c r="D811" s="132" t="str">
        <f t="shared" si="58"/>
        <v>CIM Motor BB RS-550 15</v>
      </c>
      <c r="E811" s="132">
        <v>3</v>
      </c>
      <c r="F811" s="132">
        <v>1</v>
      </c>
      <c r="G811" s="132">
        <v>0</v>
      </c>
      <c r="H811" s="132">
        <v>0</v>
      </c>
      <c r="I811" s="132">
        <v>5</v>
      </c>
    </row>
    <row r="812" spans="1:9" ht="14.25" customHeight="1" x14ac:dyDescent="0.25">
      <c r="A812" s="132" t="s">
        <v>246</v>
      </c>
      <c r="B812" s="132" t="s">
        <v>326</v>
      </c>
      <c r="C812" s="132">
        <v>16</v>
      </c>
      <c r="D812" s="132" t="str">
        <f t="shared" si="58"/>
        <v>CIM Motor BB RS-550 16</v>
      </c>
      <c r="E812" s="132">
        <v>3</v>
      </c>
      <c r="F812" s="132">
        <v>1</v>
      </c>
      <c r="G812" s="132">
        <v>0</v>
      </c>
      <c r="H812" s="132">
        <v>0</v>
      </c>
      <c r="I812" s="132">
        <v>5</v>
      </c>
    </row>
    <row r="813" spans="1:9" ht="14.25" customHeight="1" x14ac:dyDescent="0.25">
      <c r="A813" s="132" t="s">
        <v>246</v>
      </c>
      <c r="B813" s="132" t="s">
        <v>326</v>
      </c>
      <c r="C813" s="132">
        <v>20</v>
      </c>
      <c r="D813" s="132" t="str">
        <f t="shared" si="58"/>
        <v>CIM Motor BB RS-550 20</v>
      </c>
      <c r="E813" s="132">
        <v>1</v>
      </c>
      <c r="F813" s="132">
        <v>1</v>
      </c>
      <c r="G813" s="132">
        <v>0</v>
      </c>
      <c r="H813" s="132">
        <v>0</v>
      </c>
      <c r="I813" s="132">
        <v>4</v>
      </c>
    </row>
    <row r="814" spans="1:9" ht="14.25" customHeight="1" x14ac:dyDescent="0.25">
      <c r="A814" s="132" t="s">
        <v>246</v>
      </c>
      <c r="B814" s="132" t="s">
        <v>326</v>
      </c>
      <c r="C814" s="132">
        <v>21</v>
      </c>
      <c r="D814" s="132" t="str">
        <f t="shared" si="58"/>
        <v>CIM Motor BB RS-550 21</v>
      </c>
      <c r="E814" s="132">
        <v>1</v>
      </c>
      <c r="F814" s="132">
        <v>1</v>
      </c>
      <c r="G814" s="132">
        <v>0</v>
      </c>
      <c r="H814" s="132">
        <v>0</v>
      </c>
      <c r="I814" s="132">
        <v>3</v>
      </c>
    </row>
    <row r="815" spans="1:9" ht="14.25" customHeight="1" x14ac:dyDescent="0.25">
      <c r="A815" s="132" t="s">
        <v>246</v>
      </c>
      <c r="B815" s="132" t="s">
        <v>326</v>
      </c>
      <c r="C815" s="132">
        <v>25</v>
      </c>
      <c r="D815" s="132" t="str">
        <f t="shared" si="58"/>
        <v>CIM Motor BB RS-550 25</v>
      </c>
      <c r="E815" s="132">
        <v>1</v>
      </c>
      <c r="F815" s="132">
        <v>1</v>
      </c>
      <c r="G815" s="132">
        <v>0</v>
      </c>
      <c r="H815" s="132">
        <v>0</v>
      </c>
      <c r="I815" s="132">
        <v>3</v>
      </c>
    </row>
    <row r="816" spans="1:9" ht="14.25" customHeight="1" x14ac:dyDescent="0.25">
      <c r="A816" s="132" t="s">
        <v>246</v>
      </c>
      <c r="B816" s="132" t="s">
        <v>326</v>
      </c>
      <c r="C816" s="132">
        <v>27</v>
      </c>
      <c r="D816" s="132" t="str">
        <f t="shared" si="58"/>
        <v>CIM Motor BB RS-550 27</v>
      </c>
      <c r="E816" s="132">
        <v>1</v>
      </c>
      <c r="F816" s="132">
        <v>1</v>
      </c>
      <c r="G816" s="132">
        <v>0</v>
      </c>
      <c r="H816" s="132">
        <v>0</v>
      </c>
      <c r="I816" s="132">
        <v>1</v>
      </c>
    </row>
    <row r="817" spans="1:9" ht="14.25" customHeight="1" x14ac:dyDescent="0.25">
      <c r="A817" s="132" t="s">
        <v>246</v>
      </c>
      <c r="B817" s="132" t="s">
        <v>326</v>
      </c>
      <c r="C817" s="132">
        <v>28</v>
      </c>
      <c r="D817" s="132" t="str">
        <f t="shared" si="58"/>
        <v>CIM Motor BB RS-550 28</v>
      </c>
      <c r="E817" s="132">
        <v>1</v>
      </c>
      <c r="F817" s="132">
        <v>1</v>
      </c>
      <c r="G817" s="132">
        <v>0</v>
      </c>
      <c r="H817" s="132">
        <v>0</v>
      </c>
      <c r="I817" s="132">
        <v>1</v>
      </c>
    </row>
    <row r="818" spans="1:9" ht="14.25" customHeight="1" x14ac:dyDescent="0.25">
      <c r="A818" s="132" t="s">
        <v>246</v>
      </c>
      <c r="B818" s="132" t="s">
        <v>326</v>
      </c>
      <c r="C818" s="132">
        <v>30</v>
      </c>
      <c r="D818" s="132" t="str">
        <f t="shared" si="58"/>
        <v>CIM Motor BB RS-550 30</v>
      </c>
      <c r="E818" s="132">
        <v>1</v>
      </c>
      <c r="F818" s="132">
        <v>0</v>
      </c>
      <c r="G818" s="132">
        <v>0</v>
      </c>
      <c r="H818" s="132">
        <v>0</v>
      </c>
      <c r="I818" s="132">
        <v>1</v>
      </c>
    </row>
    <row r="819" spans="1:9" ht="14.25" customHeight="1" x14ac:dyDescent="0.25">
      <c r="A819" s="132" t="s">
        <v>246</v>
      </c>
      <c r="B819" s="132" t="s">
        <v>326</v>
      </c>
      <c r="C819" s="132">
        <v>35</v>
      </c>
      <c r="D819" s="132" t="str">
        <f t="shared" si="58"/>
        <v>CIM Motor BB RS-550 35</v>
      </c>
      <c r="E819" s="132">
        <v>1</v>
      </c>
      <c r="F819" s="132">
        <v>0</v>
      </c>
      <c r="G819" s="132">
        <v>0</v>
      </c>
      <c r="H819" s="132">
        <v>0</v>
      </c>
      <c r="I819" s="132">
        <v>1</v>
      </c>
    </row>
    <row r="820" spans="1:9" ht="14.25" customHeight="1" x14ac:dyDescent="0.25">
      <c r="A820" s="132" t="s">
        <v>246</v>
      </c>
      <c r="B820" s="132" t="s">
        <v>326</v>
      </c>
      <c r="C820" s="132">
        <v>36</v>
      </c>
      <c r="D820" s="132" t="str">
        <f t="shared" si="58"/>
        <v>CIM Motor BB RS-550 36</v>
      </c>
      <c r="E820" s="132">
        <v>1</v>
      </c>
      <c r="F820" s="132">
        <v>0</v>
      </c>
      <c r="G820" s="132">
        <v>0</v>
      </c>
      <c r="H820" s="132">
        <v>0</v>
      </c>
      <c r="I820" s="132">
        <v>1</v>
      </c>
    </row>
    <row r="821" spans="1:9" ht="14.25" customHeight="1" x14ac:dyDescent="0.25">
      <c r="A821" s="132" t="s">
        <v>246</v>
      </c>
      <c r="B821" s="132" t="s">
        <v>326</v>
      </c>
      <c r="C821" s="132">
        <v>40</v>
      </c>
      <c r="D821" s="132" t="str">
        <f t="shared" si="58"/>
        <v>CIM Motor BB RS-550 40</v>
      </c>
      <c r="E821" s="132">
        <v>1</v>
      </c>
      <c r="F821" s="132">
        <v>0</v>
      </c>
      <c r="G821" s="132">
        <v>0</v>
      </c>
      <c r="H821" s="132">
        <v>0</v>
      </c>
      <c r="I821" s="132">
        <v>1</v>
      </c>
    </row>
    <row r="822" spans="1:9" ht="14.25" customHeight="1" x14ac:dyDescent="0.25">
      <c r="A822" s="132" t="s">
        <v>246</v>
      </c>
      <c r="B822" s="132" t="s">
        <v>326</v>
      </c>
      <c r="C822" s="132">
        <v>45</v>
      </c>
      <c r="D822" s="132" t="str">
        <f t="shared" si="58"/>
        <v>CIM Motor BB RS-550 45</v>
      </c>
      <c r="E822" s="132">
        <v>1</v>
      </c>
      <c r="F822" s="132">
        <v>0</v>
      </c>
      <c r="G822" s="132">
        <v>0</v>
      </c>
      <c r="H822" s="132">
        <v>0</v>
      </c>
      <c r="I822" s="132">
        <v>1</v>
      </c>
    </row>
    <row r="823" spans="1:9" ht="14.25" customHeight="1" x14ac:dyDescent="0.25">
      <c r="A823" s="132" t="s">
        <v>246</v>
      </c>
      <c r="B823" s="132" t="s">
        <v>326</v>
      </c>
      <c r="C823" s="132">
        <v>49</v>
      </c>
      <c r="D823" s="132" t="str">
        <f t="shared" si="58"/>
        <v>CIM Motor BB RS-550 49</v>
      </c>
      <c r="E823" s="132">
        <v>1</v>
      </c>
      <c r="F823" s="132">
        <v>0</v>
      </c>
      <c r="G823" s="132">
        <v>0</v>
      </c>
      <c r="H823" s="132">
        <v>0</v>
      </c>
      <c r="I823" s="132">
        <v>1</v>
      </c>
    </row>
    <row r="824" spans="1:9" ht="14.25" customHeight="1" x14ac:dyDescent="0.25">
      <c r="A824" s="132" t="s">
        <v>246</v>
      </c>
      <c r="B824" s="132" t="s">
        <v>326</v>
      </c>
      <c r="C824" s="132">
        <v>50</v>
      </c>
      <c r="D824" s="132" t="str">
        <f t="shared" si="58"/>
        <v>CIM Motor BB RS-550 50</v>
      </c>
      <c r="E824" s="132">
        <v>1</v>
      </c>
      <c r="F824" s="132">
        <v>0</v>
      </c>
      <c r="G824" s="132">
        <v>0</v>
      </c>
      <c r="H824" s="132">
        <v>0</v>
      </c>
      <c r="I824" s="132">
        <v>1</v>
      </c>
    </row>
    <row r="825" spans="1:9" ht="14.25" customHeight="1" x14ac:dyDescent="0.25">
      <c r="A825" s="132" t="s">
        <v>246</v>
      </c>
      <c r="B825" s="132" t="s">
        <v>326</v>
      </c>
      <c r="C825" s="132">
        <v>63</v>
      </c>
      <c r="D825" s="132" t="str">
        <f t="shared" si="58"/>
        <v>CIM Motor BB RS-550 63</v>
      </c>
      <c r="E825" s="132">
        <v>0</v>
      </c>
      <c r="F825" s="132">
        <v>0</v>
      </c>
      <c r="G825" s="132">
        <v>0</v>
      </c>
      <c r="H825" s="132">
        <v>0</v>
      </c>
      <c r="I825" s="132">
        <v>1</v>
      </c>
    </row>
    <row r="826" spans="1:9" ht="14.25" customHeight="1" x14ac:dyDescent="0.25">
      <c r="A826" s="132" t="s">
        <v>246</v>
      </c>
      <c r="B826" s="132" t="s">
        <v>326</v>
      </c>
      <c r="C826" s="132">
        <v>70</v>
      </c>
      <c r="D826" s="132" t="str">
        <f t="shared" si="58"/>
        <v>CIM Motor BB RS-550 70</v>
      </c>
      <c r="E826" s="132">
        <v>0</v>
      </c>
      <c r="F826" s="132">
        <v>0</v>
      </c>
      <c r="G826" s="132">
        <v>0</v>
      </c>
      <c r="H826" s="132">
        <v>0</v>
      </c>
      <c r="I826" s="132">
        <v>1</v>
      </c>
    </row>
    <row r="827" spans="1:9" ht="14.25" customHeight="1" x14ac:dyDescent="0.25">
      <c r="A827" s="132" t="s">
        <v>246</v>
      </c>
      <c r="B827" s="132" t="s">
        <v>326</v>
      </c>
      <c r="C827" s="132">
        <v>81</v>
      </c>
      <c r="D827" s="132" t="str">
        <f t="shared" si="58"/>
        <v>CIM Motor BB RS-550 81</v>
      </c>
      <c r="E827" s="132">
        <v>0</v>
      </c>
      <c r="F827" s="132">
        <v>0</v>
      </c>
      <c r="G827" s="132">
        <v>0</v>
      </c>
      <c r="H827" s="132">
        <v>0</v>
      </c>
      <c r="I827" s="132">
        <v>0</v>
      </c>
    </row>
    <row r="828" spans="1:9" ht="14.25" customHeight="1" x14ac:dyDescent="0.25">
      <c r="A828" s="132" t="s">
        <v>246</v>
      </c>
      <c r="B828" s="132" t="s">
        <v>326</v>
      </c>
      <c r="C828" s="132">
        <v>90</v>
      </c>
      <c r="D828" s="132" t="str">
        <f t="shared" si="58"/>
        <v>CIM Motor BB RS-550 90</v>
      </c>
      <c r="E828" s="132">
        <v>0</v>
      </c>
      <c r="F828" s="132">
        <v>0</v>
      </c>
      <c r="G828" s="132">
        <v>0</v>
      </c>
      <c r="H828" s="132">
        <v>0</v>
      </c>
      <c r="I828" s="132">
        <v>0</v>
      </c>
    </row>
    <row r="829" spans="1:9" ht="14.25" customHeight="1" x14ac:dyDescent="0.25">
      <c r="A829" s="132" t="s">
        <v>246</v>
      </c>
      <c r="B829" s="132" t="s">
        <v>326</v>
      </c>
      <c r="C829" s="132">
        <v>100</v>
      </c>
      <c r="D829" s="132" t="str">
        <f t="shared" si="58"/>
        <v>CIM Motor BB RS-550 100</v>
      </c>
      <c r="E829" s="132">
        <v>0</v>
      </c>
      <c r="F829" s="132">
        <v>0</v>
      </c>
      <c r="G829" s="132">
        <v>0</v>
      </c>
      <c r="H829" s="132">
        <v>0</v>
      </c>
      <c r="I829" s="132">
        <v>0</v>
      </c>
    </row>
    <row r="830" spans="1:9" ht="14.25" customHeight="1" x14ac:dyDescent="0.25">
      <c r="A830" s="132" t="s">
        <v>246</v>
      </c>
      <c r="B830" s="132" t="s">
        <v>327</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246</v>
      </c>
      <c r="B831" s="132" t="s">
        <v>327</v>
      </c>
      <c r="C831" s="132">
        <v>-4</v>
      </c>
      <c r="D831" s="132" t="str">
        <f t="shared" si="59"/>
        <v>CIM Motor BB RS-775 -4</v>
      </c>
      <c r="E831" s="132">
        <v>1</v>
      </c>
      <c r="F831" s="132">
        <v>1</v>
      </c>
      <c r="G831" s="132">
        <v>0</v>
      </c>
      <c r="H831" s="132">
        <v>0</v>
      </c>
      <c r="I831" s="132">
        <v>1</v>
      </c>
    </row>
    <row r="832" spans="1:9" ht="14.25" customHeight="1" x14ac:dyDescent="0.25">
      <c r="A832" s="132" t="s">
        <v>246</v>
      </c>
      <c r="B832" s="132" t="s">
        <v>327</v>
      </c>
      <c r="C832" s="132">
        <v>-5</v>
      </c>
      <c r="D832" s="132" t="str">
        <f t="shared" si="59"/>
        <v>CIM Motor BB RS-775 -5</v>
      </c>
      <c r="E832" s="132">
        <v>1</v>
      </c>
      <c r="F832" s="132">
        <v>1</v>
      </c>
      <c r="G832" s="132">
        <v>0</v>
      </c>
      <c r="H832" s="132">
        <v>0</v>
      </c>
      <c r="I832" s="132">
        <v>1</v>
      </c>
    </row>
    <row r="833" spans="1:9" ht="14.25" customHeight="1" x14ac:dyDescent="0.25">
      <c r="A833" s="132" t="s">
        <v>246</v>
      </c>
      <c r="B833" s="132" t="s">
        <v>327</v>
      </c>
      <c r="C833" s="132">
        <v>-7</v>
      </c>
      <c r="D833" s="132" t="str">
        <f t="shared" si="59"/>
        <v>CIM Motor BB RS-775 -7</v>
      </c>
      <c r="E833" s="132">
        <v>1</v>
      </c>
      <c r="F833" s="132">
        <v>1</v>
      </c>
      <c r="G833" s="132">
        <v>0</v>
      </c>
      <c r="H833" s="132">
        <v>0</v>
      </c>
      <c r="I833" s="132">
        <v>1</v>
      </c>
    </row>
    <row r="834" spans="1:9" ht="14.25" customHeight="1" x14ac:dyDescent="0.25">
      <c r="A834" s="132" t="s">
        <v>246</v>
      </c>
      <c r="B834" s="132" t="s">
        <v>327</v>
      </c>
      <c r="C834" s="132">
        <v>-9</v>
      </c>
      <c r="D834" s="132" t="str">
        <f t="shared" si="59"/>
        <v>CIM Motor BB RS-775 -9</v>
      </c>
      <c r="E834" s="132">
        <v>1</v>
      </c>
      <c r="F834" s="132">
        <v>1</v>
      </c>
      <c r="G834" s="132">
        <v>0</v>
      </c>
      <c r="H834" s="132">
        <v>0</v>
      </c>
      <c r="I834" s="132">
        <v>1</v>
      </c>
    </row>
    <row r="835" spans="1:9" ht="14.25" customHeight="1" x14ac:dyDescent="0.25">
      <c r="A835" s="132" t="s">
        <v>246</v>
      </c>
      <c r="B835" s="132" t="s">
        <v>327</v>
      </c>
      <c r="C835" s="132">
        <v>-10</v>
      </c>
      <c r="D835" s="132" t="str">
        <f t="shared" si="59"/>
        <v>CIM Motor BB RS-775 -10</v>
      </c>
      <c r="E835" s="132">
        <v>1</v>
      </c>
      <c r="F835" s="132">
        <v>1</v>
      </c>
      <c r="G835" s="132">
        <v>0</v>
      </c>
      <c r="H835" s="132">
        <v>0</v>
      </c>
      <c r="I835" s="132">
        <v>1</v>
      </c>
    </row>
    <row r="836" spans="1:9" ht="14.25" customHeight="1" x14ac:dyDescent="0.25">
      <c r="A836" s="132" t="s">
        <v>246</v>
      </c>
      <c r="B836" s="132" t="s">
        <v>327</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246</v>
      </c>
      <c r="B837" s="132" t="s">
        <v>327</v>
      </c>
      <c r="C837" s="132">
        <v>12</v>
      </c>
      <c r="D837" s="132" t="str">
        <f t="shared" si="60"/>
        <v>CIM Motor BB RS-775 12</v>
      </c>
      <c r="E837" s="132">
        <v>3</v>
      </c>
      <c r="F837" s="132">
        <v>1</v>
      </c>
      <c r="G837" s="132">
        <v>0</v>
      </c>
      <c r="H837" s="132">
        <v>0</v>
      </c>
      <c r="I837" s="132">
        <v>5</v>
      </c>
    </row>
    <row r="838" spans="1:9" ht="14.25" customHeight="1" x14ac:dyDescent="0.25">
      <c r="A838" s="132" t="s">
        <v>246</v>
      </c>
      <c r="B838" s="132" t="s">
        <v>327</v>
      </c>
      <c r="C838" s="132">
        <v>15</v>
      </c>
      <c r="D838" s="132" t="str">
        <f t="shared" si="60"/>
        <v>CIM Motor BB RS-775 15</v>
      </c>
      <c r="E838" s="132">
        <v>1</v>
      </c>
      <c r="F838" s="132">
        <v>1</v>
      </c>
      <c r="G838" s="132">
        <v>0</v>
      </c>
      <c r="H838" s="132">
        <v>0</v>
      </c>
      <c r="I838" s="132">
        <v>5</v>
      </c>
    </row>
    <row r="839" spans="1:9" ht="14.25" customHeight="1" x14ac:dyDescent="0.25">
      <c r="A839" s="132" t="s">
        <v>246</v>
      </c>
      <c r="B839" s="132" t="s">
        <v>327</v>
      </c>
      <c r="C839" s="132">
        <v>16</v>
      </c>
      <c r="D839" s="132" t="str">
        <f t="shared" si="60"/>
        <v>CIM Motor BB RS-775 16</v>
      </c>
      <c r="E839" s="132">
        <v>1</v>
      </c>
      <c r="F839" s="132">
        <v>1</v>
      </c>
      <c r="G839" s="132">
        <v>0</v>
      </c>
      <c r="H839" s="132">
        <v>0</v>
      </c>
      <c r="I839" s="132">
        <v>5</v>
      </c>
    </row>
    <row r="840" spans="1:9" ht="14.25" customHeight="1" x14ac:dyDescent="0.25">
      <c r="A840" s="132" t="s">
        <v>246</v>
      </c>
      <c r="B840" s="132" t="s">
        <v>327</v>
      </c>
      <c r="C840" s="132">
        <v>20</v>
      </c>
      <c r="D840" s="132" t="str">
        <f t="shared" si="60"/>
        <v>CIM Motor BB RS-775 20</v>
      </c>
      <c r="E840" s="132">
        <v>1</v>
      </c>
      <c r="F840" s="132">
        <v>0</v>
      </c>
      <c r="G840" s="132">
        <v>0</v>
      </c>
      <c r="H840" s="132">
        <v>0</v>
      </c>
      <c r="I840" s="132">
        <v>4</v>
      </c>
    </row>
    <row r="841" spans="1:9" ht="14.25" customHeight="1" x14ac:dyDescent="0.25">
      <c r="A841" s="132" t="s">
        <v>246</v>
      </c>
      <c r="B841" s="132" t="s">
        <v>327</v>
      </c>
      <c r="C841" s="132">
        <v>21</v>
      </c>
      <c r="D841" s="132" t="str">
        <f t="shared" si="60"/>
        <v>CIM Motor BB RS-775 21</v>
      </c>
      <c r="E841" s="132">
        <v>1</v>
      </c>
      <c r="F841" s="132">
        <v>0</v>
      </c>
      <c r="G841" s="132">
        <v>0</v>
      </c>
      <c r="H841" s="132">
        <v>0</v>
      </c>
      <c r="I841" s="132">
        <v>3</v>
      </c>
    </row>
    <row r="842" spans="1:9" ht="14.25" customHeight="1" x14ac:dyDescent="0.25">
      <c r="A842" s="132" t="s">
        <v>246</v>
      </c>
      <c r="B842" s="132" t="s">
        <v>327</v>
      </c>
      <c r="C842" s="132">
        <v>25</v>
      </c>
      <c r="D842" s="132" t="str">
        <f t="shared" si="60"/>
        <v>CIM Motor BB RS-775 25</v>
      </c>
      <c r="E842" s="132">
        <v>1</v>
      </c>
      <c r="F842" s="132">
        <v>0</v>
      </c>
      <c r="G842" s="132">
        <v>0</v>
      </c>
      <c r="H842" s="132">
        <v>0</v>
      </c>
      <c r="I842" s="132">
        <v>3</v>
      </c>
    </row>
    <row r="843" spans="1:9" ht="14.25" customHeight="1" x14ac:dyDescent="0.25">
      <c r="A843" s="132" t="s">
        <v>246</v>
      </c>
      <c r="B843" s="132" t="s">
        <v>327</v>
      </c>
      <c r="C843" s="132">
        <v>27</v>
      </c>
      <c r="D843" s="132" t="str">
        <f t="shared" si="60"/>
        <v>CIM Motor BB RS-775 27</v>
      </c>
      <c r="E843" s="132">
        <v>1</v>
      </c>
      <c r="F843" s="132">
        <v>0</v>
      </c>
      <c r="G843" s="132">
        <v>0</v>
      </c>
      <c r="H843" s="132">
        <v>0</v>
      </c>
      <c r="I843" s="132">
        <v>1</v>
      </c>
    </row>
    <row r="844" spans="1:9" ht="14.25" customHeight="1" x14ac:dyDescent="0.25">
      <c r="A844" s="132" t="s">
        <v>246</v>
      </c>
      <c r="B844" s="132" t="s">
        <v>327</v>
      </c>
      <c r="C844" s="132">
        <v>28</v>
      </c>
      <c r="D844" s="132" t="str">
        <f t="shared" si="60"/>
        <v>CIM Motor BB RS-775 28</v>
      </c>
      <c r="E844" s="132">
        <v>1</v>
      </c>
      <c r="F844" s="132">
        <v>0</v>
      </c>
      <c r="G844" s="132">
        <v>0</v>
      </c>
      <c r="H844" s="132">
        <v>0</v>
      </c>
      <c r="I844" s="132">
        <v>1</v>
      </c>
    </row>
    <row r="845" spans="1:9" ht="14.25" customHeight="1" x14ac:dyDescent="0.25">
      <c r="A845" s="132" t="s">
        <v>246</v>
      </c>
      <c r="B845" s="132" t="s">
        <v>327</v>
      </c>
      <c r="C845" s="132">
        <v>30</v>
      </c>
      <c r="D845" s="132" t="str">
        <f t="shared" si="60"/>
        <v>CIM Motor BB RS-775 30</v>
      </c>
      <c r="E845" s="132">
        <v>1</v>
      </c>
      <c r="F845" s="132">
        <v>0</v>
      </c>
      <c r="G845" s="132">
        <v>0</v>
      </c>
      <c r="H845" s="132">
        <v>0</v>
      </c>
      <c r="I845" s="132">
        <v>1</v>
      </c>
    </row>
    <row r="846" spans="1:9" ht="14.25" customHeight="1" x14ac:dyDescent="0.25">
      <c r="A846" s="132" t="s">
        <v>246</v>
      </c>
      <c r="B846" s="132" t="s">
        <v>327</v>
      </c>
      <c r="C846" s="132">
        <v>35</v>
      </c>
      <c r="D846" s="132" t="str">
        <f t="shared" si="60"/>
        <v>CIM Motor BB RS-775 35</v>
      </c>
      <c r="E846" s="132">
        <v>1</v>
      </c>
      <c r="F846" s="132">
        <v>0</v>
      </c>
      <c r="G846" s="132">
        <v>0</v>
      </c>
      <c r="H846" s="132">
        <v>0</v>
      </c>
      <c r="I846" s="132">
        <v>1</v>
      </c>
    </row>
    <row r="847" spans="1:9" ht="14.25" customHeight="1" x14ac:dyDescent="0.25">
      <c r="A847" s="132" t="s">
        <v>246</v>
      </c>
      <c r="B847" s="132" t="s">
        <v>327</v>
      </c>
      <c r="C847" s="132">
        <v>36</v>
      </c>
      <c r="D847" s="132" t="str">
        <f t="shared" si="60"/>
        <v>CIM Motor BB RS-775 36</v>
      </c>
      <c r="E847" s="132">
        <v>1</v>
      </c>
      <c r="F847" s="132">
        <v>0</v>
      </c>
      <c r="G847" s="132">
        <v>0</v>
      </c>
      <c r="H847" s="132">
        <v>0</v>
      </c>
      <c r="I847" s="132">
        <v>1</v>
      </c>
    </row>
    <row r="848" spans="1:9" ht="14.25" customHeight="1" x14ac:dyDescent="0.25">
      <c r="A848" s="132" t="s">
        <v>246</v>
      </c>
      <c r="B848" s="132" t="s">
        <v>327</v>
      </c>
      <c r="C848" s="132">
        <v>40</v>
      </c>
      <c r="D848" s="132" t="str">
        <f t="shared" si="60"/>
        <v>CIM Motor BB RS-775 40</v>
      </c>
      <c r="E848" s="132">
        <v>0</v>
      </c>
      <c r="F848" s="132">
        <v>0</v>
      </c>
      <c r="G848" s="132">
        <v>0</v>
      </c>
      <c r="H848" s="132">
        <v>0</v>
      </c>
      <c r="I848" s="132">
        <v>1</v>
      </c>
    </row>
    <row r="849" spans="1:9" ht="14.25" customHeight="1" x14ac:dyDescent="0.25">
      <c r="A849" s="132" t="s">
        <v>246</v>
      </c>
      <c r="B849" s="132" t="s">
        <v>327</v>
      </c>
      <c r="C849" s="132">
        <v>45</v>
      </c>
      <c r="D849" s="132" t="str">
        <f t="shared" si="60"/>
        <v>CIM Motor BB RS-775 45</v>
      </c>
      <c r="E849" s="132">
        <v>0</v>
      </c>
      <c r="F849" s="132">
        <v>0</v>
      </c>
      <c r="G849" s="132">
        <v>0</v>
      </c>
      <c r="H849" s="132">
        <v>0</v>
      </c>
      <c r="I849" s="132">
        <v>1</v>
      </c>
    </row>
    <row r="850" spans="1:9" ht="14.25" customHeight="1" x14ac:dyDescent="0.25">
      <c r="A850" s="132" t="s">
        <v>246</v>
      </c>
      <c r="B850" s="132" t="s">
        <v>327</v>
      </c>
      <c r="C850" s="132">
        <v>49</v>
      </c>
      <c r="D850" s="132" t="str">
        <f t="shared" si="60"/>
        <v>CIM Motor BB RS-775 49</v>
      </c>
      <c r="E850" s="132">
        <v>0</v>
      </c>
      <c r="F850" s="132">
        <v>0</v>
      </c>
      <c r="G850" s="132">
        <v>0</v>
      </c>
      <c r="H850" s="132">
        <v>0</v>
      </c>
      <c r="I850" s="132">
        <v>1</v>
      </c>
    </row>
    <row r="851" spans="1:9" ht="14.25" customHeight="1" x14ac:dyDescent="0.25">
      <c r="A851" s="132" t="s">
        <v>246</v>
      </c>
      <c r="B851" s="132" t="s">
        <v>327</v>
      </c>
      <c r="C851" s="132">
        <v>50</v>
      </c>
      <c r="D851" s="132" t="str">
        <f t="shared" si="60"/>
        <v>CIM Motor BB RS-775 50</v>
      </c>
      <c r="E851" s="132">
        <v>0</v>
      </c>
      <c r="F851" s="132">
        <v>0</v>
      </c>
      <c r="G851" s="132">
        <v>0</v>
      </c>
      <c r="H851" s="132">
        <v>0</v>
      </c>
      <c r="I851" s="132">
        <v>1</v>
      </c>
    </row>
    <row r="852" spans="1:9" ht="14.25" customHeight="1" x14ac:dyDescent="0.25">
      <c r="A852" s="132" t="s">
        <v>246</v>
      </c>
      <c r="B852" s="132" t="s">
        <v>327</v>
      </c>
      <c r="C852" s="132">
        <v>63</v>
      </c>
      <c r="D852" s="132" t="str">
        <f t="shared" si="60"/>
        <v>CIM Motor BB RS-775 63</v>
      </c>
      <c r="E852" s="132">
        <v>0</v>
      </c>
      <c r="F852" s="132">
        <v>0</v>
      </c>
      <c r="G852" s="132">
        <v>0</v>
      </c>
      <c r="H852" s="132">
        <v>0</v>
      </c>
      <c r="I852" s="132">
        <v>1</v>
      </c>
    </row>
    <row r="853" spans="1:9" ht="14.25" customHeight="1" x14ac:dyDescent="0.25">
      <c r="A853" s="132" t="s">
        <v>246</v>
      </c>
      <c r="B853" s="132" t="s">
        <v>327</v>
      </c>
      <c r="C853" s="132">
        <v>70</v>
      </c>
      <c r="D853" s="132" t="str">
        <f t="shared" si="60"/>
        <v>CIM Motor BB RS-775 70</v>
      </c>
      <c r="E853" s="132">
        <v>0</v>
      </c>
      <c r="F853" s="132">
        <v>0</v>
      </c>
      <c r="G853" s="132">
        <v>0</v>
      </c>
      <c r="H853" s="132">
        <v>0</v>
      </c>
      <c r="I853" s="132">
        <v>1</v>
      </c>
    </row>
    <row r="854" spans="1:9" ht="14.25" customHeight="1" x14ac:dyDescent="0.25">
      <c r="A854" s="132" t="s">
        <v>246</v>
      </c>
      <c r="B854" s="132" t="s">
        <v>327</v>
      </c>
      <c r="C854" s="132">
        <v>81</v>
      </c>
      <c r="D854" s="132" t="str">
        <f t="shared" si="60"/>
        <v>CIM Motor BB RS-775 81</v>
      </c>
      <c r="E854" s="132">
        <v>0</v>
      </c>
      <c r="F854" s="132">
        <v>0</v>
      </c>
      <c r="G854" s="132">
        <v>0</v>
      </c>
      <c r="H854" s="132">
        <v>0</v>
      </c>
      <c r="I854" s="132">
        <v>1</v>
      </c>
    </row>
    <row r="855" spans="1:9" ht="14.25" customHeight="1" x14ac:dyDescent="0.25">
      <c r="A855" s="132" t="s">
        <v>246</v>
      </c>
      <c r="B855" s="132" t="s">
        <v>327</v>
      </c>
      <c r="C855" s="132">
        <v>90</v>
      </c>
      <c r="D855" s="132" t="str">
        <f t="shared" si="60"/>
        <v>CIM Motor BB RS-775 90</v>
      </c>
      <c r="E855" s="132">
        <v>0</v>
      </c>
      <c r="F855" s="132">
        <v>0</v>
      </c>
      <c r="G855" s="132">
        <v>0</v>
      </c>
      <c r="H855" s="132">
        <v>0</v>
      </c>
      <c r="I855" s="132">
        <v>1</v>
      </c>
    </row>
    <row r="856" spans="1:9" ht="14.25" customHeight="1" x14ac:dyDescent="0.25">
      <c r="A856" s="132" t="s">
        <v>246</v>
      </c>
      <c r="B856" s="132" t="s">
        <v>327</v>
      </c>
      <c r="C856" s="132">
        <v>100</v>
      </c>
      <c r="D856" s="132" t="str">
        <f t="shared" si="60"/>
        <v>CIM Motor BB RS-775 100</v>
      </c>
      <c r="E856" s="132">
        <v>0</v>
      </c>
      <c r="F856" s="132">
        <v>0</v>
      </c>
      <c r="G856" s="132">
        <v>0</v>
      </c>
      <c r="H856" s="132">
        <v>0</v>
      </c>
      <c r="I856" s="132">
        <v>1</v>
      </c>
    </row>
    <row r="857" spans="1:9" ht="14.25" customHeight="1" x14ac:dyDescent="0.25">
      <c r="A857" s="132" t="s">
        <v>246</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246</v>
      </c>
      <c r="B858" s="132" t="s">
        <v>8</v>
      </c>
      <c r="C858" s="132">
        <v>-4</v>
      </c>
      <c r="D858" s="132" t="str">
        <f t="shared" si="61"/>
        <v>CIM Motor BAG Motor -4</v>
      </c>
      <c r="E858" s="132">
        <v>1</v>
      </c>
      <c r="F858" s="132">
        <v>1</v>
      </c>
      <c r="G858" s="132">
        <v>0</v>
      </c>
      <c r="H858" s="132">
        <v>0</v>
      </c>
      <c r="I858" s="132">
        <v>1</v>
      </c>
    </row>
    <row r="859" spans="1:9" ht="14.25" customHeight="1" x14ac:dyDescent="0.25">
      <c r="A859" s="132" t="s">
        <v>246</v>
      </c>
      <c r="B859" s="132" t="s">
        <v>8</v>
      </c>
      <c r="C859" s="132">
        <v>-5</v>
      </c>
      <c r="D859" s="132" t="str">
        <f t="shared" si="61"/>
        <v>CIM Motor BAG Motor -5</v>
      </c>
      <c r="E859" s="132">
        <v>1</v>
      </c>
      <c r="F859" s="132">
        <v>1</v>
      </c>
      <c r="G859" s="132">
        <v>0</v>
      </c>
      <c r="H859" s="132">
        <v>0</v>
      </c>
      <c r="I859" s="132">
        <v>1</v>
      </c>
    </row>
    <row r="860" spans="1:9" ht="14.25" customHeight="1" x14ac:dyDescent="0.25">
      <c r="A860" s="132" t="s">
        <v>246</v>
      </c>
      <c r="B860" s="132" t="s">
        <v>8</v>
      </c>
      <c r="C860" s="132">
        <v>-7</v>
      </c>
      <c r="D860" s="132" t="str">
        <f t="shared" si="61"/>
        <v>CIM Motor BAG Motor -7</v>
      </c>
      <c r="E860" s="132">
        <v>1</v>
      </c>
      <c r="F860" s="132">
        <v>1</v>
      </c>
      <c r="G860" s="132">
        <v>0</v>
      </c>
      <c r="H860" s="132">
        <v>0</v>
      </c>
      <c r="I860" s="132">
        <v>1</v>
      </c>
    </row>
    <row r="861" spans="1:9" ht="14.25" customHeight="1" x14ac:dyDescent="0.25">
      <c r="A861" s="132" t="s">
        <v>246</v>
      </c>
      <c r="B861" s="132" t="s">
        <v>8</v>
      </c>
      <c r="C861" s="132">
        <v>-9</v>
      </c>
      <c r="D861" s="132" t="str">
        <f t="shared" si="61"/>
        <v>CIM Motor BAG Motor -9</v>
      </c>
      <c r="E861" s="132">
        <v>1</v>
      </c>
      <c r="F861" s="132">
        <v>1</v>
      </c>
      <c r="G861" s="132">
        <v>0</v>
      </c>
      <c r="H861" s="132">
        <v>0</v>
      </c>
      <c r="I861" s="132">
        <v>1</v>
      </c>
    </row>
    <row r="862" spans="1:9" ht="14.25" customHeight="1" x14ac:dyDescent="0.25">
      <c r="A862" s="132" t="s">
        <v>246</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246</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246</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246</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246</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246</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246</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246</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246</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246</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246</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246</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246</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246</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246</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246</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246</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246</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246</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246</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246</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246</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246</v>
      </c>
      <c r="B884" s="132" t="s">
        <v>255</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246</v>
      </c>
      <c r="B885" s="132" t="s">
        <v>255</v>
      </c>
      <c r="C885" s="132">
        <v>-4</v>
      </c>
      <c r="D885" s="132" t="str">
        <f t="shared" si="63"/>
        <v>CIM Motor 775pro -4</v>
      </c>
      <c r="E885" s="132">
        <v>1</v>
      </c>
      <c r="F885" s="132">
        <v>1</v>
      </c>
      <c r="G885" s="132">
        <v>0</v>
      </c>
      <c r="H885" s="132">
        <v>0</v>
      </c>
      <c r="I885" s="132">
        <v>1</v>
      </c>
    </row>
    <row r="886" spans="1:9" ht="14.25" customHeight="1" x14ac:dyDescent="0.25">
      <c r="A886" s="132" t="s">
        <v>246</v>
      </c>
      <c r="B886" s="132" t="s">
        <v>255</v>
      </c>
      <c r="C886" s="132">
        <v>-5</v>
      </c>
      <c r="D886" s="132" t="str">
        <f t="shared" si="63"/>
        <v>CIM Motor 775pro -5</v>
      </c>
      <c r="E886" s="132">
        <v>1</v>
      </c>
      <c r="F886" s="132">
        <v>1</v>
      </c>
      <c r="G886" s="132">
        <v>0</v>
      </c>
      <c r="H886" s="132">
        <v>0</v>
      </c>
      <c r="I886" s="132">
        <v>1</v>
      </c>
    </row>
    <row r="887" spans="1:9" ht="14.25" customHeight="1" x14ac:dyDescent="0.25">
      <c r="A887" s="132" t="s">
        <v>246</v>
      </c>
      <c r="B887" s="132" t="s">
        <v>255</v>
      </c>
      <c r="C887" s="132">
        <v>-7</v>
      </c>
      <c r="D887" s="132" t="str">
        <f t="shared" si="63"/>
        <v>CIM Motor 775pro -7</v>
      </c>
      <c r="E887" s="132">
        <v>1</v>
      </c>
      <c r="F887" s="132">
        <v>1</v>
      </c>
      <c r="G887" s="132">
        <v>0</v>
      </c>
      <c r="H887" s="132">
        <v>0</v>
      </c>
      <c r="I887" s="132">
        <v>1</v>
      </c>
    </row>
    <row r="888" spans="1:9" ht="14.25" customHeight="1" x14ac:dyDescent="0.25">
      <c r="A888" s="132" t="s">
        <v>246</v>
      </c>
      <c r="B888" s="132" t="s">
        <v>255</v>
      </c>
      <c r="C888" s="132">
        <v>-9</v>
      </c>
      <c r="D888" s="132" t="str">
        <f t="shared" si="63"/>
        <v>CIM Motor 775pro -9</v>
      </c>
      <c r="E888" s="132">
        <v>1</v>
      </c>
      <c r="F888" s="132">
        <v>1</v>
      </c>
      <c r="G888" s="132">
        <v>0</v>
      </c>
      <c r="H888" s="132">
        <v>0</v>
      </c>
      <c r="I888" s="132">
        <v>1</v>
      </c>
    </row>
    <row r="889" spans="1:9" ht="14.25" customHeight="1" x14ac:dyDescent="0.25">
      <c r="A889" s="132" t="s">
        <v>246</v>
      </c>
      <c r="B889" s="132" t="s">
        <v>255</v>
      </c>
      <c r="C889" s="132">
        <v>-10</v>
      </c>
      <c r="D889" s="132" t="str">
        <f t="shared" si="63"/>
        <v>CIM Motor 775pro -10</v>
      </c>
      <c r="E889" s="132">
        <v>1</v>
      </c>
      <c r="F889" s="132">
        <v>1</v>
      </c>
      <c r="G889" s="132">
        <v>0</v>
      </c>
      <c r="H889" s="132">
        <v>0</v>
      </c>
      <c r="I889" s="132">
        <v>1</v>
      </c>
    </row>
    <row r="890" spans="1:9" ht="14.25" customHeight="1" x14ac:dyDescent="0.25">
      <c r="A890" s="132" t="s">
        <v>246</v>
      </c>
      <c r="B890" s="132" t="s">
        <v>255</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246</v>
      </c>
      <c r="B891" s="132" t="s">
        <v>255</v>
      </c>
      <c r="C891" s="132">
        <v>12</v>
      </c>
      <c r="D891" s="132" t="str">
        <f t="shared" si="64"/>
        <v>CIM Motor 775pro 12</v>
      </c>
      <c r="E891" s="132">
        <v>3</v>
      </c>
      <c r="F891" s="132">
        <v>1</v>
      </c>
      <c r="G891" s="132">
        <v>0</v>
      </c>
      <c r="H891" s="132">
        <v>0</v>
      </c>
      <c r="I891" s="132">
        <v>3</v>
      </c>
    </row>
    <row r="892" spans="1:9" ht="14.25" customHeight="1" x14ac:dyDescent="0.25">
      <c r="A892" s="132" t="s">
        <v>246</v>
      </c>
      <c r="B892" s="132" t="s">
        <v>255</v>
      </c>
      <c r="C892" s="132">
        <v>15</v>
      </c>
      <c r="D892" s="132" t="str">
        <f t="shared" si="64"/>
        <v>CIM Motor 775pro 15</v>
      </c>
      <c r="E892" s="132">
        <v>1</v>
      </c>
      <c r="F892" s="132">
        <v>1</v>
      </c>
      <c r="G892" s="132">
        <v>0</v>
      </c>
      <c r="H892" s="132">
        <v>0</v>
      </c>
      <c r="I892" s="132">
        <v>1</v>
      </c>
    </row>
    <row r="893" spans="1:9" ht="14.25" customHeight="1" x14ac:dyDescent="0.25">
      <c r="A893" s="132" t="s">
        <v>246</v>
      </c>
      <c r="B893" s="132" t="s">
        <v>255</v>
      </c>
      <c r="C893" s="132">
        <v>16</v>
      </c>
      <c r="D893" s="132" t="str">
        <f t="shared" si="64"/>
        <v>CIM Motor 775pro 16</v>
      </c>
      <c r="E893" s="132">
        <v>1</v>
      </c>
      <c r="F893" s="132">
        <v>1</v>
      </c>
      <c r="G893" s="132">
        <v>0</v>
      </c>
      <c r="H893" s="132">
        <v>0</v>
      </c>
      <c r="I893" s="132">
        <v>1</v>
      </c>
    </row>
    <row r="894" spans="1:9" ht="14.25" customHeight="1" x14ac:dyDescent="0.25">
      <c r="A894" s="132" t="s">
        <v>246</v>
      </c>
      <c r="B894" s="132" t="s">
        <v>255</v>
      </c>
      <c r="C894" s="132">
        <v>20</v>
      </c>
      <c r="D894" s="132" t="str">
        <f t="shared" si="64"/>
        <v>CIM Motor 775pro 20</v>
      </c>
      <c r="E894" s="132">
        <v>1</v>
      </c>
      <c r="F894" s="132">
        <v>1</v>
      </c>
      <c r="G894" s="132">
        <v>0</v>
      </c>
      <c r="H894" s="132">
        <v>0</v>
      </c>
      <c r="I894" s="132">
        <v>1</v>
      </c>
    </row>
    <row r="895" spans="1:9" ht="14.25" customHeight="1" x14ac:dyDescent="0.25">
      <c r="A895" s="132" t="s">
        <v>246</v>
      </c>
      <c r="B895" s="132" t="s">
        <v>255</v>
      </c>
      <c r="C895" s="132">
        <v>21</v>
      </c>
      <c r="D895" s="132" t="str">
        <f t="shared" si="64"/>
        <v>CIM Motor 775pro 21</v>
      </c>
      <c r="E895" s="132">
        <v>1</v>
      </c>
      <c r="F895" s="132">
        <v>0</v>
      </c>
      <c r="G895" s="132">
        <v>0</v>
      </c>
      <c r="H895" s="132">
        <v>0</v>
      </c>
      <c r="I895" s="132">
        <v>1</v>
      </c>
    </row>
    <row r="896" spans="1:9" ht="14.25" customHeight="1" x14ac:dyDescent="0.25">
      <c r="A896" s="132" t="s">
        <v>246</v>
      </c>
      <c r="B896" s="132" t="s">
        <v>255</v>
      </c>
      <c r="C896" s="132">
        <v>25</v>
      </c>
      <c r="D896" s="132" t="str">
        <f t="shared" si="64"/>
        <v>CIM Motor 775pro 25</v>
      </c>
      <c r="E896" s="132">
        <v>1</v>
      </c>
      <c r="F896" s="132">
        <v>0</v>
      </c>
      <c r="G896" s="132">
        <v>0</v>
      </c>
      <c r="H896" s="132">
        <v>0</v>
      </c>
      <c r="I896" s="132">
        <v>1</v>
      </c>
    </row>
    <row r="897" spans="1:9" ht="14.25" customHeight="1" x14ac:dyDescent="0.25">
      <c r="A897" s="132" t="s">
        <v>246</v>
      </c>
      <c r="B897" s="132" t="s">
        <v>255</v>
      </c>
      <c r="C897" s="132">
        <v>27</v>
      </c>
      <c r="D897" s="132" t="str">
        <f t="shared" si="64"/>
        <v>CIM Motor 775pro 27</v>
      </c>
      <c r="E897" s="132">
        <v>1</v>
      </c>
      <c r="F897" s="132">
        <v>0</v>
      </c>
      <c r="G897" s="132">
        <v>0</v>
      </c>
      <c r="H897" s="132">
        <v>0</v>
      </c>
      <c r="I897" s="132">
        <v>1</v>
      </c>
    </row>
    <row r="898" spans="1:9" ht="14.25" customHeight="1" x14ac:dyDescent="0.25">
      <c r="A898" s="132" t="s">
        <v>246</v>
      </c>
      <c r="B898" s="132" t="s">
        <v>255</v>
      </c>
      <c r="C898" s="132">
        <v>28</v>
      </c>
      <c r="D898" s="132" t="str">
        <f t="shared" si="64"/>
        <v>CIM Motor 775pro 28</v>
      </c>
      <c r="E898" s="132">
        <v>1</v>
      </c>
      <c r="F898" s="132">
        <v>0</v>
      </c>
      <c r="G898" s="132">
        <v>0</v>
      </c>
      <c r="H898" s="132">
        <v>0</v>
      </c>
      <c r="I898" s="132">
        <v>1</v>
      </c>
    </row>
    <row r="899" spans="1:9" ht="14.25" customHeight="1" x14ac:dyDescent="0.25">
      <c r="A899" s="132" t="s">
        <v>246</v>
      </c>
      <c r="B899" s="132" t="s">
        <v>255</v>
      </c>
      <c r="C899" s="132">
        <v>30</v>
      </c>
      <c r="D899" s="132" t="str">
        <f t="shared" si="64"/>
        <v>CIM Motor 775pro 30</v>
      </c>
      <c r="E899" s="132">
        <v>1</v>
      </c>
      <c r="F899" s="132">
        <v>0</v>
      </c>
      <c r="G899" s="132">
        <v>0</v>
      </c>
      <c r="H899" s="132">
        <v>0</v>
      </c>
      <c r="I899" s="132">
        <v>1</v>
      </c>
    </row>
    <row r="900" spans="1:9" ht="14.25" customHeight="1" x14ac:dyDescent="0.25">
      <c r="A900" s="132" t="s">
        <v>246</v>
      </c>
      <c r="B900" s="132" t="s">
        <v>255</v>
      </c>
      <c r="C900" s="132">
        <v>35</v>
      </c>
      <c r="D900" s="132" t="str">
        <f t="shared" si="64"/>
        <v>CIM Motor 775pro 35</v>
      </c>
      <c r="E900" s="132">
        <v>1</v>
      </c>
      <c r="F900" s="132">
        <v>0</v>
      </c>
      <c r="G900" s="132">
        <v>0</v>
      </c>
      <c r="H900" s="132">
        <v>0</v>
      </c>
      <c r="I900" s="132">
        <v>1</v>
      </c>
    </row>
    <row r="901" spans="1:9" ht="14.25" customHeight="1" x14ac:dyDescent="0.25">
      <c r="A901" s="132" t="s">
        <v>246</v>
      </c>
      <c r="B901" s="132" t="s">
        <v>255</v>
      </c>
      <c r="C901" s="132">
        <v>36</v>
      </c>
      <c r="D901" s="132" t="str">
        <f t="shared" si="64"/>
        <v>CIM Motor 775pro 36</v>
      </c>
      <c r="E901" s="132">
        <v>1</v>
      </c>
      <c r="F901" s="132">
        <v>0</v>
      </c>
      <c r="G901" s="132">
        <v>0</v>
      </c>
      <c r="H901" s="132">
        <v>0</v>
      </c>
      <c r="I901" s="132">
        <v>1</v>
      </c>
    </row>
    <row r="902" spans="1:9" ht="14.25" customHeight="1" x14ac:dyDescent="0.25">
      <c r="A902" s="132" t="s">
        <v>246</v>
      </c>
      <c r="B902" s="132" t="s">
        <v>255</v>
      </c>
      <c r="C902" s="132">
        <v>40</v>
      </c>
      <c r="D902" s="132" t="str">
        <f t="shared" si="64"/>
        <v>CIM Motor 775pro 40</v>
      </c>
      <c r="E902" s="132">
        <v>1</v>
      </c>
      <c r="F902" s="132">
        <v>0</v>
      </c>
      <c r="G902" s="132">
        <v>0</v>
      </c>
      <c r="H902" s="132">
        <v>0</v>
      </c>
      <c r="I902" s="132">
        <v>1</v>
      </c>
    </row>
    <row r="903" spans="1:9" ht="14.25" customHeight="1" x14ac:dyDescent="0.25">
      <c r="A903" s="132" t="s">
        <v>246</v>
      </c>
      <c r="B903" s="132" t="s">
        <v>255</v>
      </c>
      <c r="C903" s="132">
        <v>45</v>
      </c>
      <c r="D903" s="132" t="str">
        <f t="shared" si="64"/>
        <v>CIM Motor 775pro 45</v>
      </c>
      <c r="E903" s="132">
        <v>0</v>
      </c>
      <c r="F903" s="132">
        <v>0</v>
      </c>
      <c r="G903" s="132">
        <v>0</v>
      </c>
      <c r="H903" s="132">
        <v>0</v>
      </c>
      <c r="I903" s="132">
        <v>0</v>
      </c>
    </row>
    <row r="904" spans="1:9" ht="14.25" customHeight="1" x14ac:dyDescent="0.25">
      <c r="A904" s="132" t="s">
        <v>246</v>
      </c>
      <c r="B904" s="132" t="s">
        <v>255</v>
      </c>
      <c r="C904" s="132">
        <v>49</v>
      </c>
      <c r="D904" s="132" t="str">
        <f t="shared" si="64"/>
        <v>CIM Motor 775pro 49</v>
      </c>
      <c r="E904" s="132">
        <v>0</v>
      </c>
      <c r="F904" s="132">
        <v>0</v>
      </c>
      <c r="G904" s="132">
        <v>0</v>
      </c>
      <c r="H904" s="132">
        <v>0</v>
      </c>
      <c r="I904" s="132">
        <v>0</v>
      </c>
    </row>
    <row r="905" spans="1:9" ht="14.25" customHeight="1" x14ac:dyDescent="0.25">
      <c r="A905" s="132" t="s">
        <v>246</v>
      </c>
      <c r="B905" s="132" t="s">
        <v>255</v>
      </c>
      <c r="C905" s="132">
        <v>50</v>
      </c>
      <c r="D905" s="132" t="str">
        <f t="shared" si="64"/>
        <v>CIM Motor 775pro 50</v>
      </c>
      <c r="E905" s="132">
        <v>0</v>
      </c>
      <c r="F905" s="132">
        <v>0</v>
      </c>
      <c r="G905" s="132">
        <v>0</v>
      </c>
      <c r="H905" s="132">
        <v>0</v>
      </c>
      <c r="I905" s="132">
        <v>0</v>
      </c>
    </row>
    <row r="906" spans="1:9" ht="14.25" customHeight="1" x14ac:dyDescent="0.25">
      <c r="A906" s="132" t="s">
        <v>246</v>
      </c>
      <c r="B906" s="132" t="s">
        <v>255</v>
      </c>
      <c r="C906" s="132">
        <v>63</v>
      </c>
      <c r="D906" s="132" t="str">
        <f t="shared" si="64"/>
        <v>CIM Motor 775pro 63</v>
      </c>
      <c r="E906" s="132">
        <v>0</v>
      </c>
      <c r="F906" s="132">
        <v>0</v>
      </c>
      <c r="G906" s="132">
        <v>0</v>
      </c>
      <c r="H906" s="132">
        <v>0</v>
      </c>
      <c r="I906" s="132">
        <v>0</v>
      </c>
    </row>
    <row r="907" spans="1:9" ht="14.25" customHeight="1" x14ac:dyDescent="0.25">
      <c r="A907" s="132" t="s">
        <v>246</v>
      </c>
      <c r="B907" s="132" t="s">
        <v>255</v>
      </c>
      <c r="C907" s="132">
        <v>70</v>
      </c>
      <c r="D907" s="132" t="str">
        <f t="shared" si="64"/>
        <v>CIM Motor 775pro 70</v>
      </c>
      <c r="E907" s="132">
        <v>0</v>
      </c>
      <c r="F907" s="132">
        <v>0</v>
      </c>
      <c r="G907" s="132">
        <v>0</v>
      </c>
      <c r="H907" s="132">
        <v>0</v>
      </c>
      <c r="I907" s="132">
        <v>0</v>
      </c>
    </row>
    <row r="908" spans="1:9" ht="14.25" customHeight="1" x14ac:dyDescent="0.25">
      <c r="A908" s="132" t="s">
        <v>246</v>
      </c>
      <c r="B908" s="132" t="s">
        <v>255</v>
      </c>
      <c r="C908" s="132">
        <v>81</v>
      </c>
      <c r="D908" s="132" t="str">
        <f t="shared" si="64"/>
        <v>CIM Motor 775pro 81</v>
      </c>
      <c r="E908" s="132">
        <v>0</v>
      </c>
      <c r="F908" s="132">
        <v>0</v>
      </c>
      <c r="G908" s="132">
        <v>0</v>
      </c>
      <c r="H908" s="132">
        <v>0</v>
      </c>
      <c r="I908" s="132">
        <v>0</v>
      </c>
    </row>
    <row r="909" spans="1:9" ht="14.25" customHeight="1" x14ac:dyDescent="0.25">
      <c r="A909" s="132" t="s">
        <v>246</v>
      </c>
      <c r="B909" s="132" t="s">
        <v>255</v>
      </c>
      <c r="C909" s="132">
        <v>90</v>
      </c>
      <c r="D909" s="132" t="str">
        <f t="shared" si="64"/>
        <v>CIM Motor 775pro 90</v>
      </c>
      <c r="E909" s="132">
        <v>0</v>
      </c>
      <c r="F909" s="132">
        <v>0</v>
      </c>
      <c r="G909" s="132">
        <v>0</v>
      </c>
      <c r="H909" s="132">
        <v>0</v>
      </c>
      <c r="I909" s="132">
        <v>0</v>
      </c>
    </row>
    <row r="910" spans="1:9" ht="14.25" customHeight="1" x14ac:dyDescent="0.25">
      <c r="A910" s="132" t="s">
        <v>246</v>
      </c>
      <c r="B910" s="132" t="s">
        <v>255</v>
      </c>
      <c r="C910" s="132">
        <v>100</v>
      </c>
      <c r="D910" s="132" t="str">
        <f t="shared" si="64"/>
        <v>CIM Motor 775pro 100</v>
      </c>
      <c r="E910" s="132">
        <v>0</v>
      </c>
      <c r="F910" s="132">
        <v>0</v>
      </c>
      <c r="G910" s="132">
        <v>0</v>
      </c>
      <c r="H910" s="132">
        <v>0</v>
      </c>
      <c r="I910" s="132">
        <v>0</v>
      </c>
    </row>
    <row r="911" spans="1:9" ht="14.25" customHeight="1" x14ac:dyDescent="0.25">
      <c r="A911" s="132" t="s">
        <v>246</v>
      </c>
      <c r="B911" s="132" t="s">
        <v>7</v>
      </c>
      <c r="C911" s="132">
        <v>-3</v>
      </c>
      <c r="D911" s="132" t="str">
        <f t="shared" ref="D911:D916" si="65">A911&amp;" "&amp;B911&amp;" "&amp;C911</f>
        <v>CIM Motor Mini CIM -3</v>
      </c>
      <c r="E911" s="132">
        <v>1</v>
      </c>
      <c r="I911" s="132">
        <v>0</v>
      </c>
    </row>
    <row r="912" spans="1:9" ht="14.25" customHeight="1" x14ac:dyDescent="0.25">
      <c r="A912" s="132" t="s">
        <v>246</v>
      </c>
      <c r="B912" s="132" t="s">
        <v>7</v>
      </c>
      <c r="C912" s="132">
        <v>-4</v>
      </c>
      <c r="D912" s="132" t="str">
        <f t="shared" si="65"/>
        <v>CIM Motor Mini CIM -4</v>
      </c>
      <c r="E912" s="132">
        <v>1</v>
      </c>
      <c r="I912" s="132">
        <v>0</v>
      </c>
    </row>
    <row r="913" spans="1:9" ht="14.25" customHeight="1" x14ac:dyDescent="0.25">
      <c r="A913" s="132" t="s">
        <v>246</v>
      </c>
      <c r="B913" s="132" t="s">
        <v>7</v>
      </c>
      <c r="C913" s="132">
        <v>-5</v>
      </c>
      <c r="D913" s="132" t="str">
        <f t="shared" si="65"/>
        <v>CIM Motor Mini CIM -5</v>
      </c>
      <c r="E913" s="132">
        <v>1</v>
      </c>
      <c r="I913" s="132">
        <v>0</v>
      </c>
    </row>
    <row r="914" spans="1:9" ht="14.25" customHeight="1" x14ac:dyDescent="0.25">
      <c r="A914" s="132" t="s">
        <v>246</v>
      </c>
      <c r="B914" s="132" t="s">
        <v>7</v>
      </c>
      <c r="C914" s="132">
        <v>-7</v>
      </c>
      <c r="D914" s="132" t="str">
        <f t="shared" si="65"/>
        <v>CIM Motor Mini CIM -7</v>
      </c>
      <c r="E914" s="132">
        <v>1</v>
      </c>
      <c r="I914" s="132">
        <v>0</v>
      </c>
    </row>
    <row r="915" spans="1:9" ht="14.25" customHeight="1" x14ac:dyDescent="0.25">
      <c r="A915" s="132" t="s">
        <v>246</v>
      </c>
      <c r="B915" s="132" t="s">
        <v>7</v>
      </c>
      <c r="C915" s="132">
        <v>-9</v>
      </c>
      <c r="D915" s="132" t="str">
        <f t="shared" si="65"/>
        <v>CIM Motor Mini CIM -9</v>
      </c>
      <c r="E915" s="132">
        <v>1</v>
      </c>
      <c r="I915" s="132">
        <v>0</v>
      </c>
    </row>
    <row r="916" spans="1:9" ht="14.25" customHeight="1" x14ac:dyDescent="0.25">
      <c r="A916" s="132" t="s">
        <v>246</v>
      </c>
      <c r="B916" s="132" t="s">
        <v>7</v>
      </c>
      <c r="C916" s="132">
        <v>-10</v>
      </c>
      <c r="D916" s="132" t="str">
        <f t="shared" si="65"/>
        <v>CIM Motor Mini CIM -10</v>
      </c>
      <c r="E916" s="132">
        <v>1</v>
      </c>
      <c r="I916" s="132">
        <v>0</v>
      </c>
    </row>
    <row r="917" spans="1:9" ht="14.25" customHeight="1" x14ac:dyDescent="0.25">
      <c r="A917" s="132" t="s">
        <v>246</v>
      </c>
      <c r="B917" s="132" t="s">
        <v>7</v>
      </c>
      <c r="C917" s="132">
        <v>9</v>
      </c>
      <c r="D917" s="132" t="str">
        <f t="shared" ref="D917:D937" si="66">A917&amp;" "&amp;B917&amp;" "&amp;C917</f>
        <v>CIM Motor Mini CIM 9</v>
      </c>
      <c r="E917" s="132">
        <v>1</v>
      </c>
      <c r="I917" s="132">
        <v>0</v>
      </c>
    </row>
    <row r="918" spans="1:9" ht="14.25" customHeight="1" x14ac:dyDescent="0.25">
      <c r="A918" s="132" t="s">
        <v>246</v>
      </c>
      <c r="B918" s="132" t="s">
        <v>7</v>
      </c>
      <c r="C918" s="132">
        <v>12</v>
      </c>
      <c r="D918" s="132" t="str">
        <f t="shared" si="66"/>
        <v>CIM Motor Mini CIM 12</v>
      </c>
      <c r="E918" s="132">
        <v>1</v>
      </c>
      <c r="I918" s="132">
        <v>0</v>
      </c>
    </row>
    <row r="919" spans="1:9" ht="14.25" customHeight="1" x14ac:dyDescent="0.25">
      <c r="A919" s="132" t="s">
        <v>246</v>
      </c>
      <c r="B919" s="132" t="s">
        <v>7</v>
      </c>
      <c r="C919" s="132">
        <v>15</v>
      </c>
      <c r="D919" s="132" t="str">
        <f t="shared" si="66"/>
        <v>CIM Motor Mini CIM 15</v>
      </c>
      <c r="E919" s="132">
        <v>1</v>
      </c>
      <c r="I919" s="132">
        <v>0</v>
      </c>
    </row>
    <row r="920" spans="1:9" ht="14.25" customHeight="1" x14ac:dyDescent="0.25">
      <c r="A920" s="132" t="s">
        <v>246</v>
      </c>
      <c r="B920" s="132" t="s">
        <v>7</v>
      </c>
      <c r="C920" s="132">
        <v>16</v>
      </c>
      <c r="D920" s="132" t="str">
        <f t="shared" si="66"/>
        <v>CIM Motor Mini CIM 16</v>
      </c>
      <c r="E920" s="132">
        <v>1</v>
      </c>
      <c r="I920" s="132">
        <v>0</v>
      </c>
    </row>
    <row r="921" spans="1:9" ht="14.25" customHeight="1" x14ac:dyDescent="0.25">
      <c r="A921" s="132" t="s">
        <v>246</v>
      </c>
      <c r="B921" s="132" t="s">
        <v>7</v>
      </c>
      <c r="C921" s="132">
        <v>20</v>
      </c>
      <c r="D921" s="132" t="str">
        <f t="shared" si="66"/>
        <v>CIM Motor Mini CIM 20</v>
      </c>
      <c r="E921" s="132">
        <v>1</v>
      </c>
      <c r="I921" s="132">
        <v>0</v>
      </c>
    </row>
    <row r="922" spans="1:9" ht="14.25" customHeight="1" x14ac:dyDescent="0.25">
      <c r="A922" s="132" t="s">
        <v>246</v>
      </c>
      <c r="B922" s="132" t="s">
        <v>7</v>
      </c>
      <c r="C922" s="132">
        <v>21</v>
      </c>
      <c r="D922" s="132" t="str">
        <f t="shared" si="66"/>
        <v>CIM Motor Mini CIM 21</v>
      </c>
      <c r="E922" s="132">
        <v>0</v>
      </c>
      <c r="I922" s="132">
        <v>0</v>
      </c>
    </row>
    <row r="923" spans="1:9" ht="14.25" customHeight="1" x14ac:dyDescent="0.25">
      <c r="A923" s="132" t="s">
        <v>246</v>
      </c>
      <c r="B923" s="132" t="s">
        <v>7</v>
      </c>
      <c r="C923" s="132">
        <v>25</v>
      </c>
      <c r="D923" s="132" t="str">
        <f t="shared" si="66"/>
        <v>CIM Motor Mini CIM 25</v>
      </c>
      <c r="E923" s="132">
        <v>0</v>
      </c>
      <c r="I923" s="132">
        <v>0</v>
      </c>
    </row>
    <row r="924" spans="1:9" ht="14.25" customHeight="1" x14ac:dyDescent="0.25">
      <c r="A924" s="132" t="s">
        <v>246</v>
      </c>
      <c r="B924" s="132" t="s">
        <v>7</v>
      </c>
      <c r="C924" s="132">
        <v>27</v>
      </c>
      <c r="D924" s="132" t="str">
        <f t="shared" si="66"/>
        <v>CIM Motor Mini CIM 27</v>
      </c>
      <c r="E924" s="132">
        <v>0</v>
      </c>
      <c r="I924" s="132">
        <v>0</v>
      </c>
    </row>
    <row r="925" spans="1:9" ht="14.25" customHeight="1" x14ac:dyDescent="0.25">
      <c r="A925" s="132" t="s">
        <v>246</v>
      </c>
      <c r="B925" s="132" t="s">
        <v>7</v>
      </c>
      <c r="C925" s="132">
        <v>28</v>
      </c>
      <c r="D925" s="132" t="str">
        <f t="shared" si="66"/>
        <v>CIM Motor Mini CIM 28</v>
      </c>
      <c r="E925" s="132">
        <v>0</v>
      </c>
      <c r="I925" s="132">
        <v>0</v>
      </c>
    </row>
    <row r="926" spans="1:9" ht="14.25" customHeight="1" x14ac:dyDescent="0.25">
      <c r="A926" s="132" t="s">
        <v>246</v>
      </c>
      <c r="B926" s="132" t="s">
        <v>7</v>
      </c>
      <c r="C926" s="132">
        <v>30</v>
      </c>
      <c r="D926" s="132" t="str">
        <f t="shared" si="66"/>
        <v>CIM Motor Mini CIM 30</v>
      </c>
      <c r="E926" s="132">
        <v>0</v>
      </c>
      <c r="I926" s="132">
        <v>0</v>
      </c>
    </row>
    <row r="927" spans="1:9" ht="14.25" customHeight="1" x14ac:dyDescent="0.25">
      <c r="A927" s="132" t="s">
        <v>246</v>
      </c>
      <c r="B927" s="132" t="s">
        <v>7</v>
      </c>
      <c r="C927" s="132">
        <v>35</v>
      </c>
      <c r="D927" s="132" t="str">
        <f t="shared" si="66"/>
        <v>CIM Motor Mini CIM 35</v>
      </c>
      <c r="E927" s="132">
        <v>0</v>
      </c>
      <c r="I927" s="132">
        <v>0</v>
      </c>
    </row>
    <row r="928" spans="1:9" ht="14.25" customHeight="1" x14ac:dyDescent="0.25">
      <c r="A928" s="132" t="s">
        <v>246</v>
      </c>
      <c r="B928" s="132" t="s">
        <v>7</v>
      </c>
      <c r="C928" s="132">
        <v>36</v>
      </c>
      <c r="D928" s="132" t="str">
        <f t="shared" si="66"/>
        <v>CIM Motor Mini CIM 36</v>
      </c>
      <c r="E928" s="132">
        <v>0</v>
      </c>
      <c r="I928" s="132">
        <v>0</v>
      </c>
    </row>
    <row r="929" spans="1:9" ht="14.25" customHeight="1" x14ac:dyDescent="0.25">
      <c r="A929" s="132" t="s">
        <v>246</v>
      </c>
      <c r="B929" s="132" t="s">
        <v>7</v>
      </c>
      <c r="C929" s="132">
        <v>40</v>
      </c>
      <c r="D929" s="132" t="str">
        <f t="shared" si="66"/>
        <v>CIM Motor Mini CIM 40</v>
      </c>
      <c r="E929" s="132">
        <v>0</v>
      </c>
      <c r="I929" s="132">
        <v>0</v>
      </c>
    </row>
    <row r="930" spans="1:9" ht="14.25" customHeight="1" x14ac:dyDescent="0.25">
      <c r="A930" s="132" t="s">
        <v>246</v>
      </c>
      <c r="B930" s="132" t="s">
        <v>7</v>
      </c>
      <c r="C930" s="132">
        <v>45</v>
      </c>
      <c r="D930" s="132" t="str">
        <f t="shared" si="66"/>
        <v>CIM Motor Mini CIM 45</v>
      </c>
      <c r="E930" s="132">
        <v>0</v>
      </c>
      <c r="I930" s="132">
        <v>0</v>
      </c>
    </row>
    <row r="931" spans="1:9" ht="14.25" customHeight="1" x14ac:dyDescent="0.25">
      <c r="A931" s="132" t="s">
        <v>246</v>
      </c>
      <c r="B931" s="132" t="s">
        <v>7</v>
      </c>
      <c r="C931" s="132">
        <v>49</v>
      </c>
      <c r="D931" s="132" t="str">
        <f t="shared" si="66"/>
        <v>CIM Motor Mini CIM 49</v>
      </c>
      <c r="E931" s="132">
        <v>0</v>
      </c>
      <c r="I931" s="132">
        <v>0</v>
      </c>
    </row>
    <row r="932" spans="1:9" ht="14.25" customHeight="1" x14ac:dyDescent="0.25">
      <c r="A932" s="132" t="s">
        <v>246</v>
      </c>
      <c r="B932" s="132" t="s">
        <v>7</v>
      </c>
      <c r="C932" s="132">
        <v>50</v>
      </c>
      <c r="D932" s="132" t="str">
        <f t="shared" si="66"/>
        <v>CIM Motor Mini CIM 50</v>
      </c>
      <c r="E932" s="132">
        <v>0</v>
      </c>
      <c r="I932" s="132">
        <v>0</v>
      </c>
    </row>
    <row r="933" spans="1:9" ht="14.25" customHeight="1" x14ac:dyDescent="0.25">
      <c r="A933" s="132" t="s">
        <v>246</v>
      </c>
      <c r="B933" s="132" t="s">
        <v>7</v>
      </c>
      <c r="C933" s="132">
        <v>63</v>
      </c>
      <c r="D933" s="132" t="str">
        <f t="shared" si="66"/>
        <v>CIM Motor Mini CIM 63</v>
      </c>
      <c r="E933" s="132">
        <v>0</v>
      </c>
      <c r="I933" s="132">
        <v>0</v>
      </c>
    </row>
    <row r="934" spans="1:9" ht="14.25" customHeight="1" x14ac:dyDescent="0.25">
      <c r="A934" s="132" t="s">
        <v>246</v>
      </c>
      <c r="B934" s="132" t="s">
        <v>7</v>
      </c>
      <c r="C934" s="132">
        <v>70</v>
      </c>
      <c r="D934" s="132" t="str">
        <f t="shared" si="66"/>
        <v>CIM Motor Mini CIM 70</v>
      </c>
      <c r="E934" s="132">
        <v>0</v>
      </c>
      <c r="I934" s="132">
        <v>0</v>
      </c>
    </row>
    <row r="935" spans="1:9" ht="14.25" customHeight="1" x14ac:dyDescent="0.25">
      <c r="A935" s="132" t="s">
        <v>246</v>
      </c>
      <c r="B935" s="132" t="s">
        <v>7</v>
      </c>
      <c r="C935" s="132">
        <v>81</v>
      </c>
      <c r="D935" s="132" t="str">
        <f t="shared" si="66"/>
        <v>CIM Motor Mini CIM 81</v>
      </c>
      <c r="E935" s="132">
        <v>0</v>
      </c>
      <c r="I935" s="132">
        <v>0</v>
      </c>
    </row>
    <row r="936" spans="1:9" ht="14.25" customHeight="1" x14ac:dyDescent="0.25">
      <c r="A936" s="132" t="s">
        <v>246</v>
      </c>
      <c r="B936" s="132" t="s">
        <v>7</v>
      </c>
      <c r="C936" s="132">
        <v>90</v>
      </c>
      <c r="D936" s="132" t="str">
        <f t="shared" si="66"/>
        <v>CIM Motor Mini CIM 90</v>
      </c>
      <c r="E936" s="132">
        <v>0</v>
      </c>
      <c r="I936" s="132">
        <v>0</v>
      </c>
    </row>
    <row r="937" spans="1:9" ht="14.25" customHeight="1" x14ac:dyDescent="0.25">
      <c r="A937" s="132" t="s">
        <v>246</v>
      </c>
      <c r="B937" s="132" t="s">
        <v>7</v>
      </c>
      <c r="C937" s="132">
        <v>100</v>
      </c>
      <c r="D937" s="132" t="str">
        <f t="shared" si="66"/>
        <v>CIM Motor Mini CIM 100</v>
      </c>
      <c r="E937" s="132">
        <v>0</v>
      </c>
      <c r="I937" s="132">
        <v>0</v>
      </c>
    </row>
    <row r="938" spans="1:9" ht="14.25" customHeight="1" x14ac:dyDescent="0.25">
      <c r="A938" s="132" t="s">
        <v>246</v>
      </c>
      <c r="B938" s="132" t="s">
        <v>6</v>
      </c>
      <c r="C938" s="132">
        <v>-3</v>
      </c>
      <c r="D938" s="132" t="str">
        <f t="shared" ref="D938:D943" si="67">A938&amp;" "&amp;B938&amp;" "&amp;C938</f>
        <v>CIM Motor CIM -3</v>
      </c>
      <c r="E938" s="132">
        <v>1</v>
      </c>
      <c r="I938" s="132">
        <v>0</v>
      </c>
    </row>
    <row r="939" spans="1:9" ht="14.25" customHeight="1" x14ac:dyDescent="0.25">
      <c r="A939" s="132" t="s">
        <v>246</v>
      </c>
      <c r="B939" s="132" t="s">
        <v>6</v>
      </c>
      <c r="C939" s="132">
        <v>-4</v>
      </c>
      <c r="D939" s="132" t="str">
        <f t="shared" si="67"/>
        <v>CIM Motor CIM -4</v>
      </c>
      <c r="E939" s="132">
        <v>1</v>
      </c>
      <c r="I939" s="132">
        <v>0</v>
      </c>
    </row>
    <row r="940" spans="1:9" ht="14.25" customHeight="1" x14ac:dyDescent="0.25">
      <c r="A940" s="132" t="s">
        <v>246</v>
      </c>
      <c r="B940" s="132" t="s">
        <v>6</v>
      </c>
      <c r="C940" s="132">
        <v>-5</v>
      </c>
      <c r="D940" s="132" t="str">
        <f t="shared" si="67"/>
        <v>CIM Motor CIM -5</v>
      </c>
      <c r="E940" s="132">
        <v>1</v>
      </c>
      <c r="I940" s="132">
        <v>0</v>
      </c>
    </row>
    <row r="941" spans="1:9" ht="14.25" customHeight="1" x14ac:dyDescent="0.25">
      <c r="A941" s="132" t="s">
        <v>246</v>
      </c>
      <c r="B941" s="132" t="s">
        <v>6</v>
      </c>
      <c r="C941" s="132">
        <v>-7</v>
      </c>
      <c r="D941" s="132" t="str">
        <f t="shared" si="67"/>
        <v>CIM Motor CIM -7</v>
      </c>
      <c r="E941" s="132">
        <v>1</v>
      </c>
      <c r="I941" s="132">
        <v>0</v>
      </c>
    </row>
    <row r="942" spans="1:9" ht="14.25" customHeight="1" x14ac:dyDescent="0.25">
      <c r="A942" s="132" t="s">
        <v>246</v>
      </c>
      <c r="B942" s="132" t="s">
        <v>6</v>
      </c>
      <c r="C942" s="132">
        <v>-9</v>
      </c>
      <c r="D942" s="132" t="str">
        <f t="shared" si="67"/>
        <v>CIM Motor CIM -9</v>
      </c>
      <c r="E942" s="132">
        <v>1</v>
      </c>
      <c r="I942" s="132">
        <v>0</v>
      </c>
    </row>
    <row r="943" spans="1:9" ht="14.25" customHeight="1" x14ac:dyDescent="0.25">
      <c r="A943" s="132" t="s">
        <v>246</v>
      </c>
      <c r="B943" s="132" t="s">
        <v>6</v>
      </c>
      <c r="C943" s="132">
        <v>-10</v>
      </c>
      <c r="D943" s="132" t="str">
        <f t="shared" si="67"/>
        <v>CIM Motor CIM -10</v>
      </c>
      <c r="E943" s="132">
        <v>1</v>
      </c>
      <c r="I943" s="132">
        <v>0</v>
      </c>
    </row>
    <row r="944" spans="1:9" ht="14.25" customHeight="1" x14ac:dyDescent="0.25">
      <c r="A944" s="132" t="s">
        <v>246</v>
      </c>
      <c r="B944" s="132" t="s">
        <v>6</v>
      </c>
      <c r="C944" s="132">
        <v>9</v>
      </c>
      <c r="D944" s="132" t="str">
        <f t="shared" ref="D944:D964" si="68">A944&amp;" "&amp;B944&amp;" "&amp;C944</f>
        <v>CIM Motor CIM 9</v>
      </c>
      <c r="E944" s="132">
        <v>1</v>
      </c>
      <c r="I944" s="132">
        <v>0</v>
      </c>
    </row>
    <row r="945" spans="1:9" ht="14.25" customHeight="1" x14ac:dyDescent="0.25">
      <c r="A945" s="132" t="s">
        <v>246</v>
      </c>
      <c r="B945" s="132" t="s">
        <v>6</v>
      </c>
      <c r="C945" s="132">
        <v>12</v>
      </c>
      <c r="D945" s="132" t="str">
        <f t="shared" si="68"/>
        <v>CIM Motor CIM 12</v>
      </c>
      <c r="E945" s="132">
        <v>0</v>
      </c>
      <c r="I945" s="132">
        <v>0</v>
      </c>
    </row>
    <row r="946" spans="1:9" ht="14.25" customHeight="1" x14ac:dyDescent="0.25">
      <c r="A946" s="132" t="s">
        <v>246</v>
      </c>
      <c r="B946" s="132" t="s">
        <v>6</v>
      </c>
      <c r="C946" s="132">
        <v>15</v>
      </c>
      <c r="D946" s="132" t="str">
        <f t="shared" si="68"/>
        <v>CIM Motor CIM 15</v>
      </c>
      <c r="E946" s="132">
        <v>0</v>
      </c>
      <c r="I946" s="132">
        <v>0</v>
      </c>
    </row>
    <row r="947" spans="1:9" ht="14.25" customHeight="1" x14ac:dyDescent="0.25">
      <c r="A947" s="132" t="s">
        <v>246</v>
      </c>
      <c r="B947" s="132" t="s">
        <v>6</v>
      </c>
      <c r="C947" s="132">
        <v>16</v>
      </c>
      <c r="D947" s="132" t="str">
        <f t="shared" si="68"/>
        <v>CIM Motor CIM 16</v>
      </c>
      <c r="E947" s="132">
        <v>0</v>
      </c>
      <c r="I947" s="132">
        <v>0</v>
      </c>
    </row>
    <row r="948" spans="1:9" ht="14.25" customHeight="1" x14ac:dyDescent="0.25">
      <c r="A948" s="132" t="s">
        <v>246</v>
      </c>
      <c r="B948" s="132" t="s">
        <v>6</v>
      </c>
      <c r="C948" s="132">
        <v>20</v>
      </c>
      <c r="D948" s="132" t="str">
        <f t="shared" si="68"/>
        <v>CIM Motor CIM 20</v>
      </c>
      <c r="E948" s="132">
        <v>0</v>
      </c>
      <c r="I948" s="132">
        <v>0</v>
      </c>
    </row>
    <row r="949" spans="1:9" ht="14.25" customHeight="1" x14ac:dyDescent="0.25">
      <c r="A949" s="132" t="s">
        <v>246</v>
      </c>
      <c r="B949" s="132" t="s">
        <v>6</v>
      </c>
      <c r="C949" s="132">
        <v>21</v>
      </c>
      <c r="D949" s="132" t="str">
        <f t="shared" si="68"/>
        <v>CIM Motor CIM 21</v>
      </c>
      <c r="E949" s="132">
        <v>0</v>
      </c>
      <c r="I949" s="132">
        <v>0</v>
      </c>
    </row>
    <row r="950" spans="1:9" ht="14.25" customHeight="1" x14ac:dyDescent="0.25">
      <c r="A950" s="132" t="s">
        <v>246</v>
      </c>
      <c r="B950" s="132" t="s">
        <v>6</v>
      </c>
      <c r="C950" s="132">
        <v>25</v>
      </c>
      <c r="D950" s="132" t="str">
        <f t="shared" si="68"/>
        <v>CIM Motor CIM 25</v>
      </c>
      <c r="E950" s="132">
        <v>0</v>
      </c>
      <c r="I950" s="132">
        <v>0</v>
      </c>
    </row>
    <row r="951" spans="1:9" ht="14.25" customHeight="1" x14ac:dyDescent="0.25">
      <c r="A951" s="132" t="s">
        <v>246</v>
      </c>
      <c r="B951" s="132" t="s">
        <v>6</v>
      </c>
      <c r="C951" s="132">
        <v>27</v>
      </c>
      <c r="D951" s="132" t="str">
        <f t="shared" si="68"/>
        <v>CIM Motor CIM 27</v>
      </c>
      <c r="E951" s="132">
        <v>0</v>
      </c>
      <c r="I951" s="132">
        <v>0</v>
      </c>
    </row>
    <row r="952" spans="1:9" ht="14.25" customHeight="1" x14ac:dyDescent="0.25">
      <c r="A952" s="132" t="s">
        <v>246</v>
      </c>
      <c r="B952" s="132" t="s">
        <v>6</v>
      </c>
      <c r="C952" s="132">
        <v>28</v>
      </c>
      <c r="D952" s="132" t="str">
        <f t="shared" si="68"/>
        <v>CIM Motor CIM 28</v>
      </c>
      <c r="E952" s="132">
        <v>0</v>
      </c>
      <c r="I952" s="132">
        <v>0</v>
      </c>
    </row>
    <row r="953" spans="1:9" ht="14.25" customHeight="1" x14ac:dyDescent="0.25">
      <c r="A953" s="132" t="s">
        <v>246</v>
      </c>
      <c r="B953" s="132" t="s">
        <v>6</v>
      </c>
      <c r="C953" s="132">
        <v>30</v>
      </c>
      <c r="D953" s="132" t="str">
        <f t="shared" si="68"/>
        <v>CIM Motor CIM 30</v>
      </c>
      <c r="E953" s="132">
        <v>0</v>
      </c>
      <c r="I953" s="132">
        <v>0</v>
      </c>
    </row>
    <row r="954" spans="1:9" ht="14.25" customHeight="1" x14ac:dyDescent="0.25">
      <c r="A954" s="132" t="s">
        <v>246</v>
      </c>
      <c r="B954" s="132" t="s">
        <v>6</v>
      </c>
      <c r="C954" s="132">
        <v>35</v>
      </c>
      <c r="D954" s="132" t="str">
        <f t="shared" si="68"/>
        <v>CIM Motor CIM 35</v>
      </c>
      <c r="E954" s="132">
        <v>0</v>
      </c>
      <c r="I954" s="132">
        <v>0</v>
      </c>
    </row>
    <row r="955" spans="1:9" ht="14.25" customHeight="1" x14ac:dyDescent="0.25">
      <c r="A955" s="132" t="s">
        <v>246</v>
      </c>
      <c r="B955" s="132" t="s">
        <v>6</v>
      </c>
      <c r="C955" s="132">
        <v>36</v>
      </c>
      <c r="D955" s="132" t="str">
        <f t="shared" si="68"/>
        <v>CIM Motor CIM 36</v>
      </c>
      <c r="E955" s="132">
        <v>0</v>
      </c>
      <c r="I955" s="132">
        <v>0</v>
      </c>
    </row>
    <row r="956" spans="1:9" ht="14.25" customHeight="1" x14ac:dyDescent="0.25">
      <c r="A956" s="132" t="s">
        <v>246</v>
      </c>
      <c r="B956" s="132" t="s">
        <v>6</v>
      </c>
      <c r="C956" s="132">
        <v>40</v>
      </c>
      <c r="D956" s="132" t="str">
        <f t="shared" si="68"/>
        <v>CIM Motor CIM 40</v>
      </c>
      <c r="E956" s="132">
        <v>0</v>
      </c>
      <c r="I956" s="132">
        <v>0</v>
      </c>
    </row>
    <row r="957" spans="1:9" ht="14.25" customHeight="1" x14ac:dyDescent="0.25">
      <c r="A957" s="132" t="s">
        <v>246</v>
      </c>
      <c r="B957" s="132" t="s">
        <v>6</v>
      </c>
      <c r="C957" s="132">
        <v>45</v>
      </c>
      <c r="D957" s="132" t="str">
        <f t="shared" si="68"/>
        <v>CIM Motor CIM 45</v>
      </c>
      <c r="E957" s="132">
        <v>0</v>
      </c>
      <c r="I957" s="132">
        <v>0</v>
      </c>
    </row>
    <row r="958" spans="1:9" ht="14.25" customHeight="1" x14ac:dyDescent="0.25">
      <c r="A958" s="132" t="s">
        <v>246</v>
      </c>
      <c r="B958" s="132" t="s">
        <v>6</v>
      </c>
      <c r="C958" s="132">
        <v>49</v>
      </c>
      <c r="D958" s="132" t="str">
        <f t="shared" si="68"/>
        <v>CIM Motor CIM 49</v>
      </c>
      <c r="E958" s="132">
        <v>0</v>
      </c>
      <c r="I958" s="132">
        <v>0</v>
      </c>
    </row>
    <row r="959" spans="1:9" ht="14.25" customHeight="1" x14ac:dyDescent="0.25">
      <c r="A959" s="132" t="s">
        <v>246</v>
      </c>
      <c r="B959" s="132" t="s">
        <v>6</v>
      </c>
      <c r="C959" s="132">
        <v>50</v>
      </c>
      <c r="D959" s="132" t="str">
        <f t="shared" si="68"/>
        <v>CIM Motor CIM 50</v>
      </c>
      <c r="E959" s="132">
        <v>0</v>
      </c>
      <c r="I959" s="132">
        <v>0</v>
      </c>
    </row>
    <row r="960" spans="1:9" ht="14.25" customHeight="1" x14ac:dyDescent="0.25">
      <c r="A960" s="132" t="s">
        <v>246</v>
      </c>
      <c r="B960" s="132" t="s">
        <v>6</v>
      </c>
      <c r="C960" s="132">
        <v>63</v>
      </c>
      <c r="D960" s="132" t="str">
        <f t="shared" si="68"/>
        <v>CIM Motor CIM 63</v>
      </c>
      <c r="E960" s="132">
        <v>0</v>
      </c>
      <c r="I960" s="132">
        <v>0</v>
      </c>
    </row>
    <row r="961" spans="1:9" ht="14.25" customHeight="1" x14ac:dyDescent="0.25">
      <c r="A961" s="132" t="s">
        <v>246</v>
      </c>
      <c r="B961" s="132" t="s">
        <v>6</v>
      </c>
      <c r="C961" s="132">
        <v>70</v>
      </c>
      <c r="D961" s="132" t="str">
        <f t="shared" si="68"/>
        <v>CIM Motor CIM 70</v>
      </c>
      <c r="E961" s="132">
        <v>0</v>
      </c>
      <c r="I961" s="132">
        <v>0</v>
      </c>
    </row>
    <row r="962" spans="1:9" ht="14.25" customHeight="1" x14ac:dyDescent="0.25">
      <c r="A962" s="132" t="s">
        <v>246</v>
      </c>
      <c r="B962" s="132" t="s">
        <v>6</v>
      </c>
      <c r="C962" s="132">
        <v>81</v>
      </c>
      <c r="D962" s="132" t="str">
        <f t="shared" si="68"/>
        <v>CIM Motor CIM 81</v>
      </c>
      <c r="E962" s="132">
        <v>0</v>
      </c>
      <c r="I962" s="132">
        <v>0</v>
      </c>
    </row>
    <row r="963" spans="1:9" ht="14.25" customHeight="1" x14ac:dyDescent="0.25">
      <c r="A963" s="132" t="s">
        <v>246</v>
      </c>
      <c r="B963" s="132" t="s">
        <v>6</v>
      </c>
      <c r="C963" s="132">
        <v>90</v>
      </c>
      <c r="D963" s="132" t="str">
        <f t="shared" si="68"/>
        <v>CIM Motor CIM 90</v>
      </c>
      <c r="E963" s="132">
        <v>0</v>
      </c>
      <c r="I963" s="132">
        <v>0</v>
      </c>
    </row>
    <row r="964" spans="1:9" ht="14.25" customHeight="1" x14ac:dyDescent="0.25">
      <c r="A964" s="132" t="s">
        <v>246</v>
      </c>
      <c r="B964" s="132" t="s">
        <v>6</v>
      </c>
      <c r="C964" s="132">
        <v>100</v>
      </c>
      <c r="D964" s="132" t="str">
        <f t="shared" si="68"/>
        <v>CIM Motor CIM 100</v>
      </c>
      <c r="E964" s="132">
        <v>0</v>
      </c>
      <c r="I964" s="132">
        <v>0</v>
      </c>
    </row>
    <row r="965" spans="1:9" ht="14.25" customHeight="1" x14ac:dyDescent="0.25">
      <c r="A965" s="132" t="s">
        <v>246</v>
      </c>
      <c r="B965" s="132" t="s">
        <v>9</v>
      </c>
      <c r="C965" s="132">
        <v>-3</v>
      </c>
      <c r="D965" s="132" t="str">
        <f t="shared" ref="D965:D970" si="69">A965&amp;" "&amp;B965&amp;" "&amp;C965</f>
        <v>CIM Motor NEO -3</v>
      </c>
      <c r="E965" s="132">
        <v>1</v>
      </c>
      <c r="I965" s="132">
        <v>0</v>
      </c>
    </row>
    <row r="966" spans="1:9" ht="14.25" customHeight="1" x14ac:dyDescent="0.25">
      <c r="A966" s="132" t="s">
        <v>246</v>
      </c>
      <c r="B966" s="132" t="s">
        <v>9</v>
      </c>
      <c r="C966" s="132">
        <v>-4</v>
      </c>
      <c r="D966" s="132" t="str">
        <f t="shared" si="69"/>
        <v>CIM Motor NEO -4</v>
      </c>
      <c r="E966" s="132">
        <v>1</v>
      </c>
      <c r="I966" s="132">
        <v>0</v>
      </c>
    </row>
    <row r="967" spans="1:9" ht="14.25" customHeight="1" x14ac:dyDescent="0.25">
      <c r="A967" s="132" t="s">
        <v>246</v>
      </c>
      <c r="B967" s="132" t="s">
        <v>9</v>
      </c>
      <c r="C967" s="132">
        <v>-5</v>
      </c>
      <c r="D967" s="132" t="str">
        <f t="shared" si="69"/>
        <v>CIM Motor NEO -5</v>
      </c>
      <c r="E967" s="132">
        <v>1</v>
      </c>
      <c r="I967" s="132">
        <v>0</v>
      </c>
    </row>
    <row r="968" spans="1:9" ht="14.25" customHeight="1" x14ac:dyDescent="0.25">
      <c r="A968" s="132" t="s">
        <v>246</v>
      </c>
      <c r="B968" s="132" t="s">
        <v>9</v>
      </c>
      <c r="C968" s="132">
        <v>-7</v>
      </c>
      <c r="D968" s="132" t="str">
        <f t="shared" si="69"/>
        <v>CIM Motor NEO -7</v>
      </c>
      <c r="E968" s="132">
        <v>1</v>
      </c>
      <c r="I968" s="132">
        <v>0</v>
      </c>
    </row>
    <row r="969" spans="1:9" ht="14.25" customHeight="1" x14ac:dyDescent="0.25">
      <c r="A969" s="132" t="s">
        <v>246</v>
      </c>
      <c r="B969" s="132" t="s">
        <v>9</v>
      </c>
      <c r="C969" s="132">
        <v>-9</v>
      </c>
      <c r="D969" s="132" t="str">
        <f t="shared" si="69"/>
        <v>CIM Motor NEO -9</v>
      </c>
      <c r="E969" s="132">
        <v>1</v>
      </c>
      <c r="I969" s="132">
        <v>0</v>
      </c>
    </row>
    <row r="970" spans="1:9" ht="14.25" customHeight="1" x14ac:dyDescent="0.25">
      <c r="A970" s="132" t="s">
        <v>246</v>
      </c>
      <c r="B970" s="132" t="s">
        <v>9</v>
      </c>
      <c r="C970" s="132">
        <v>-10</v>
      </c>
      <c r="D970" s="132" t="str">
        <f t="shared" si="69"/>
        <v>CIM Motor NEO -10</v>
      </c>
      <c r="E970" s="132">
        <v>1</v>
      </c>
      <c r="I970" s="132">
        <v>0</v>
      </c>
    </row>
    <row r="971" spans="1:9" ht="14.25" customHeight="1" x14ac:dyDescent="0.25">
      <c r="A971" s="132" t="s">
        <v>246</v>
      </c>
      <c r="B971" s="132" t="s">
        <v>9</v>
      </c>
      <c r="C971" s="132">
        <v>9</v>
      </c>
      <c r="D971" s="132" t="str">
        <f t="shared" ref="D971:D991" si="70">A971&amp;" "&amp;B971&amp;" "&amp;C971</f>
        <v>CIM Motor NEO 9</v>
      </c>
      <c r="E971" s="132">
        <v>0</v>
      </c>
      <c r="I971" s="132">
        <v>0</v>
      </c>
    </row>
    <row r="972" spans="1:9" ht="14.25" customHeight="1" x14ac:dyDescent="0.25">
      <c r="A972" s="132" t="s">
        <v>246</v>
      </c>
      <c r="B972" s="132" t="s">
        <v>9</v>
      </c>
      <c r="C972" s="132">
        <v>12</v>
      </c>
      <c r="D972" s="132" t="str">
        <f t="shared" si="70"/>
        <v>CIM Motor NEO 12</v>
      </c>
      <c r="E972" s="132">
        <v>0</v>
      </c>
      <c r="I972" s="132">
        <v>0</v>
      </c>
    </row>
    <row r="973" spans="1:9" ht="14.25" customHeight="1" x14ac:dyDescent="0.25">
      <c r="A973" s="132" t="s">
        <v>246</v>
      </c>
      <c r="B973" s="132" t="s">
        <v>9</v>
      </c>
      <c r="C973" s="132">
        <v>15</v>
      </c>
      <c r="D973" s="132" t="str">
        <f t="shared" si="70"/>
        <v>CIM Motor NEO 15</v>
      </c>
      <c r="E973" s="132">
        <v>0</v>
      </c>
      <c r="I973" s="132">
        <v>0</v>
      </c>
    </row>
    <row r="974" spans="1:9" ht="14.25" customHeight="1" x14ac:dyDescent="0.25">
      <c r="A974" s="132" t="s">
        <v>246</v>
      </c>
      <c r="B974" s="132" t="s">
        <v>9</v>
      </c>
      <c r="C974" s="132">
        <v>16</v>
      </c>
      <c r="D974" s="132" t="str">
        <f t="shared" si="70"/>
        <v>CIM Motor NEO 16</v>
      </c>
      <c r="E974" s="132">
        <v>0</v>
      </c>
      <c r="I974" s="132">
        <v>0</v>
      </c>
    </row>
    <row r="975" spans="1:9" ht="14.25" customHeight="1" x14ac:dyDescent="0.25">
      <c r="A975" s="132" t="s">
        <v>246</v>
      </c>
      <c r="B975" s="132" t="s">
        <v>9</v>
      </c>
      <c r="C975" s="132">
        <v>20</v>
      </c>
      <c r="D975" s="132" t="str">
        <f t="shared" si="70"/>
        <v>CIM Motor NEO 20</v>
      </c>
      <c r="E975" s="132">
        <v>0</v>
      </c>
      <c r="I975" s="132">
        <v>0</v>
      </c>
    </row>
    <row r="976" spans="1:9" ht="14.25" customHeight="1" x14ac:dyDescent="0.25">
      <c r="A976" s="132" t="s">
        <v>246</v>
      </c>
      <c r="B976" s="132" t="s">
        <v>9</v>
      </c>
      <c r="C976" s="132">
        <v>21</v>
      </c>
      <c r="D976" s="132" t="str">
        <f t="shared" si="70"/>
        <v>CIM Motor NEO 21</v>
      </c>
      <c r="E976" s="132">
        <v>0</v>
      </c>
      <c r="I976" s="132">
        <v>0</v>
      </c>
    </row>
    <row r="977" spans="1:9" ht="14.25" customHeight="1" x14ac:dyDescent="0.25">
      <c r="A977" s="132" t="s">
        <v>246</v>
      </c>
      <c r="B977" s="132" t="s">
        <v>9</v>
      </c>
      <c r="C977" s="132">
        <v>25</v>
      </c>
      <c r="D977" s="132" t="str">
        <f t="shared" si="70"/>
        <v>CIM Motor NEO 25</v>
      </c>
      <c r="E977" s="132">
        <v>0</v>
      </c>
      <c r="I977" s="132">
        <v>0</v>
      </c>
    </row>
    <row r="978" spans="1:9" ht="14.25" customHeight="1" x14ac:dyDescent="0.25">
      <c r="A978" s="132" t="s">
        <v>246</v>
      </c>
      <c r="B978" s="132" t="s">
        <v>9</v>
      </c>
      <c r="C978" s="132">
        <v>27</v>
      </c>
      <c r="D978" s="132" t="str">
        <f t="shared" si="70"/>
        <v>CIM Motor NEO 27</v>
      </c>
      <c r="E978" s="132">
        <v>0</v>
      </c>
      <c r="I978" s="132">
        <v>0</v>
      </c>
    </row>
    <row r="979" spans="1:9" ht="14.25" customHeight="1" x14ac:dyDescent="0.25">
      <c r="A979" s="132" t="s">
        <v>246</v>
      </c>
      <c r="B979" s="132" t="s">
        <v>9</v>
      </c>
      <c r="C979" s="132">
        <v>28</v>
      </c>
      <c r="D979" s="132" t="str">
        <f t="shared" si="70"/>
        <v>CIM Motor NEO 28</v>
      </c>
      <c r="E979" s="132">
        <v>0</v>
      </c>
      <c r="I979" s="132">
        <v>0</v>
      </c>
    </row>
    <row r="980" spans="1:9" ht="14.25" customHeight="1" x14ac:dyDescent="0.25">
      <c r="A980" s="132" t="s">
        <v>246</v>
      </c>
      <c r="B980" s="132" t="s">
        <v>9</v>
      </c>
      <c r="C980" s="132">
        <v>30</v>
      </c>
      <c r="D980" s="132" t="str">
        <f t="shared" si="70"/>
        <v>CIM Motor NEO 30</v>
      </c>
      <c r="E980" s="132">
        <v>0</v>
      </c>
      <c r="I980" s="132">
        <v>0</v>
      </c>
    </row>
    <row r="981" spans="1:9" ht="14.25" customHeight="1" x14ac:dyDescent="0.25">
      <c r="A981" s="132" t="s">
        <v>246</v>
      </c>
      <c r="B981" s="132" t="s">
        <v>9</v>
      </c>
      <c r="C981" s="132">
        <v>35</v>
      </c>
      <c r="D981" s="132" t="str">
        <f t="shared" si="70"/>
        <v>CIM Motor NEO 35</v>
      </c>
      <c r="E981" s="132">
        <v>0</v>
      </c>
      <c r="I981" s="132">
        <v>0</v>
      </c>
    </row>
    <row r="982" spans="1:9" ht="14.25" customHeight="1" x14ac:dyDescent="0.25">
      <c r="A982" s="132" t="s">
        <v>246</v>
      </c>
      <c r="B982" s="132" t="s">
        <v>9</v>
      </c>
      <c r="C982" s="132">
        <v>36</v>
      </c>
      <c r="D982" s="132" t="str">
        <f t="shared" si="70"/>
        <v>CIM Motor NEO 36</v>
      </c>
      <c r="E982" s="132">
        <v>0</v>
      </c>
      <c r="I982" s="132">
        <v>0</v>
      </c>
    </row>
    <row r="983" spans="1:9" ht="14.25" customHeight="1" x14ac:dyDescent="0.25">
      <c r="A983" s="132" t="s">
        <v>246</v>
      </c>
      <c r="B983" s="132" t="s">
        <v>9</v>
      </c>
      <c r="C983" s="132">
        <v>40</v>
      </c>
      <c r="D983" s="132" t="str">
        <f t="shared" si="70"/>
        <v>CIM Motor NEO 40</v>
      </c>
      <c r="E983" s="132">
        <v>0</v>
      </c>
      <c r="I983" s="132">
        <v>0</v>
      </c>
    </row>
    <row r="984" spans="1:9" ht="14.25" customHeight="1" x14ac:dyDescent="0.25">
      <c r="A984" s="132" t="s">
        <v>246</v>
      </c>
      <c r="B984" s="132" t="s">
        <v>9</v>
      </c>
      <c r="C984" s="132">
        <v>45</v>
      </c>
      <c r="D984" s="132" t="str">
        <f t="shared" si="70"/>
        <v>CIM Motor NEO 45</v>
      </c>
      <c r="E984" s="132">
        <v>0</v>
      </c>
      <c r="I984" s="132">
        <v>0</v>
      </c>
    </row>
    <row r="985" spans="1:9" ht="14.25" customHeight="1" x14ac:dyDescent="0.25">
      <c r="A985" s="132" t="s">
        <v>246</v>
      </c>
      <c r="B985" s="132" t="s">
        <v>9</v>
      </c>
      <c r="C985" s="132">
        <v>49</v>
      </c>
      <c r="D985" s="132" t="str">
        <f t="shared" si="70"/>
        <v>CIM Motor NEO 49</v>
      </c>
      <c r="E985" s="132">
        <v>0</v>
      </c>
      <c r="I985" s="132">
        <v>0</v>
      </c>
    </row>
    <row r="986" spans="1:9" ht="14.25" customHeight="1" x14ac:dyDescent="0.25">
      <c r="A986" s="132" t="s">
        <v>246</v>
      </c>
      <c r="B986" s="132" t="s">
        <v>9</v>
      </c>
      <c r="C986" s="132">
        <v>50</v>
      </c>
      <c r="D986" s="132" t="str">
        <f t="shared" si="70"/>
        <v>CIM Motor NEO 50</v>
      </c>
      <c r="E986" s="132">
        <v>0</v>
      </c>
      <c r="I986" s="132">
        <v>0</v>
      </c>
    </row>
    <row r="987" spans="1:9" ht="14.25" customHeight="1" x14ac:dyDescent="0.25">
      <c r="A987" s="132" t="s">
        <v>246</v>
      </c>
      <c r="B987" s="132" t="s">
        <v>9</v>
      </c>
      <c r="C987" s="132">
        <v>63</v>
      </c>
      <c r="D987" s="132" t="str">
        <f t="shared" si="70"/>
        <v>CIM Motor NEO 63</v>
      </c>
      <c r="E987" s="132">
        <v>0</v>
      </c>
      <c r="I987" s="132">
        <v>0</v>
      </c>
    </row>
    <row r="988" spans="1:9" ht="14.25" customHeight="1" x14ac:dyDescent="0.25">
      <c r="A988" s="132" t="s">
        <v>246</v>
      </c>
      <c r="B988" s="132" t="s">
        <v>9</v>
      </c>
      <c r="C988" s="132">
        <v>70</v>
      </c>
      <c r="D988" s="132" t="str">
        <f t="shared" si="70"/>
        <v>CIM Motor NEO 70</v>
      </c>
      <c r="E988" s="132">
        <v>0</v>
      </c>
      <c r="I988" s="132">
        <v>0</v>
      </c>
    </row>
    <row r="989" spans="1:9" ht="14.25" customHeight="1" x14ac:dyDescent="0.25">
      <c r="A989" s="132" t="s">
        <v>246</v>
      </c>
      <c r="B989" s="132" t="s">
        <v>9</v>
      </c>
      <c r="C989" s="132">
        <v>81</v>
      </c>
      <c r="D989" s="132" t="str">
        <f t="shared" si="70"/>
        <v>CIM Motor NEO 81</v>
      </c>
      <c r="E989" s="132">
        <v>0</v>
      </c>
      <c r="I989" s="132">
        <v>0</v>
      </c>
    </row>
    <row r="990" spans="1:9" ht="14.25" customHeight="1" x14ac:dyDescent="0.25">
      <c r="A990" s="132" t="s">
        <v>246</v>
      </c>
      <c r="B990" s="132" t="s">
        <v>9</v>
      </c>
      <c r="C990" s="132">
        <v>90</v>
      </c>
      <c r="D990" s="132" t="str">
        <f t="shared" si="70"/>
        <v>CIM Motor NEO 90</v>
      </c>
      <c r="E990" s="132">
        <v>0</v>
      </c>
      <c r="I990" s="132">
        <v>0</v>
      </c>
    </row>
    <row r="991" spans="1:9" ht="14.25" customHeight="1" x14ac:dyDescent="0.25">
      <c r="A991" s="132" t="s">
        <v>246</v>
      </c>
      <c r="B991" s="132" t="s">
        <v>9</v>
      </c>
      <c r="C991" s="132">
        <v>100</v>
      </c>
      <c r="D991" s="132" t="str">
        <f t="shared" si="70"/>
        <v>CIM Motor NEO 100</v>
      </c>
      <c r="E991" s="132">
        <v>0</v>
      </c>
      <c r="I991" s="132">
        <v>0</v>
      </c>
    </row>
    <row r="992" spans="1:9" ht="14.25" customHeight="1" x14ac:dyDescent="0.25">
      <c r="A992" s="132" t="s">
        <v>246</v>
      </c>
      <c r="B992" s="132" t="s">
        <v>333</v>
      </c>
      <c r="C992" s="132">
        <v>-3</v>
      </c>
      <c r="D992" s="132" t="str">
        <f t="shared" ref="D992:D997" si="71">A992&amp;" "&amp;B992&amp;" "&amp;C992</f>
        <v>CIM Motor Falcon 500 -3</v>
      </c>
      <c r="E992" s="132">
        <v>1</v>
      </c>
      <c r="I992" s="132">
        <v>0</v>
      </c>
    </row>
    <row r="993" spans="1:9" ht="14.25" customHeight="1" x14ac:dyDescent="0.25">
      <c r="A993" s="132" t="s">
        <v>246</v>
      </c>
      <c r="B993" s="132" t="s">
        <v>333</v>
      </c>
      <c r="C993" s="132">
        <v>-4</v>
      </c>
      <c r="D993" s="132" t="str">
        <f t="shared" si="71"/>
        <v>CIM Motor Falcon 500 -4</v>
      </c>
      <c r="E993" s="132">
        <v>1</v>
      </c>
      <c r="I993" s="132">
        <v>0</v>
      </c>
    </row>
    <row r="994" spans="1:9" ht="14.25" customHeight="1" x14ac:dyDescent="0.25">
      <c r="A994" s="132" t="s">
        <v>246</v>
      </c>
      <c r="B994" s="132" t="s">
        <v>333</v>
      </c>
      <c r="C994" s="132">
        <v>-5</v>
      </c>
      <c r="D994" s="132" t="str">
        <f t="shared" si="71"/>
        <v>CIM Motor Falcon 500 -5</v>
      </c>
      <c r="E994" s="132">
        <v>1</v>
      </c>
      <c r="I994" s="132">
        <v>0</v>
      </c>
    </row>
    <row r="995" spans="1:9" ht="14.25" customHeight="1" x14ac:dyDescent="0.25">
      <c r="A995" s="132" t="s">
        <v>246</v>
      </c>
      <c r="B995" s="132" t="s">
        <v>333</v>
      </c>
      <c r="C995" s="132">
        <v>-7</v>
      </c>
      <c r="D995" s="132" t="str">
        <f t="shared" si="71"/>
        <v>CIM Motor Falcon 500 -7</v>
      </c>
      <c r="E995" s="132">
        <v>1</v>
      </c>
      <c r="I995" s="132">
        <v>0</v>
      </c>
    </row>
    <row r="996" spans="1:9" ht="14.25" customHeight="1" x14ac:dyDescent="0.25">
      <c r="A996" s="132" t="s">
        <v>246</v>
      </c>
      <c r="B996" s="132" t="s">
        <v>333</v>
      </c>
      <c r="C996" s="132">
        <v>-9</v>
      </c>
      <c r="D996" s="132" t="str">
        <f t="shared" si="71"/>
        <v>CIM Motor Falcon 500 -9</v>
      </c>
      <c r="E996" s="132">
        <v>1</v>
      </c>
      <c r="I996" s="132">
        <v>0</v>
      </c>
    </row>
    <row r="997" spans="1:9" ht="14.25" customHeight="1" x14ac:dyDescent="0.25">
      <c r="A997" s="132" t="s">
        <v>246</v>
      </c>
      <c r="B997" s="132" t="s">
        <v>333</v>
      </c>
      <c r="C997" s="132">
        <v>-10</v>
      </c>
      <c r="D997" s="132" t="str">
        <f t="shared" si="71"/>
        <v>CIM Motor Falcon 500 -10</v>
      </c>
      <c r="E997" s="132">
        <v>1</v>
      </c>
      <c r="I997" s="132">
        <v>0</v>
      </c>
    </row>
    <row r="998" spans="1:9" ht="14.25" customHeight="1" x14ac:dyDescent="0.25">
      <c r="A998" s="132" t="s">
        <v>246</v>
      </c>
      <c r="B998" s="132" t="s">
        <v>333</v>
      </c>
      <c r="C998" s="132">
        <v>9</v>
      </c>
      <c r="D998" s="132" t="str">
        <f t="shared" ref="D998:D1018" si="72">A998&amp;" "&amp;B998&amp;" "&amp;C998</f>
        <v>CIM Motor Falcon 500 9</v>
      </c>
      <c r="E998" s="132">
        <v>0</v>
      </c>
      <c r="I998" s="132">
        <v>0</v>
      </c>
    </row>
    <row r="999" spans="1:9" ht="14.25" customHeight="1" x14ac:dyDescent="0.25">
      <c r="A999" s="132" t="s">
        <v>246</v>
      </c>
      <c r="B999" s="132" t="s">
        <v>333</v>
      </c>
      <c r="C999" s="132">
        <v>12</v>
      </c>
      <c r="D999" s="132" t="str">
        <f t="shared" si="72"/>
        <v>CIM Motor Falcon 500 12</v>
      </c>
      <c r="E999" s="132">
        <v>0</v>
      </c>
      <c r="I999" s="132">
        <v>0</v>
      </c>
    </row>
    <row r="1000" spans="1:9" ht="14.25" customHeight="1" x14ac:dyDescent="0.25">
      <c r="A1000" s="132" t="s">
        <v>246</v>
      </c>
      <c r="B1000" s="132" t="s">
        <v>333</v>
      </c>
      <c r="C1000" s="132">
        <v>15</v>
      </c>
      <c r="D1000" s="132" t="str">
        <f t="shared" si="72"/>
        <v>CIM Motor Falcon 500 15</v>
      </c>
      <c r="E1000" s="132">
        <v>0</v>
      </c>
      <c r="I1000" s="132">
        <v>0</v>
      </c>
    </row>
    <row r="1001" spans="1:9" ht="14.25" customHeight="1" x14ac:dyDescent="0.25">
      <c r="A1001" s="132" t="s">
        <v>246</v>
      </c>
      <c r="B1001" s="132" t="s">
        <v>333</v>
      </c>
      <c r="C1001" s="132">
        <v>16</v>
      </c>
      <c r="D1001" s="132" t="str">
        <f t="shared" si="72"/>
        <v>CIM Motor Falcon 500 16</v>
      </c>
      <c r="E1001" s="132">
        <v>0</v>
      </c>
      <c r="I1001" s="132">
        <v>0</v>
      </c>
    </row>
    <row r="1002" spans="1:9" ht="15" customHeight="1" x14ac:dyDescent="0.25">
      <c r="A1002" s="132" t="s">
        <v>246</v>
      </c>
      <c r="B1002" s="132" t="s">
        <v>333</v>
      </c>
      <c r="C1002" s="132">
        <v>20</v>
      </c>
      <c r="D1002" s="132" t="str">
        <f t="shared" si="72"/>
        <v>CIM Motor Falcon 500 20</v>
      </c>
      <c r="E1002" s="132">
        <v>0</v>
      </c>
      <c r="I1002" s="132">
        <v>0</v>
      </c>
    </row>
    <row r="1003" spans="1:9" ht="15" customHeight="1" x14ac:dyDescent="0.25">
      <c r="A1003" s="132" t="s">
        <v>246</v>
      </c>
      <c r="B1003" s="132" t="s">
        <v>333</v>
      </c>
      <c r="C1003" s="132">
        <v>21</v>
      </c>
      <c r="D1003" s="132" t="str">
        <f t="shared" si="72"/>
        <v>CIM Motor Falcon 500 21</v>
      </c>
      <c r="E1003" s="132">
        <v>0</v>
      </c>
      <c r="I1003" s="132">
        <v>0</v>
      </c>
    </row>
    <row r="1004" spans="1:9" ht="15" customHeight="1" x14ac:dyDescent="0.25">
      <c r="A1004" s="132" t="s">
        <v>246</v>
      </c>
      <c r="B1004" s="132" t="s">
        <v>333</v>
      </c>
      <c r="C1004" s="132">
        <v>25</v>
      </c>
      <c r="D1004" s="132" t="str">
        <f t="shared" si="72"/>
        <v>CIM Motor Falcon 500 25</v>
      </c>
      <c r="E1004" s="132">
        <v>0</v>
      </c>
      <c r="I1004" s="132">
        <v>0</v>
      </c>
    </row>
    <row r="1005" spans="1:9" ht="15" customHeight="1" x14ac:dyDescent="0.25">
      <c r="A1005" s="132" t="s">
        <v>246</v>
      </c>
      <c r="B1005" s="132" t="s">
        <v>333</v>
      </c>
      <c r="C1005" s="132">
        <v>27</v>
      </c>
      <c r="D1005" s="132" t="str">
        <f t="shared" si="72"/>
        <v>CIM Motor Falcon 500 27</v>
      </c>
      <c r="E1005" s="132">
        <v>0</v>
      </c>
      <c r="I1005" s="132">
        <v>0</v>
      </c>
    </row>
    <row r="1006" spans="1:9" ht="15" customHeight="1" x14ac:dyDescent="0.25">
      <c r="A1006" s="132" t="s">
        <v>246</v>
      </c>
      <c r="B1006" s="132" t="s">
        <v>333</v>
      </c>
      <c r="C1006" s="132">
        <v>28</v>
      </c>
      <c r="D1006" s="132" t="str">
        <f t="shared" si="72"/>
        <v>CIM Motor Falcon 500 28</v>
      </c>
      <c r="E1006" s="132">
        <v>0</v>
      </c>
      <c r="I1006" s="132">
        <v>0</v>
      </c>
    </row>
    <row r="1007" spans="1:9" ht="15" customHeight="1" x14ac:dyDescent="0.25">
      <c r="A1007" s="132" t="s">
        <v>246</v>
      </c>
      <c r="B1007" s="132" t="s">
        <v>333</v>
      </c>
      <c r="C1007" s="132">
        <v>30</v>
      </c>
      <c r="D1007" s="132" t="str">
        <f t="shared" si="72"/>
        <v>CIM Motor Falcon 500 30</v>
      </c>
      <c r="E1007" s="132">
        <v>0</v>
      </c>
      <c r="I1007" s="132">
        <v>0</v>
      </c>
    </row>
    <row r="1008" spans="1:9" ht="15" customHeight="1" x14ac:dyDescent="0.25">
      <c r="A1008" s="132" t="s">
        <v>246</v>
      </c>
      <c r="B1008" s="132" t="s">
        <v>333</v>
      </c>
      <c r="C1008" s="132">
        <v>35</v>
      </c>
      <c r="D1008" s="132" t="str">
        <f t="shared" si="72"/>
        <v>CIM Motor Falcon 500 35</v>
      </c>
      <c r="E1008" s="132">
        <v>0</v>
      </c>
      <c r="I1008" s="132">
        <v>0</v>
      </c>
    </row>
    <row r="1009" spans="1:9" ht="15" customHeight="1" x14ac:dyDescent="0.25">
      <c r="A1009" s="132" t="s">
        <v>246</v>
      </c>
      <c r="B1009" s="132" t="s">
        <v>333</v>
      </c>
      <c r="C1009" s="132">
        <v>36</v>
      </c>
      <c r="D1009" s="132" t="str">
        <f t="shared" si="72"/>
        <v>CIM Motor Falcon 500 36</v>
      </c>
      <c r="E1009" s="132">
        <v>0</v>
      </c>
      <c r="I1009" s="132">
        <v>0</v>
      </c>
    </row>
    <row r="1010" spans="1:9" ht="15" customHeight="1" x14ac:dyDescent="0.25">
      <c r="A1010" s="132" t="s">
        <v>246</v>
      </c>
      <c r="B1010" s="132" t="s">
        <v>333</v>
      </c>
      <c r="C1010" s="132">
        <v>40</v>
      </c>
      <c r="D1010" s="132" t="str">
        <f t="shared" si="72"/>
        <v>CIM Motor Falcon 500 40</v>
      </c>
      <c r="E1010" s="132">
        <v>0</v>
      </c>
      <c r="I1010" s="132">
        <v>0</v>
      </c>
    </row>
    <row r="1011" spans="1:9" ht="15" customHeight="1" x14ac:dyDescent="0.25">
      <c r="A1011" s="132" t="s">
        <v>246</v>
      </c>
      <c r="B1011" s="132" t="s">
        <v>333</v>
      </c>
      <c r="C1011" s="132">
        <v>45</v>
      </c>
      <c r="D1011" s="132" t="str">
        <f t="shared" si="72"/>
        <v>CIM Motor Falcon 500 45</v>
      </c>
      <c r="E1011" s="132">
        <v>0</v>
      </c>
      <c r="I1011" s="132">
        <v>0</v>
      </c>
    </row>
    <row r="1012" spans="1:9" ht="15" customHeight="1" x14ac:dyDescent="0.25">
      <c r="A1012" s="132" t="s">
        <v>246</v>
      </c>
      <c r="B1012" s="132" t="s">
        <v>333</v>
      </c>
      <c r="C1012" s="132">
        <v>49</v>
      </c>
      <c r="D1012" s="132" t="str">
        <f t="shared" si="72"/>
        <v>CIM Motor Falcon 500 49</v>
      </c>
      <c r="E1012" s="132">
        <v>0</v>
      </c>
      <c r="I1012" s="132">
        <v>0</v>
      </c>
    </row>
    <row r="1013" spans="1:9" ht="15" customHeight="1" x14ac:dyDescent="0.25">
      <c r="A1013" s="132" t="s">
        <v>246</v>
      </c>
      <c r="B1013" s="132" t="s">
        <v>333</v>
      </c>
      <c r="C1013" s="132">
        <v>50</v>
      </c>
      <c r="D1013" s="132" t="str">
        <f t="shared" si="72"/>
        <v>CIM Motor Falcon 500 50</v>
      </c>
      <c r="E1013" s="132">
        <v>0</v>
      </c>
      <c r="I1013" s="132">
        <v>0</v>
      </c>
    </row>
    <row r="1014" spans="1:9" ht="15" customHeight="1" x14ac:dyDescent="0.25">
      <c r="A1014" s="132" t="s">
        <v>246</v>
      </c>
      <c r="B1014" s="132" t="s">
        <v>333</v>
      </c>
      <c r="C1014" s="132">
        <v>63</v>
      </c>
      <c r="D1014" s="132" t="str">
        <f t="shared" si="72"/>
        <v>CIM Motor Falcon 500 63</v>
      </c>
      <c r="E1014" s="132">
        <v>0</v>
      </c>
      <c r="I1014" s="132">
        <v>0</v>
      </c>
    </row>
    <row r="1015" spans="1:9" ht="15" customHeight="1" x14ac:dyDescent="0.25">
      <c r="A1015" s="132" t="s">
        <v>246</v>
      </c>
      <c r="B1015" s="132" t="s">
        <v>333</v>
      </c>
      <c r="C1015" s="132">
        <v>70</v>
      </c>
      <c r="D1015" s="132" t="str">
        <f t="shared" si="72"/>
        <v>CIM Motor Falcon 500 70</v>
      </c>
      <c r="E1015" s="132">
        <v>0</v>
      </c>
      <c r="I1015" s="132">
        <v>0</v>
      </c>
    </row>
    <row r="1016" spans="1:9" ht="15" customHeight="1" x14ac:dyDescent="0.25">
      <c r="A1016" s="132" t="s">
        <v>246</v>
      </c>
      <c r="B1016" s="132" t="s">
        <v>333</v>
      </c>
      <c r="C1016" s="132">
        <v>81</v>
      </c>
      <c r="D1016" s="132" t="str">
        <f t="shared" si="72"/>
        <v>CIM Motor Falcon 500 81</v>
      </c>
      <c r="E1016" s="132">
        <v>0</v>
      </c>
      <c r="I1016" s="132">
        <v>0</v>
      </c>
    </row>
    <row r="1017" spans="1:9" ht="15" customHeight="1" x14ac:dyDescent="0.25">
      <c r="A1017" s="132" t="s">
        <v>246</v>
      </c>
      <c r="B1017" s="132" t="s">
        <v>333</v>
      </c>
      <c r="C1017" s="132">
        <v>90</v>
      </c>
      <c r="D1017" s="132" t="str">
        <f t="shared" si="72"/>
        <v>CIM Motor Falcon 500 90</v>
      </c>
      <c r="E1017" s="132">
        <v>0</v>
      </c>
      <c r="I1017" s="132">
        <v>0</v>
      </c>
    </row>
    <row r="1018" spans="1:9" ht="15" customHeight="1" x14ac:dyDescent="0.25">
      <c r="A1018" s="132" t="s">
        <v>246</v>
      </c>
      <c r="B1018" s="132" t="s">
        <v>333</v>
      </c>
      <c r="C1018" s="132">
        <v>100</v>
      </c>
      <c r="D1018" s="132" t="str">
        <f t="shared" si="72"/>
        <v>CIM Motor Falcon 500 100</v>
      </c>
      <c r="E1018" s="132">
        <v>0</v>
      </c>
      <c r="I1018" s="132">
        <v>0</v>
      </c>
    </row>
    <row r="1019" spans="1:9" ht="15" customHeight="1" x14ac:dyDescent="0.25">
      <c r="A1019" s="132" t="s">
        <v>249</v>
      </c>
      <c r="B1019" s="132" t="s">
        <v>11</v>
      </c>
      <c r="C1019" s="132">
        <v>-3</v>
      </c>
      <c r="D1019" s="132" t="str">
        <f t="shared" ref="D1019:D1024" si="73">A1019&amp;" "&amp;B1019&amp;" "&amp;C1019</f>
        <v>Female AM 9015 -3</v>
      </c>
      <c r="E1019" s="132">
        <v>1</v>
      </c>
      <c r="I1019" s="132">
        <v>1</v>
      </c>
    </row>
    <row r="1020" spans="1:9" ht="15" customHeight="1" x14ac:dyDescent="0.25">
      <c r="A1020" s="132" t="s">
        <v>249</v>
      </c>
      <c r="B1020" s="132" t="s">
        <v>11</v>
      </c>
      <c r="C1020" s="132">
        <v>-4</v>
      </c>
      <c r="D1020" s="132" t="str">
        <f t="shared" si="73"/>
        <v>Female AM 9015 -4</v>
      </c>
      <c r="E1020" s="132">
        <v>1</v>
      </c>
      <c r="I1020" s="132">
        <v>1</v>
      </c>
    </row>
    <row r="1021" spans="1:9" ht="15" customHeight="1" x14ac:dyDescent="0.25">
      <c r="A1021" s="132" t="s">
        <v>249</v>
      </c>
      <c r="B1021" s="132" t="s">
        <v>11</v>
      </c>
      <c r="C1021" s="132">
        <v>-5</v>
      </c>
      <c r="D1021" s="132" t="str">
        <f t="shared" si="73"/>
        <v>Female AM 9015 -5</v>
      </c>
      <c r="E1021" s="132">
        <v>1</v>
      </c>
      <c r="I1021" s="132">
        <v>1</v>
      </c>
    </row>
    <row r="1022" spans="1:9" ht="15" customHeight="1" x14ac:dyDescent="0.25">
      <c r="A1022" s="132" t="s">
        <v>249</v>
      </c>
      <c r="B1022" s="132" t="s">
        <v>11</v>
      </c>
      <c r="C1022" s="132">
        <v>-7</v>
      </c>
      <c r="D1022" s="132" t="str">
        <f t="shared" si="73"/>
        <v>Female AM 9015 -7</v>
      </c>
      <c r="E1022" s="132">
        <v>1</v>
      </c>
      <c r="I1022" s="132">
        <v>1</v>
      </c>
    </row>
    <row r="1023" spans="1:9" ht="15" customHeight="1" x14ac:dyDescent="0.25">
      <c r="A1023" s="132" t="s">
        <v>249</v>
      </c>
      <c r="B1023" s="132" t="s">
        <v>11</v>
      </c>
      <c r="C1023" s="132">
        <v>-9</v>
      </c>
      <c r="D1023" s="132" t="str">
        <f t="shared" si="73"/>
        <v>Female AM 9015 -9</v>
      </c>
      <c r="E1023" s="132">
        <v>1</v>
      </c>
      <c r="I1023" s="132">
        <v>1</v>
      </c>
    </row>
    <row r="1024" spans="1:9" ht="15" customHeight="1" x14ac:dyDescent="0.25">
      <c r="A1024" s="132" t="s">
        <v>249</v>
      </c>
      <c r="B1024" s="132" t="s">
        <v>11</v>
      </c>
      <c r="C1024" s="132">
        <v>-10</v>
      </c>
      <c r="D1024" s="132" t="str">
        <f t="shared" si="73"/>
        <v>Female AM 9015 -10</v>
      </c>
      <c r="E1024" s="132">
        <v>1</v>
      </c>
      <c r="I1024" s="132">
        <v>1</v>
      </c>
    </row>
    <row r="1025" spans="1:9" ht="15" customHeight="1" x14ac:dyDescent="0.25">
      <c r="A1025" s="132" t="s">
        <v>249</v>
      </c>
      <c r="B1025" s="132" t="s">
        <v>11</v>
      </c>
      <c r="C1025" s="132">
        <v>9</v>
      </c>
      <c r="D1025" s="132" t="str">
        <f t="shared" ref="D1025:D1045" si="74">A1025&amp;" "&amp;B1025&amp;" "&amp;C1025</f>
        <v>Female AM 9015 9</v>
      </c>
      <c r="E1025" s="132">
        <v>10</v>
      </c>
      <c r="I1025" s="132">
        <v>10</v>
      </c>
    </row>
    <row r="1026" spans="1:9" ht="15" customHeight="1" x14ac:dyDescent="0.25">
      <c r="A1026" s="132" t="s">
        <v>249</v>
      </c>
      <c r="B1026" s="132" t="s">
        <v>11</v>
      </c>
      <c r="C1026" s="132">
        <v>12</v>
      </c>
      <c r="D1026" s="132" t="str">
        <f t="shared" si="74"/>
        <v>Female AM 9015 12</v>
      </c>
      <c r="E1026" s="132">
        <v>10</v>
      </c>
      <c r="I1026" s="132">
        <v>7</v>
      </c>
    </row>
    <row r="1027" spans="1:9" ht="15" customHeight="1" x14ac:dyDescent="0.25">
      <c r="A1027" s="132" t="s">
        <v>249</v>
      </c>
      <c r="B1027" s="132" t="s">
        <v>11</v>
      </c>
      <c r="C1027" s="132">
        <v>15</v>
      </c>
      <c r="D1027" s="132" t="str">
        <f t="shared" si="74"/>
        <v>Female AM 9015 15</v>
      </c>
      <c r="E1027" s="132">
        <v>10</v>
      </c>
      <c r="I1027" s="132">
        <v>5</v>
      </c>
    </row>
    <row r="1028" spans="1:9" ht="15" customHeight="1" x14ac:dyDescent="0.25">
      <c r="A1028" s="132" t="s">
        <v>249</v>
      </c>
      <c r="B1028" s="132" t="s">
        <v>11</v>
      </c>
      <c r="C1028" s="132">
        <v>16</v>
      </c>
      <c r="D1028" s="132" t="str">
        <f t="shared" si="74"/>
        <v>Female AM 9015 16</v>
      </c>
      <c r="E1028" s="132">
        <v>10</v>
      </c>
      <c r="I1028" s="132">
        <v>5</v>
      </c>
    </row>
    <row r="1029" spans="1:9" ht="15" customHeight="1" x14ac:dyDescent="0.25">
      <c r="A1029" s="132" t="s">
        <v>249</v>
      </c>
      <c r="B1029" s="132" t="s">
        <v>11</v>
      </c>
      <c r="C1029" s="132">
        <v>20</v>
      </c>
      <c r="D1029" s="132" t="str">
        <f t="shared" si="74"/>
        <v>Female AM 9015 20</v>
      </c>
      <c r="E1029" s="132">
        <v>10</v>
      </c>
      <c r="I1029" s="132">
        <v>4</v>
      </c>
    </row>
    <row r="1030" spans="1:9" ht="15" customHeight="1" x14ac:dyDescent="0.25">
      <c r="A1030" s="132" t="s">
        <v>249</v>
      </c>
      <c r="B1030" s="132" t="s">
        <v>11</v>
      </c>
      <c r="C1030" s="132">
        <v>21</v>
      </c>
      <c r="D1030" s="132" t="str">
        <f t="shared" si="74"/>
        <v>Female AM 9015 21</v>
      </c>
      <c r="E1030" s="132">
        <v>10</v>
      </c>
      <c r="I1030" s="132">
        <v>4</v>
      </c>
    </row>
    <row r="1031" spans="1:9" ht="15" customHeight="1" x14ac:dyDescent="0.25">
      <c r="A1031" s="132" t="s">
        <v>249</v>
      </c>
      <c r="B1031" s="132" t="s">
        <v>11</v>
      </c>
      <c r="C1031" s="132">
        <v>25</v>
      </c>
      <c r="D1031" s="132" t="str">
        <f t="shared" si="74"/>
        <v>Female AM 9015 25</v>
      </c>
      <c r="E1031" s="132">
        <v>7</v>
      </c>
      <c r="I1031" s="132">
        <v>3</v>
      </c>
    </row>
    <row r="1032" spans="1:9" ht="15" customHeight="1" x14ac:dyDescent="0.25">
      <c r="A1032" s="132" t="s">
        <v>249</v>
      </c>
      <c r="B1032" s="132" t="s">
        <v>11</v>
      </c>
      <c r="C1032" s="132">
        <v>27</v>
      </c>
      <c r="D1032" s="132" t="str">
        <f t="shared" si="74"/>
        <v>Female AM 9015 27</v>
      </c>
      <c r="E1032" s="132">
        <v>7</v>
      </c>
      <c r="I1032" s="132">
        <v>3</v>
      </c>
    </row>
    <row r="1033" spans="1:9" ht="15" customHeight="1" x14ac:dyDescent="0.25">
      <c r="A1033" s="132" t="s">
        <v>249</v>
      </c>
      <c r="B1033" s="132" t="s">
        <v>11</v>
      </c>
      <c r="C1033" s="132">
        <v>28</v>
      </c>
      <c r="D1033" s="132" t="str">
        <f t="shared" si="74"/>
        <v>Female AM 9015 28</v>
      </c>
      <c r="E1033" s="132">
        <v>7</v>
      </c>
      <c r="I1033" s="132">
        <v>3</v>
      </c>
    </row>
    <row r="1034" spans="1:9" ht="15" customHeight="1" x14ac:dyDescent="0.25">
      <c r="A1034" s="132" t="s">
        <v>249</v>
      </c>
      <c r="B1034" s="132" t="s">
        <v>11</v>
      </c>
      <c r="C1034" s="132">
        <v>30</v>
      </c>
      <c r="D1034" s="132" t="str">
        <f t="shared" si="74"/>
        <v>Female AM 9015 30</v>
      </c>
      <c r="E1034" s="132">
        <v>7</v>
      </c>
      <c r="I1034" s="132">
        <v>3</v>
      </c>
    </row>
    <row r="1035" spans="1:9" ht="15" customHeight="1" x14ac:dyDescent="0.25">
      <c r="A1035" s="132" t="s">
        <v>249</v>
      </c>
      <c r="B1035" s="132" t="s">
        <v>11</v>
      </c>
      <c r="C1035" s="132">
        <v>35</v>
      </c>
      <c r="D1035" s="132" t="str">
        <f t="shared" si="74"/>
        <v>Female AM 9015 35</v>
      </c>
      <c r="E1035" s="132">
        <v>5</v>
      </c>
      <c r="I1035" s="132">
        <v>1</v>
      </c>
    </row>
    <row r="1036" spans="1:9" ht="15" customHeight="1" x14ac:dyDescent="0.25">
      <c r="A1036" s="132" t="s">
        <v>249</v>
      </c>
      <c r="B1036" s="132" t="s">
        <v>11</v>
      </c>
      <c r="C1036" s="132">
        <v>36</v>
      </c>
      <c r="D1036" s="132" t="str">
        <f t="shared" si="74"/>
        <v>Female AM 9015 36</v>
      </c>
      <c r="E1036" s="132">
        <v>5</v>
      </c>
      <c r="I1036" s="132">
        <v>1</v>
      </c>
    </row>
    <row r="1037" spans="1:9" ht="15" customHeight="1" x14ac:dyDescent="0.25">
      <c r="A1037" s="132" t="s">
        <v>249</v>
      </c>
      <c r="B1037" s="132" t="s">
        <v>11</v>
      </c>
      <c r="C1037" s="132">
        <v>40</v>
      </c>
      <c r="D1037" s="132" t="str">
        <f t="shared" si="74"/>
        <v>Female AM 9015 40</v>
      </c>
      <c r="E1037" s="132">
        <v>5</v>
      </c>
      <c r="I1037" s="132">
        <v>1</v>
      </c>
    </row>
    <row r="1038" spans="1:9" ht="15" customHeight="1" x14ac:dyDescent="0.25">
      <c r="A1038" s="132" t="s">
        <v>249</v>
      </c>
      <c r="B1038" s="132" t="s">
        <v>11</v>
      </c>
      <c r="C1038" s="132">
        <v>45</v>
      </c>
      <c r="D1038" s="132" t="str">
        <f t="shared" si="74"/>
        <v>Female AM 9015 45</v>
      </c>
      <c r="E1038" s="132">
        <v>5</v>
      </c>
      <c r="I1038" s="132">
        <v>1</v>
      </c>
    </row>
    <row r="1039" spans="1:9" ht="15" customHeight="1" x14ac:dyDescent="0.25">
      <c r="A1039" s="132" t="s">
        <v>249</v>
      </c>
      <c r="B1039" s="132" t="s">
        <v>11</v>
      </c>
      <c r="C1039" s="132">
        <v>49</v>
      </c>
      <c r="D1039" s="132" t="str">
        <f t="shared" si="74"/>
        <v>Female AM 9015 49</v>
      </c>
      <c r="E1039" s="132">
        <v>5</v>
      </c>
      <c r="I1039" s="132">
        <v>1</v>
      </c>
    </row>
    <row r="1040" spans="1:9" ht="15" customHeight="1" x14ac:dyDescent="0.25">
      <c r="A1040" s="132" t="s">
        <v>249</v>
      </c>
      <c r="B1040" s="132" t="s">
        <v>11</v>
      </c>
      <c r="C1040" s="132">
        <v>50</v>
      </c>
      <c r="D1040" s="132" t="str">
        <f t="shared" si="74"/>
        <v>Female AM 9015 50</v>
      </c>
      <c r="E1040" s="132">
        <v>5</v>
      </c>
      <c r="I1040" s="132">
        <v>1</v>
      </c>
    </row>
    <row r="1041" spans="1:9" ht="15" customHeight="1" x14ac:dyDescent="0.25">
      <c r="A1041" s="132" t="s">
        <v>249</v>
      </c>
      <c r="B1041" s="132" t="s">
        <v>11</v>
      </c>
      <c r="C1041" s="132">
        <v>63</v>
      </c>
      <c r="D1041" s="132" t="str">
        <f t="shared" si="74"/>
        <v>Female AM 9015 63</v>
      </c>
      <c r="E1041" s="132">
        <v>5</v>
      </c>
      <c r="I1041" s="132">
        <v>1</v>
      </c>
    </row>
    <row r="1042" spans="1:9" ht="15" customHeight="1" x14ac:dyDescent="0.25">
      <c r="A1042" s="132" t="s">
        <v>249</v>
      </c>
      <c r="B1042" s="132" t="s">
        <v>11</v>
      </c>
      <c r="C1042" s="132">
        <v>70</v>
      </c>
      <c r="D1042" s="132" t="str">
        <f t="shared" si="74"/>
        <v>Female AM 9015 70</v>
      </c>
      <c r="E1042" s="132">
        <v>4</v>
      </c>
      <c r="I1042" s="132">
        <v>1</v>
      </c>
    </row>
    <row r="1043" spans="1:9" ht="15" customHeight="1" x14ac:dyDescent="0.25">
      <c r="A1043" s="132" t="s">
        <v>249</v>
      </c>
      <c r="B1043" s="132" t="s">
        <v>11</v>
      </c>
      <c r="C1043" s="132">
        <v>81</v>
      </c>
      <c r="D1043" s="132" t="str">
        <f t="shared" si="74"/>
        <v>Female AM 9015 81</v>
      </c>
      <c r="E1043" s="132">
        <v>4</v>
      </c>
      <c r="I1043" s="132">
        <v>1</v>
      </c>
    </row>
    <row r="1044" spans="1:9" ht="15" customHeight="1" x14ac:dyDescent="0.25">
      <c r="A1044" s="132" t="s">
        <v>249</v>
      </c>
      <c r="B1044" s="132" t="s">
        <v>11</v>
      </c>
      <c r="C1044" s="132">
        <v>90</v>
      </c>
      <c r="D1044" s="132" t="str">
        <f t="shared" si="74"/>
        <v>Female AM 9015 90</v>
      </c>
      <c r="E1044" s="132">
        <v>3</v>
      </c>
      <c r="I1044" s="132">
        <v>1</v>
      </c>
    </row>
    <row r="1045" spans="1:9" ht="15" customHeight="1" x14ac:dyDescent="0.25">
      <c r="A1045" s="132" t="s">
        <v>249</v>
      </c>
      <c r="B1045" s="132" t="s">
        <v>11</v>
      </c>
      <c r="C1045" s="132">
        <v>100</v>
      </c>
      <c r="D1045" s="132" t="str">
        <f t="shared" si="74"/>
        <v>Female AM 9015 100</v>
      </c>
      <c r="E1045" s="132">
        <v>3</v>
      </c>
      <c r="I1045" s="132">
        <v>0</v>
      </c>
    </row>
    <row r="1046" spans="1:9" ht="15" customHeight="1" x14ac:dyDescent="0.25">
      <c r="A1046" s="132" t="s">
        <v>249</v>
      </c>
      <c r="B1046" s="132" t="s">
        <v>326</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249</v>
      </c>
      <c r="B1047" s="132" t="s">
        <v>326</v>
      </c>
      <c r="C1047" s="132">
        <v>-4</v>
      </c>
      <c r="D1047" s="132" t="str">
        <f t="shared" si="75"/>
        <v>Female BB RS-550 -4</v>
      </c>
      <c r="E1047" s="132">
        <v>1</v>
      </c>
      <c r="F1047" s="132">
        <v>1</v>
      </c>
      <c r="G1047" s="132">
        <v>1</v>
      </c>
      <c r="H1047" s="132">
        <v>1</v>
      </c>
      <c r="I1047" s="132">
        <v>1</v>
      </c>
    </row>
    <row r="1048" spans="1:9" ht="15" customHeight="1" x14ac:dyDescent="0.25">
      <c r="A1048" s="132" t="s">
        <v>249</v>
      </c>
      <c r="B1048" s="132" t="s">
        <v>326</v>
      </c>
      <c r="C1048" s="132">
        <v>-5</v>
      </c>
      <c r="D1048" s="132" t="str">
        <f t="shared" si="75"/>
        <v>Female BB RS-550 -5</v>
      </c>
      <c r="E1048" s="132">
        <v>1</v>
      </c>
      <c r="F1048" s="132">
        <v>1</v>
      </c>
      <c r="G1048" s="132">
        <v>1</v>
      </c>
      <c r="H1048" s="132">
        <v>1</v>
      </c>
      <c r="I1048" s="132">
        <v>1</v>
      </c>
    </row>
    <row r="1049" spans="1:9" ht="15" customHeight="1" x14ac:dyDescent="0.25">
      <c r="A1049" s="132" t="s">
        <v>249</v>
      </c>
      <c r="B1049" s="132" t="s">
        <v>326</v>
      </c>
      <c r="C1049" s="132">
        <v>-7</v>
      </c>
      <c r="D1049" s="132" t="str">
        <f t="shared" si="75"/>
        <v>Female BB RS-550 -7</v>
      </c>
      <c r="E1049" s="132">
        <v>1</v>
      </c>
      <c r="F1049" s="132">
        <v>1</v>
      </c>
      <c r="G1049" s="132">
        <v>1</v>
      </c>
      <c r="H1049" s="132">
        <v>0</v>
      </c>
      <c r="I1049" s="132">
        <v>1</v>
      </c>
    </row>
    <row r="1050" spans="1:9" ht="15" customHeight="1" x14ac:dyDescent="0.25">
      <c r="A1050" s="132" t="s">
        <v>249</v>
      </c>
      <c r="B1050" s="132" t="s">
        <v>326</v>
      </c>
      <c r="C1050" s="132">
        <v>-9</v>
      </c>
      <c r="D1050" s="132" t="str">
        <f t="shared" si="75"/>
        <v>Female BB RS-550 -9</v>
      </c>
      <c r="E1050" s="132">
        <v>1</v>
      </c>
      <c r="F1050" s="132">
        <v>1</v>
      </c>
      <c r="G1050" s="132">
        <v>0</v>
      </c>
      <c r="H1050" s="132">
        <v>0</v>
      </c>
      <c r="I1050" s="132">
        <v>1</v>
      </c>
    </row>
    <row r="1051" spans="1:9" ht="15" customHeight="1" x14ac:dyDescent="0.25">
      <c r="A1051" s="132" t="s">
        <v>249</v>
      </c>
      <c r="B1051" s="132" t="s">
        <v>326</v>
      </c>
      <c r="C1051" s="132">
        <v>-10</v>
      </c>
      <c r="D1051" s="132" t="str">
        <f t="shared" si="75"/>
        <v>Female BB RS-550 -10</v>
      </c>
      <c r="E1051" s="132">
        <v>1</v>
      </c>
      <c r="F1051" s="132">
        <v>1</v>
      </c>
      <c r="G1051" s="132">
        <v>0</v>
      </c>
      <c r="H1051" s="132">
        <v>0</v>
      </c>
      <c r="I1051" s="132">
        <v>1</v>
      </c>
    </row>
    <row r="1052" spans="1:9" ht="15" customHeight="1" x14ac:dyDescent="0.25">
      <c r="A1052" s="132" t="s">
        <v>249</v>
      </c>
      <c r="B1052" s="132" t="s">
        <v>326</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249</v>
      </c>
      <c r="B1053" s="132" t="s">
        <v>326</v>
      </c>
      <c r="C1053" s="132">
        <v>12</v>
      </c>
      <c r="D1053" s="132" t="str">
        <f t="shared" si="76"/>
        <v>Female BB RS-550 12</v>
      </c>
      <c r="E1053" s="132">
        <v>10</v>
      </c>
      <c r="F1053" s="132">
        <v>7</v>
      </c>
      <c r="G1053" s="132">
        <v>0</v>
      </c>
      <c r="H1053" s="132">
        <v>0</v>
      </c>
      <c r="I1053" s="132">
        <v>7</v>
      </c>
    </row>
    <row r="1054" spans="1:9" ht="15" customHeight="1" x14ac:dyDescent="0.25">
      <c r="A1054" s="132" t="s">
        <v>249</v>
      </c>
      <c r="B1054" s="132" t="s">
        <v>326</v>
      </c>
      <c r="C1054" s="132">
        <v>15</v>
      </c>
      <c r="D1054" s="132" t="str">
        <f t="shared" si="76"/>
        <v>Female BB RS-550 15</v>
      </c>
      <c r="E1054" s="132">
        <v>10</v>
      </c>
      <c r="F1054" s="132">
        <v>5</v>
      </c>
      <c r="G1054" s="132">
        <v>0</v>
      </c>
      <c r="H1054" s="132">
        <v>0</v>
      </c>
      <c r="I1054" s="132">
        <v>5</v>
      </c>
    </row>
    <row r="1055" spans="1:9" ht="15" customHeight="1" x14ac:dyDescent="0.25">
      <c r="A1055" s="132" t="s">
        <v>249</v>
      </c>
      <c r="B1055" s="132" t="s">
        <v>326</v>
      </c>
      <c r="C1055" s="132">
        <v>16</v>
      </c>
      <c r="D1055" s="132" t="str">
        <f t="shared" si="76"/>
        <v>Female BB RS-550 16</v>
      </c>
      <c r="E1055" s="132">
        <v>10</v>
      </c>
      <c r="F1055" s="132">
        <v>5</v>
      </c>
      <c r="G1055" s="132">
        <v>0</v>
      </c>
      <c r="H1055" s="132">
        <v>0</v>
      </c>
      <c r="I1055" s="132">
        <v>5</v>
      </c>
    </row>
    <row r="1056" spans="1:9" ht="15" customHeight="1" x14ac:dyDescent="0.25">
      <c r="A1056" s="132" t="s">
        <v>249</v>
      </c>
      <c r="B1056" s="132" t="s">
        <v>326</v>
      </c>
      <c r="C1056" s="132">
        <v>20</v>
      </c>
      <c r="D1056" s="132" t="str">
        <f t="shared" si="76"/>
        <v>Female BB RS-550 20</v>
      </c>
      <c r="E1056" s="132">
        <v>9</v>
      </c>
      <c r="F1056" s="132">
        <v>5</v>
      </c>
      <c r="G1056" s="132">
        <v>0</v>
      </c>
      <c r="H1056" s="132">
        <v>0</v>
      </c>
      <c r="I1056" s="132">
        <v>4</v>
      </c>
    </row>
    <row r="1057" spans="1:9" ht="15" customHeight="1" x14ac:dyDescent="0.25">
      <c r="A1057" s="132" t="s">
        <v>249</v>
      </c>
      <c r="B1057" s="132" t="s">
        <v>326</v>
      </c>
      <c r="C1057" s="132">
        <v>21</v>
      </c>
      <c r="D1057" s="132" t="str">
        <f t="shared" si="76"/>
        <v>Female BB RS-550 21</v>
      </c>
      <c r="E1057" s="132">
        <v>9</v>
      </c>
      <c r="F1057" s="132">
        <v>5</v>
      </c>
      <c r="G1057" s="132">
        <v>0</v>
      </c>
      <c r="H1057" s="132">
        <v>0</v>
      </c>
      <c r="I1057" s="132">
        <v>4</v>
      </c>
    </row>
    <row r="1058" spans="1:9" ht="15" customHeight="1" x14ac:dyDescent="0.25">
      <c r="A1058" s="132" t="s">
        <v>249</v>
      </c>
      <c r="B1058" s="132" t="s">
        <v>326</v>
      </c>
      <c r="C1058" s="132">
        <v>25</v>
      </c>
      <c r="D1058" s="132" t="str">
        <f t="shared" si="76"/>
        <v>Female BB RS-550 25</v>
      </c>
      <c r="E1058" s="132">
        <v>7</v>
      </c>
      <c r="F1058" s="132">
        <v>5</v>
      </c>
      <c r="G1058" s="132">
        <v>0</v>
      </c>
      <c r="H1058" s="132">
        <v>0</v>
      </c>
      <c r="I1058" s="132">
        <v>3</v>
      </c>
    </row>
    <row r="1059" spans="1:9" ht="15" customHeight="1" x14ac:dyDescent="0.25">
      <c r="A1059" s="132" t="s">
        <v>249</v>
      </c>
      <c r="B1059" s="132" t="s">
        <v>326</v>
      </c>
      <c r="C1059" s="132">
        <v>27</v>
      </c>
      <c r="D1059" s="132" t="str">
        <f t="shared" si="76"/>
        <v>Female BB RS-550 27</v>
      </c>
      <c r="E1059" s="132">
        <v>7</v>
      </c>
      <c r="F1059" s="132">
        <v>5</v>
      </c>
      <c r="G1059" s="132">
        <v>0</v>
      </c>
      <c r="H1059" s="132">
        <v>0</v>
      </c>
      <c r="I1059" s="132">
        <v>3</v>
      </c>
    </row>
    <row r="1060" spans="1:9" ht="15" customHeight="1" x14ac:dyDescent="0.25">
      <c r="A1060" s="132" t="s">
        <v>249</v>
      </c>
      <c r="B1060" s="132" t="s">
        <v>326</v>
      </c>
      <c r="C1060" s="132">
        <v>28</v>
      </c>
      <c r="D1060" s="132" t="str">
        <f t="shared" si="76"/>
        <v>Female BB RS-550 28</v>
      </c>
      <c r="E1060" s="132">
        <v>7</v>
      </c>
      <c r="F1060" s="132">
        <v>5</v>
      </c>
      <c r="G1060" s="132">
        <v>0</v>
      </c>
      <c r="H1060" s="132">
        <v>0</v>
      </c>
      <c r="I1060" s="132">
        <v>3</v>
      </c>
    </row>
    <row r="1061" spans="1:9" ht="15" customHeight="1" x14ac:dyDescent="0.25">
      <c r="A1061" s="132" t="s">
        <v>249</v>
      </c>
      <c r="B1061" s="132" t="s">
        <v>326</v>
      </c>
      <c r="C1061" s="132">
        <v>30</v>
      </c>
      <c r="D1061" s="132" t="str">
        <f t="shared" si="76"/>
        <v>Female BB RS-550 30</v>
      </c>
      <c r="E1061" s="132">
        <v>5</v>
      </c>
      <c r="F1061" s="132">
        <v>5</v>
      </c>
      <c r="G1061" s="132">
        <v>0</v>
      </c>
      <c r="H1061" s="132">
        <v>0</v>
      </c>
      <c r="I1061" s="132">
        <v>3</v>
      </c>
    </row>
    <row r="1062" spans="1:9" ht="15" customHeight="1" x14ac:dyDescent="0.25">
      <c r="A1062" s="132" t="s">
        <v>249</v>
      </c>
      <c r="B1062" s="132" t="s">
        <v>326</v>
      </c>
      <c r="C1062" s="132">
        <v>35</v>
      </c>
      <c r="D1062" s="132" t="str">
        <f t="shared" si="76"/>
        <v>Female BB RS-550 35</v>
      </c>
      <c r="E1062" s="132">
        <v>5</v>
      </c>
      <c r="F1062" s="132">
        <v>4</v>
      </c>
      <c r="G1062" s="132">
        <v>0</v>
      </c>
      <c r="H1062" s="132">
        <v>0</v>
      </c>
      <c r="I1062" s="132">
        <v>1</v>
      </c>
    </row>
    <row r="1063" spans="1:9" ht="15" customHeight="1" x14ac:dyDescent="0.25">
      <c r="A1063" s="132" t="s">
        <v>249</v>
      </c>
      <c r="B1063" s="132" t="s">
        <v>326</v>
      </c>
      <c r="C1063" s="132">
        <v>36</v>
      </c>
      <c r="D1063" s="132" t="str">
        <f t="shared" si="76"/>
        <v>Female BB RS-550 36</v>
      </c>
      <c r="E1063" s="132">
        <v>5</v>
      </c>
      <c r="F1063" s="132">
        <v>4</v>
      </c>
      <c r="G1063" s="132">
        <v>0</v>
      </c>
      <c r="H1063" s="132">
        <v>0</v>
      </c>
      <c r="I1063" s="132">
        <v>1</v>
      </c>
    </row>
    <row r="1064" spans="1:9" ht="15" customHeight="1" x14ac:dyDescent="0.25">
      <c r="A1064" s="132" t="s">
        <v>249</v>
      </c>
      <c r="B1064" s="132" t="s">
        <v>326</v>
      </c>
      <c r="C1064" s="132">
        <v>40</v>
      </c>
      <c r="D1064" s="132" t="str">
        <f t="shared" si="76"/>
        <v>Female BB RS-550 40</v>
      </c>
      <c r="E1064" s="132">
        <v>5</v>
      </c>
      <c r="F1064" s="132">
        <v>3</v>
      </c>
      <c r="G1064" s="132">
        <v>0</v>
      </c>
      <c r="H1064" s="132">
        <v>0</v>
      </c>
      <c r="I1064" s="132">
        <v>1</v>
      </c>
    </row>
    <row r="1065" spans="1:9" ht="15" customHeight="1" x14ac:dyDescent="0.25">
      <c r="A1065" s="132" t="s">
        <v>249</v>
      </c>
      <c r="B1065" s="132" t="s">
        <v>326</v>
      </c>
      <c r="C1065" s="132">
        <v>45</v>
      </c>
      <c r="D1065" s="132" t="str">
        <f t="shared" si="76"/>
        <v>Female BB RS-550 45</v>
      </c>
      <c r="E1065" s="132">
        <v>5</v>
      </c>
      <c r="F1065" s="132">
        <v>3</v>
      </c>
      <c r="G1065" s="132">
        <v>0</v>
      </c>
      <c r="H1065" s="132">
        <v>0</v>
      </c>
      <c r="I1065" s="132">
        <v>1</v>
      </c>
    </row>
    <row r="1066" spans="1:9" ht="15" customHeight="1" x14ac:dyDescent="0.25">
      <c r="A1066" s="132" t="s">
        <v>249</v>
      </c>
      <c r="B1066" s="132" t="s">
        <v>326</v>
      </c>
      <c r="C1066" s="132">
        <v>49</v>
      </c>
      <c r="D1066" s="132" t="str">
        <f t="shared" si="76"/>
        <v>Female BB RS-550 49</v>
      </c>
      <c r="E1066" s="132">
        <v>5</v>
      </c>
      <c r="F1066" s="132">
        <v>3</v>
      </c>
      <c r="G1066" s="132">
        <v>0</v>
      </c>
      <c r="H1066" s="132">
        <v>0</v>
      </c>
      <c r="I1066" s="132">
        <v>1</v>
      </c>
    </row>
    <row r="1067" spans="1:9" ht="15" customHeight="1" x14ac:dyDescent="0.25">
      <c r="A1067" s="132" t="s">
        <v>249</v>
      </c>
      <c r="B1067" s="132" t="s">
        <v>326</v>
      </c>
      <c r="C1067" s="132">
        <v>50</v>
      </c>
      <c r="D1067" s="132" t="str">
        <f t="shared" si="76"/>
        <v>Female BB RS-550 50</v>
      </c>
      <c r="E1067" s="132">
        <v>5</v>
      </c>
      <c r="F1067" s="132">
        <v>3</v>
      </c>
      <c r="G1067" s="132">
        <v>0</v>
      </c>
      <c r="H1067" s="132">
        <v>0</v>
      </c>
      <c r="I1067" s="132">
        <v>1</v>
      </c>
    </row>
    <row r="1068" spans="1:9" ht="15" customHeight="1" x14ac:dyDescent="0.25">
      <c r="A1068" s="132" t="s">
        <v>249</v>
      </c>
      <c r="B1068" s="132" t="s">
        <v>326</v>
      </c>
      <c r="C1068" s="132">
        <v>63</v>
      </c>
      <c r="D1068" s="132" t="str">
        <f t="shared" si="76"/>
        <v>Female BB RS-550 63</v>
      </c>
      <c r="E1068" s="132">
        <v>4</v>
      </c>
      <c r="F1068" s="132">
        <v>1</v>
      </c>
      <c r="G1068" s="132">
        <v>0</v>
      </c>
      <c r="H1068" s="132">
        <v>0</v>
      </c>
      <c r="I1068" s="132">
        <v>1</v>
      </c>
    </row>
    <row r="1069" spans="1:9" ht="15" customHeight="1" x14ac:dyDescent="0.25">
      <c r="A1069" s="132" t="s">
        <v>249</v>
      </c>
      <c r="B1069" s="132" t="s">
        <v>326</v>
      </c>
      <c r="C1069" s="132">
        <v>70</v>
      </c>
      <c r="D1069" s="132" t="str">
        <f t="shared" si="76"/>
        <v>Female BB RS-550 70</v>
      </c>
      <c r="E1069" s="132">
        <v>4</v>
      </c>
      <c r="F1069" s="132">
        <v>1</v>
      </c>
      <c r="G1069" s="132">
        <v>0</v>
      </c>
      <c r="H1069" s="132">
        <v>0</v>
      </c>
      <c r="I1069" s="132">
        <v>1</v>
      </c>
    </row>
    <row r="1070" spans="1:9" ht="15" customHeight="1" x14ac:dyDescent="0.25">
      <c r="A1070" s="132" t="s">
        <v>249</v>
      </c>
      <c r="B1070" s="132" t="s">
        <v>326</v>
      </c>
      <c r="C1070" s="132">
        <v>81</v>
      </c>
      <c r="D1070" s="132" t="str">
        <f t="shared" si="76"/>
        <v>Female BB RS-550 81</v>
      </c>
      <c r="E1070" s="132">
        <v>3</v>
      </c>
      <c r="F1070" s="132">
        <v>1</v>
      </c>
      <c r="G1070" s="132">
        <v>0</v>
      </c>
      <c r="H1070" s="132">
        <v>0</v>
      </c>
      <c r="I1070" s="132">
        <v>1</v>
      </c>
    </row>
    <row r="1071" spans="1:9" ht="15" customHeight="1" x14ac:dyDescent="0.25">
      <c r="A1071" s="132" t="s">
        <v>249</v>
      </c>
      <c r="B1071" s="132" t="s">
        <v>326</v>
      </c>
      <c r="C1071" s="132">
        <v>90</v>
      </c>
      <c r="D1071" s="132" t="str">
        <f t="shared" si="76"/>
        <v>Female BB RS-550 90</v>
      </c>
      <c r="E1071" s="132">
        <v>3</v>
      </c>
      <c r="F1071" s="132">
        <v>1</v>
      </c>
      <c r="G1071" s="132">
        <v>0</v>
      </c>
      <c r="H1071" s="132">
        <v>0</v>
      </c>
      <c r="I1071" s="132">
        <v>1</v>
      </c>
    </row>
    <row r="1072" spans="1:9" ht="15" customHeight="1" x14ac:dyDescent="0.25">
      <c r="A1072" s="132" t="s">
        <v>249</v>
      </c>
      <c r="B1072" s="132" t="s">
        <v>326</v>
      </c>
      <c r="C1072" s="132">
        <v>100</v>
      </c>
      <c r="D1072" s="132" t="str">
        <f t="shared" si="76"/>
        <v>Female BB RS-550 100</v>
      </c>
      <c r="E1072" s="132">
        <v>3</v>
      </c>
      <c r="F1072" s="132">
        <v>0</v>
      </c>
      <c r="G1072" s="132">
        <v>0</v>
      </c>
      <c r="H1072" s="132">
        <v>0</v>
      </c>
      <c r="I1072" s="132">
        <v>0</v>
      </c>
    </row>
    <row r="1073" spans="1:9" ht="15" customHeight="1" x14ac:dyDescent="0.25">
      <c r="A1073" s="132" t="s">
        <v>249</v>
      </c>
      <c r="B1073" s="132" t="s">
        <v>327</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249</v>
      </c>
      <c r="B1074" s="132" t="s">
        <v>327</v>
      </c>
      <c r="C1074" s="132">
        <v>-4</v>
      </c>
      <c r="D1074" s="132" t="str">
        <f t="shared" si="77"/>
        <v>Female BB RS-775 -4</v>
      </c>
      <c r="E1074" s="132">
        <v>1</v>
      </c>
      <c r="F1074" s="132">
        <v>1</v>
      </c>
      <c r="G1074" s="132">
        <v>1</v>
      </c>
      <c r="H1074" s="132">
        <v>0</v>
      </c>
      <c r="I1074" s="132">
        <v>1</v>
      </c>
    </row>
    <row r="1075" spans="1:9" ht="15" customHeight="1" x14ac:dyDescent="0.25">
      <c r="A1075" s="132" t="s">
        <v>249</v>
      </c>
      <c r="B1075" s="132" t="s">
        <v>327</v>
      </c>
      <c r="C1075" s="132">
        <v>-5</v>
      </c>
      <c r="D1075" s="132" t="str">
        <f t="shared" si="77"/>
        <v>Female BB RS-775 -5</v>
      </c>
      <c r="E1075" s="132">
        <v>1</v>
      </c>
      <c r="F1075" s="132">
        <v>1</v>
      </c>
      <c r="G1075" s="132">
        <v>1</v>
      </c>
      <c r="H1075" s="132">
        <v>0</v>
      </c>
      <c r="I1075" s="132">
        <v>1</v>
      </c>
    </row>
    <row r="1076" spans="1:9" ht="15" customHeight="1" x14ac:dyDescent="0.25">
      <c r="A1076" s="132" t="s">
        <v>249</v>
      </c>
      <c r="B1076" s="132" t="s">
        <v>327</v>
      </c>
      <c r="C1076" s="132">
        <v>-7</v>
      </c>
      <c r="D1076" s="132" t="str">
        <f t="shared" si="77"/>
        <v>Female BB RS-775 -7</v>
      </c>
      <c r="E1076" s="132">
        <v>1</v>
      </c>
      <c r="F1076" s="132">
        <v>1</v>
      </c>
      <c r="G1076" s="132">
        <v>0</v>
      </c>
      <c r="H1076" s="132">
        <v>0</v>
      </c>
      <c r="I1076" s="132">
        <v>1</v>
      </c>
    </row>
    <row r="1077" spans="1:9" ht="15" customHeight="1" x14ac:dyDescent="0.25">
      <c r="A1077" s="132" t="s">
        <v>249</v>
      </c>
      <c r="B1077" s="132" t="s">
        <v>327</v>
      </c>
      <c r="C1077" s="132">
        <v>-9</v>
      </c>
      <c r="D1077" s="132" t="str">
        <f t="shared" si="77"/>
        <v>Female BB RS-775 -9</v>
      </c>
      <c r="E1077" s="132">
        <v>1</v>
      </c>
      <c r="F1077" s="132">
        <v>1</v>
      </c>
      <c r="G1077" s="132">
        <v>0</v>
      </c>
      <c r="H1077" s="132">
        <v>0</v>
      </c>
      <c r="I1077" s="132">
        <v>1</v>
      </c>
    </row>
    <row r="1078" spans="1:9" ht="15" customHeight="1" x14ac:dyDescent="0.25">
      <c r="A1078" s="132" t="s">
        <v>249</v>
      </c>
      <c r="B1078" s="132" t="s">
        <v>327</v>
      </c>
      <c r="C1078" s="132">
        <v>-10</v>
      </c>
      <c r="D1078" s="132" t="str">
        <f t="shared" si="77"/>
        <v>Female BB RS-775 -10</v>
      </c>
      <c r="E1078" s="132">
        <v>1</v>
      </c>
      <c r="F1078" s="132">
        <v>1</v>
      </c>
      <c r="G1078" s="132">
        <v>0</v>
      </c>
      <c r="H1078" s="132">
        <v>0</v>
      </c>
      <c r="I1078" s="132">
        <v>1</v>
      </c>
    </row>
    <row r="1079" spans="1:9" ht="15" customHeight="1" x14ac:dyDescent="0.25">
      <c r="A1079" s="132" t="s">
        <v>249</v>
      </c>
      <c r="B1079" s="132" t="s">
        <v>327</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249</v>
      </c>
      <c r="B1080" s="132" t="s">
        <v>327</v>
      </c>
      <c r="C1080" s="132">
        <v>12</v>
      </c>
      <c r="D1080" s="132" t="str">
        <f t="shared" si="78"/>
        <v>Female BB RS-775 12</v>
      </c>
      <c r="E1080" s="132">
        <v>10</v>
      </c>
      <c r="F1080" s="132">
        <v>5</v>
      </c>
      <c r="G1080" s="132">
        <v>0</v>
      </c>
      <c r="H1080" s="132">
        <v>0</v>
      </c>
      <c r="I1080" s="132">
        <v>10</v>
      </c>
    </row>
    <row r="1081" spans="1:9" ht="15" customHeight="1" x14ac:dyDescent="0.25">
      <c r="A1081" s="132" t="s">
        <v>249</v>
      </c>
      <c r="B1081" s="132" t="s">
        <v>327</v>
      </c>
      <c r="C1081" s="132">
        <v>15</v>
      </c>
      <c r="D1081" s="132" t="str">
        <f t="shared" si="78"/>
        <v>Female BB RS-775 15</v>
      </c>
      <c r="E1081" s="132">
        <v>10</v>
      </c>
      <c r="F1081" s="132">
        <v>5</v>
      </c>
      <c r="G1081" s="132">
        <v>0</v>
      </c>
      <c r="H1081" s="132">
        <v>0</v>
      </c>
      <c r="I1081" s="132">
        <v>7</v>
      </c>
    </row>
    <row r="1082" spans="1:9" ht="15" customHeight="1" x14ac:dyDescent="0.25">
      <c r="A1082" s="132" t="s">
        <v>249</v>
      </c>
      <c r="B1082" s="132" t="s">
        <v>327</v>
      </c>
      <c r="C1082" s="132">
        <v>16</v>
      </c>
      <c r="D1082" s="132" t="str">
        <f t="shared" si="78"/>
        <v>Female BB RS-775 16</v>
      </c>
      <c r="E1082" s="132">
        <v>10</v>
      </c>
      <c r="F1082" s="132">
        <v>5</v>
      </c>
      <c r="G1082" s="132">
        <v>0</v>
      </c>
      <c r="H1082" s="132">
        <v>0</v>
      </c>
      <c r="I1082" s="132">
        <v>7</v>
      </c>
    </row>
    <row r="1083" spans="1:9" ht="15" customHeight="1" x14ac:dyDescent="0.25">
      <c r="A1083" s="132" t="s">
        <v>249</v>
      </c>
      <c r="B1083" s="132" t="s">
        <v>327</v>
      </c>
      <c r="C1083" s="132">
        <v>20</v>
      </c>
      <c r="D1083" s="132" t="str">
        <f t="shared" si="78"/>
        <v>Female BB RS-775 20</v>
      </c>
      <c r="E1083" s="132">
        <v>10</v>
      </c>
      <c r="F1083" s="132">
        <v>4</v>
      </c>
      <c r="G1083" s="132">
        <v>0</v>
      </c>
      <c r="H1083" s="132">
        <v>0</v>
      </c>
      <c r="I1083" s="132">
        <v>5</v>
      </c>
    </row>
    <row r="1084" spans="1:9" ht="15" customHeight="1" x14ac:dyDescent="0.25">
      <c r="A1084" s="132" t="s">
        <v>249</v>
      </c>
      <c r="B1084" s="132" t="s">
        <v>327</v>
      </c>
      <c r="C1084" s="132">
        <v>21</v>
      </c>
      <c r="D1084" s="132" t="str">
        <f t="shared" si="78"/>
        <v>Female BB RS-775 21</v>
      </c>
      <c r="E1084" s="132">
        <v>10</v>
      </c>
      <c r="F1084" s="132">
        <v>4</v>
      </c>
      <c r="G1084" s="132">
        <v>0</v>
      </c>
      <c r="H1084" s="132">
        <v>0</v>
      </c>
      <c r="I1084" s="132">
        <v>5</v>
      </c>
    </row>
    <row r="1085" spans="1:9" ht="15" customHeight="1" x14ac:dyDescent="0.25">
      <c r="A1085" s="132" t="s">
        <v>249</v>
      </c>
      <c r="B1085" s="132" t="s">
        <v>327</v>
      </c>
      <c r="C1085" s="132">
        <v>25</v>
      </c>
      <c r="D1085" s="132" t="str">
        <f t="shared" si="78"/>
        <v>Female BB RS-775 25</v>
      </c>
      <c r="E1085" s="132">
        <v>7</v>
      </c>
      <c r="F1085" s="132">
        <v>3</v>
      </c>
      <c r="G1085" s="132">
        <v>0</v>
      </c>
      <c r="H1085" s="132">
        <v>0</v>
      </c>
      <c r="I1085" s="132">
        <v>5</v>
      </c>
    </row>
    <row r="1086" spans="1:9" ht="15" customHeight="1" x14ac:dyDescent="0.25">
      <c r="A1086" s="132" t="s">
        <v>249</v>
      </c>
      <c r="B1086" s="132" t="s">
        <v>327</v>
      </c>
      <c r="C1086" s="132">
        <v>27</v>
      </c>
      <c r="D1086" s="132" t="str">
        <f t="shared" si="78"/>
        <v>Female BB RS-775 27</v>
      </c>
      <c r="E1086" s="132">
        <v>7</v>
      </c>
      <c r="F1086" s="132">
        <v>3</v>
      </c>
      <c r="G1086" s="132">
        <v>0</v>
      </c>
      <c r="H1086" s="132">
        <v>0</v>
      </c>
      <c r="I1086" s="132">
        <v>4</v>
      </c>
    </row>
    <row r="1087" spans="1:9" ht="15" customHeight="1" x14ac:dyDescent="0.25">
      <c r="A1087" s="132" t="s">
        <v>249</v>
      </c>
      <c r="B1087" s="132" t="s">
        <v>327</v>
      </c>
      <c r="C1087" s="132">
        <v>28</v>
      </c>
      <c r="D1087" s="132" t="str">
        <f t="shared" si="78"/>
        <v>Female BB RS-775 28</v>
      </c>
      <c r="E1087" s="132">
        <v>7</v>
      </c>
      <c r="F1087" s="132">
        <v>3</v>
      </c>
      <c r="G1087" s="132">
        <v>0</v>
      </c>
      <c r="H1087" s="132">
        <v>0</v>
      </c>
      <c r="I1087" s="132">
        <v>4</v>
      </c>
    </row>
    <row r="1088" spans="1:9" ht="15" customHeight="1" x14ac:dyDescent="0.25">
      <c r="A1088" s="132" t="s">
        <v>249</v>
      </c>
      <c r="B1088" s="132" t="s">
        <v>327</v>
      </c>
      <c r="C1088" s="132">
        <v>30</v>
      </c>
      <c r="D1088" s="132" t="str">
        <f t="shared" si="78"/>
        <v>Female BB RS-775 30</v>
      </c>
      <c r="E1088" s="132">
        <v>7</v>
      </c>
      <c r="F1088" s="132">
        <v>3</v>
      </c>
      <c r="G1088" s="132">
        <v>0</v>
      </c>
      <c r="H1088" s="132">
        <v>0</v>
      </c>
      <c r="I1088" s="132">
        <v>4</v>
      </c>
    </row>
    <row r="1089" spans="1:9" ht="15" customHeight="1" x14ac:dyDescent="0.25">
      <c r="A1089" s="132" t="s">
        <v>249</v>
      </c>
      <c r="B1089" s="132" t="s">
        <v>327</v>
      </c>
      <c r="C1089" s="132">
        <v>35</v>
      </c>
      <c r="D1089" s="132" t="str">
        <f t="shared" si="78"/>
        <v>Female BB RS-775 35</v>
      </c>
      <c r="E1089" s="132">
        <v>5</v>
      </c>
      <c r="F1089" s="132">
        <v>1</v>
      </c>
      <c r="G1089" s="132">
        <v>0</v>
      </c>
      <c r="H1089" s="132">
        <v>0</v>
      </c>
      <c r="I1089" s="132">
        <v>3</v>
      </c>
    </row>
    <row r="1090" spans="1:9" ht="15" customHeight="1" x14ac:dyDescent="0.25">
      <c r="A1090" s="132" t="s">
        <v>249</v>
      </c>
      <c r="B1090" s="132" t="s">
        <v>327</v>
      </c>
      <c r="C1090" s="132">
        <v>36</v>
      </c>
      <c r="D1090" s="132" t="str">
        <f t="shared" si="78"/>
        <v>Female BB RS-775 36</v>
      </c>
      <c r="E1090" s="132">
        <v>5</v>
      </c>
      <c r="F1090" s="132">
        <v>1</v>
      </c>
      <c r="G1090" s="132">
        <v>0</v>
      </c>
      <c r="H1090" s="132">
        <v>0</v>
      </c>
      <c r="I1090" s="132">
        <v>3</v>
      </c>
    </row>
    <row r="1091" spans="1:9" ht="15" customHeight="1" x14ac:dyDescent="0.25">
      <c r="A1091" s="132" t="s">
        <v>249</v>
      </c>
      <c r="B1091" s="132" t="s">
        <v>327</v>
      </c>
      <c r="C1091" s="132">
        <v>40</v>
      </c>
      <c r="D1091" s="132" t="str">
        <f t="shared" si="78"/>
        <v>Female BB RS-775 40</v>
      </c>
      <c r="E1091" s="132">
        <v>5</v>
      </c>
      <c r="F1091" s="132">
        <v>1</v>
      </c>
      <c r="G1091" s="132">
        <v>0</v>
      </c>
      <c r="H1091" s="132">
        <v>0</v>
      </c>
      <c r="I1091" s="132">
        <v>3</v>
      </c>
    </row>
    <row r="1092" spans="1:9" ht="15" customHeight="1" x14ac:dyDescent="0.25">
      <c r="A1092" s="132" t="s">
        <v>249</v>
      </c>
      <c r="B1092" s="132" t="s">
        <v>327</v>
      </c>
      <c r="C1092" s="132">
        <v>45</v>
      </c>
      <c r="D1092" s="132" t="str">
        <f t="shared" si="78"/>
        <v>Female BB RS-775 45</v>
      </c>
      <c r="E1092" s="132">
        <v>5</v>
      </c>
      <c r="F1092" s="132">
        <v>1</v>
      </c>
      <c r="G1092" s="132">
        <v>0</v>
      </c>
      <c r="H1092" s="132">
        <v>0</v>
      </c>
      <c r="I1092" s="132">
        <v>1</v>
      </c>
    </row>
    <row r="1093" spans="1:9" ht="15" customHeight="1" x14ac:dyDescent="0.25">
      <c r="A1093" s="132" t="s">
        <v>249</v>
      </c>
      <c r="B1093" s="132" t="s">
        <v>327</v>
      </c>
      <c r="C1093" s="132">
        <v>49</v>
      </c>
      <c r="D1093" s="132" t="str">
        <f t="shared" si="78"/>
        <v>Female BB RS-775 49</v>
      </c>
      <c r="E1093" s="132">
        <v>5</v>
      </c>
      <c r="F1093" s="132">
        <v>1</v>
      </c>
      <c r="G1093" s="132">
        <v>0</v>
      </c>
      <c r="H1093" s="132">
        <v>0</v>
      </c>
      <c r="I1093" s="132">
        <v>1</v>
      </c>
    </row>
    <row r="1094" spans="1:9" ht="15" customHeight="1" x14ac:dyDescent="0.25">
      <c r="A1094" s="132" t="s">
        <v>249</v>
      </c>
      <c r="B1094" s="132" t="s">
        <v>327</v>
      </c>
      <c r="C1094" s="132">
        <v>50</v>
      </c>
      <c r="D1094" s="132" t="str">
        <f t="shared" si="78"/>
        <v>Female BB RS-775 50</v>
      </c>
      <c r="E1094" s="132">
        <v>5</v>
      </c>
      <c r="F1094" s="132">
        <v>1</v>
      </c>
      <c r="G1094" s="132">
        <v>0</v>
      </c>
      <c r="H1094" s="132">
        <v>0</v>
      </c>
      <c r="I1094" s="132">
        <v>1</v>
      </c>
    </row>
    <row r="1095" spans="1:9" ht="15" customHeight="1" x14ac:dyDescent="0.25">
      <c r="A1095" s="132" t="s">
        <v>249</v>
      </c>
      <c r="B1095" s="132" t="s">
        <v>327</v>
      </c>
      <c r="C1095" s="132">
        <v>63</v>
      </c>
      <c r="D1095" s="132" t="str">
        <f t="shared" si="78"/>
        <v>Female BB RS-775 63</v>
      </c>
      <c r="E1095" s="132">
        <v>5</v>
      </c>
      <c r="F1095" s="132">
        <v>0</v>
      </c>
      <c r="G1095" s="132">
        <v>0</v>
      </c>
      <c r="H1095" s="132">
        <v>0</v>
      </c>
      <c r="I1095" s="132">
        <v>1</v>
      </c>
    </row>
    <row r="1096" spans="1:9" ht="15" customHeight="1" x14ac:dyDescent="0.25">
      <c r="A1096" s="132" t="s">
        <v>249</v>
      </c>
      <c r="B1096" s="132" t="s">
        <v>327</v>
      </c>
      <c r="C1096" s="132">
        <v>70</v>
      </c>
      <c r="D1096" s="132" t="str">
        <f t="shared" si="78"/>
        <v>Female BB RS-775 70</v>
      </c>
      <c r="E1096" s="132">
        <v>4</v>
      </c>
      <c r="F1096" s="132">
        <v>0</v>
      </c>
      <c r="G1096" s="132">
        <v>0</v>
      </c>
      <c r="H1096" s="132">
        <v>0</v>
      </c>
      <c r="I1096" s="132">
        <v>1</v>
      </c>
    </row>
    <row r="1097" spans="1:9" ht="15" customHeight="1" x14ac:dyDescent="0.25">
      <c r="A1097" s="132" t="s">
        <v>249</v>
      </c>
      <c r="B1097" s="132" t="s">
        <v>327</v>
      </c>
      <c r="C1097" s="132">
        <v>81</v>
      </c>
      <c r="D1097" s="132" t="str">
        <f t="shared" si="78"/>
        <v>Female BB RS-775 81</v>
      </c>
      <c r="E1097" s="132">
        <v>4</v>
      </c>
      <c r="F1097" s="132">
        <v>0</v>
      </c>
      <c r="G1097" s="132">
        <v>0</v>
      </c>
      <c r="H1097" s="132">
        <v>0</v>
      </c>
      <c r="I1097" s="132">
        <v>1</v>
      </c>
    </row>
    <row r="1098" spans="1:9" ht="15" customHeight="1" x14ac:dyDescent="0.25">
      <c r="A1098" s="132" t="s">
        <v>249</v>
      </c>
      <c r="B1098" s="132" t="s">
        <v>327</v>
      </c>
      <c r="C1098" s="132">
        <v>90</v>
      </c>
      <c r="D1098" s="132" t="str">
        <f t="shared" si="78"/>
        <v>Female BB RS-775 90</v>
      </c>
      <c r="E1098" s="132">
        <v>3</v>
      </c>
      <c r="F1098" s="132">
        <v>0</v>
      </c>
      <c r="G1098" s="132">
        <v>0</v>
      </c>
      <c r="H1098" s="132">
        <v>0</v>
      </c>
      <c r="I1098" s="132">
        <v>1</v>
      </c>
    </row>
    <row r="1099" spans="1:9" ht="15" customHeight="1" x14ac:dyDescent="0.25">
      <c r="A1099" s="132" t="s">
        <v>249</v>
      </c>
      <c r="B1099" s="132" t="s">
        <v>327</v>
      </c>
      <c r="C1099" s="132">
        <v>100</v>
      </c>
      <c r="D1099" s="132" t="str">
        <f t="shared" si="78"/>
        <v>Female BB RS-775 100</v>
      </c>
      <c r="E1099" s="132">
        <v>3</v>
      </c>
      <c r="F1099" s="132">
        <v>0</v>
      </c>
      <c r="G1099" s="132">
        <v>0</v>
      </c>
      <c r="H1099" s="132">
        <v>0</v>
      </c>
      <c r="I1099" s="132">
        <v>1</v>
      </c>
    </row>
    <row r="1100" spans="1:9" ht="15" customHeight="1" x14ac:dyDescent="0.25">
      <c r="A1100" s="132" t="s">
        <v>249</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249</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249</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249</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249</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249</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249</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249</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249</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249</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249</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249</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249</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249</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249</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249</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249</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249</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249</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249</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249</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249</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249</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249</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249</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249</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249</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249</v>
      </c>
      <c r="B1127" s="132" t="s">
        <v>255</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249</v>
      </c>
      <c r="B1128" s="132" t="s">
        <v>255</v>
      </c>
      <c r="C1128" s="132">
        <v>-4</v>
      </c>
      <c r="D1128" s="132" t="str">
        <f t="shared" si="81"/>
        <v>Female 775pro -4</v>
      </c>
      <c r="E1128" s="132">
        <v>1</v>
      </c>
      <c r="F1128" s="132">
        <v>1</v>
      </c>
      <c r="G1128" s="132">
        <v>1</v>
      </c>
      <c r="H1128" s="132">
        <v>0</v>
      </c>
      <c r="I1128" s="132">
        <v>1</v>
      </c>
    </row>
    <row r="1129" spans="1:9" ht="15" customHeight="1" x14ac:dyDescent="0.25">
      <c r="A1129" s="132" t="s">
        <v>249</v>
      </c>
      <c r="B1129" s="132" t="s">
        <v>255</v>
      </c>
      <c r="C1129" s="132">
        <v>-5</v>
      </c>
      <c r="D1129" s="132" t="str">
        <f t="shared" si="81"/>
        <v>Female 775pro -5</v>
      </c>
      <c r="E1129" s="132">
        <v>1</v>
      </c>
      <c r="F1129" s="132">
        <v>1</v>
      </c>
      <c r="G1129" s="132">
        <v>1</v>
      </c>
      <c r="H1129" s="132">
        <v>0</v>
      </c>
      <c r="I1129" s="132">
        <v>1</v>
      </c>
    </row>
    <row r="1130" spans="1:9" ht="15" customHeight="1" x14ac:dyDescent="0.25">
      <c r="A1130" s="132" t="s">
        <v>249</v>
      </c>
      <c r="B1130" s="132" t="s">
        <v>255</v>
      </c>
      <c r="C1130" s="132">
        <v>-7</v>
      </c>
      <c r="D1130" s="132" t="str">
        <f t="shared" si="81"/>
        <v>Female 775pro -7</v>
      </c>
      <c r="E1130" s="132">
        <v>1</v>
      </c>
      <c r="F1130" s="132">
        <v>1</v>
      </c>
      <c r="G1130" s="132">
        <v>0</v>
      </c>
      <c r="H1130" s="132">
        <v>0</v>
      </c>
      <c r="I1130" s="132">
        <v>1</v>
      </c>
    </row>
    <row r="1131" spans="1:9" ht="15" customHeight="1" x14ac:dyDescent="0.25">
      <c r="A1131" s="132" t="s">
        <v>249</v>
      </c>
      <c r="B1131" s="132" t="s">
        <v>255</v>
      </c>
      <c r="C1131" s="132">
        <v>-9</v>
      </c>
      <c r="D1131" s="132" t="str">
        <f t="shared" si="81"/>
        <v>Female 775pro -9</v>
      </c>
      <c r="E1131" s="132">
        <v>1</v>
      </c>
      <c r="F1131" s="132">
        <v>1</v>
      </c>
      <c r="G1131" s="132">
        <v>0</v>
      </c>
      <c r="H1131" s="132">
        <v>0</v>
      </c>
      <c r="I1131" s="132">
        <v>1</v>
      </c>
    </row>
    <row r="1132" spans="1:9" ht="15" customHeight="1" x14ac:dyDescent="0.25">
      <c r="A1132" s="132" t="s">
        <v>249</v>
      </c>
      <c r="B1132" s="132" t="s">
        <v>255</v>
      </c>
      <c r="C1132" s="132">
        <v>-10</v>
      </c>
      <c r="D1132" s="132" t="str">
        <f t="shared" si="81"/>
        <v>Female 775pro -10</v>
      </c>
      <c r="E1132" s="132">
        <v>1</v>
      </c>
      <c r="F1132" s="132">
        <v>1</v>
      </c>
      <c r="G1132" s="132">
        <v>0</v>
      </c>
      <c r="H1132" s="132">
        <v>0</v>
      </c>
      <c r="I1132" s="132">
        <v>1</v>
      </c>
    </row>
    <row r="1133" spans="1:9" ht="15" customHeight="1" x14ac:dyDescent="0.25">
      <c r="A1133" s="132" t="s">
        <v>249</v>
      </c>
      <c r="B1133" s="132" t="s">
        <v>255</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249</v>
      </c>
      <c r="B1134" s="132" t="s">
        <v>255</v>
      </c>
      <c r="C1134" s="132">
        <v>12</v>
      </c>
      <c r="D1134" s="132" t="str">
        <f t="shared" si="82"/>
        <v>Female 775pro 12</v>
      </c>
      <c r="E1134" s="132">
        <v>10</v>
      </c>
      <c r="F1134" s="132">
        <v>5</v>
      </c>
      <c r="G1134" s="132">
        <v>0</v>
      </c>
      <c r="H1134" s="132">
        <v>0</v>
      </c>
      <c r="I1134" s="132">
        <v>4</v>
      </c>
    </row>
    <row r="1135" spans="1:9" ht="15" customHeight="1" x14ac:dyDescent="0.25">
      <c r="A1135" s="132" t="s">
        <v>249</v>
      </c>
      <c r="B1135" s="132" t="s">
        <v>255</v>
      </c>
      <c r="C1135" s="132">
        <v>15</v>
      </c>
      <c r="D1135" s="132" t="str">
        <f t="shared" si="82"/>
        <v>Female 775pro 15</v>
      </c>
      <c r="E1135" s="132">
        <v>9</v>
      </c>
      <c r="F1135" s="132">
        <v>5</v>
      </c>
      <c r="G1135" s="132">
        <v>0</v>
      </c>
      <c r="H1135" s="132">
        <v>0</v>
      </c>
      <c r="I1135" s="132">
        <v>3</v>
      </c>
    </row>
    <row r="1136" spans="1:9" ht="15" customHeight="1" x14ac:dyDescent="0.25">
      <c r="A1136" s="132" t="s">
        <v>249</v>
      </c>
      <c r="B1136" s="132" t="s">
        <v>255</v>
      </c>
      <c r="C1136" s="132">
        <v>16</v>
      </c>
      <c r="D1136" s="132" t="str">
        <f t="shared" si="82"/>
        <v>Female 775pro 16</v>
      </c>
      <c r="E1136" s="132">
        <v>7</v>
      </c>
      <c r="F1136" s="132">
        <v>5</v>
      </c>
      <c r="G1136" s="132">
        <v>0</v>
      </c>
      <c r="H1136" s="132">
        <v>0</v>
      </c>
      <c r="I1136" s="132">
        <v>3</v>
      </c>
    </row>
    <row r="1137" spans="1:9" ht="15" customHeight="1" x14ac:dyDescent="0.25">
      <c r="A1137" s="132" t="s">
        <v>249</v>
      </c>
      <c r="B1137" s="132" t="s">
        <v>255</v>
      </c>
      <c r="C1137" s="132">
        <v>20</v>
      </c>
      <c r="D1137" s="132" t="str">
        <f t="shared" si="82"/>
        <v>Female 775pro 20</v>
      </c>
      <c r="E1137" s="132">
        <v>5</v>
      </c>
      <c r="F1137" s="132">
        <v>5</v>
      </c>
      <c r="G1137" s="132">
        <v>0</v>
      </c>
      <c r="H1137" s="132">
        <v>0</v>
      </c>
      <c r="I1137" s="132">
        <v>1</v>
      </c>
    </row>
    <row r="1138" spans="1:9" ht="15" customHeight="1" x14ac:dyDescent="0.25">
      <c r="A1138" s="132" t="s">
        <v>249</v>
      </c>
      <c r="B1138" s="132" t="s">
        <v>255</v>
      </c>
      <c r="C1138" s="132">
        <v>21</v>
      </c>
      <c r="D1138" s="132" t="str">
        <f t="shared" si="82"/>
        <v>Female 775pro 21</v>
      </c>
      <c r="E1138" s="132">
        <v>5</v>
      </c>
      <c r="F1138" s="132">
        <v>5</v>
      </c>
      <c r="G1138" s="132">
        <v>0</v>
      </c>
      <c r="H1138" s="132">
        <v>0</v>
      </c>
      <c r="I1138" s="132">
        <v>1</v>
      </c>
    </row>
    <row r="1139" spans="1:9" ht="15" customHeight="1" x14ac:dyDescent="0.25">
      <c r="A1139" s="132" t="s">
        <v>249</v>
      </c>
      <c r="B1139" s="132" t="s">
        <v>255</v>
      </c>
      <c r="C1139" s="132">
        <v>25</v>
      </c>
      <c r="D1139" s="132" t="str">
        <f t="shared" si="82"/>
        <v>Female 775pro 25</v>
      </c>
      <c r="E1139" s="132">
        <v>5</v>
      </c>
      <c r="F1139" s="132">
        <v>4</v>
      </c>
      <c r="G1139" s="132">
        <v>0</v>
      </c>
      <c r="H1139" s="132">
        <v>0</v>
      </c>
      <c r="I1139" s="132">
        <v>1</v>
      </c>
    </row>
    <row r="1140" spans="1:9" ht="15" customHeight="1" x14ac:dyDescent="0.25">
      <c r="A1140" s="132" t="s">
        <v>249</v>
      </c>
      <c r="B1140" s="132" t="s">
        <v>255</v>
      </c>
      <c r="C1140" s="132">
        <v>27</v>
      </c>
      <c r="D1140" s="132" t="str">
        <f t="shared" si="82"/>
        <v>Female 775pro 27</v>
      </c>
      <c r="E1140" s="132">
        <v>5</v>
      </c>
      <c r="F1140" s="132">
        <v>4</v>
      </c>
      <c r="G1140" s="132">
        <v>0</v>
      </c>
      <c r="H1140" s="132">
        <v>0</v>
      </c>
      <c r="I1140" s="132">
        <v>1</v>
      </c>
    </row>
    <row r="1141" spans="1:9" ht="15" customHeight="1" x14ac:dyDescent="0.25">
      <c r="A1141" s="132" t="s">
        <v>249</v>
      </c>
      <c r="B1141" s="132" t="s">
        <v>255</v>
      </c>
      <c r="C1141" s="132">
        <v>28</v>
      </c>
      <c r="D1141" s="132" t="str">
        <f t="shared" si="82"/>
        <v>Female 775pro 28</v>
      </c>
      <c r="E1141" s="132">
        <v>5</v>
      </c>
      <c r="F1141" s="132">
        <v>3</v>
      </c>
      <c r="G1141" s="132">
        <v>0</v>
      </c>
      <c r="H1141" s="132">
        <v>0</v>
      </c>
      <c r="I1141" s="132">
        <v>1</v>
      </c>
    </row>
    <row r="1142" spans="1:9" ht="15" customHeight="1" x14ac:dyDescent="0.25">
      <c r="A1142" s="132" t="s">
        <v>249</v>
      </c>
      <c r="B1142" s="132" t="s">
        <v>255</v>
      </c>
      <c r="C1142" s="132">
        <v>30</v>
      </c>
      <c r="D1142" s="132" t="str">
        <f t="shared" si="82"/>
        <v>Female 775pro 30</v>
      </c>
      <c r="E1142" s="132">
        <v>5</v>
      </c>
      <c r="F1142" s="132">
        <v>3</v>
      </c>
      <c r="G1142" s="132">
        <v>0</v>
      </c>
      <c r="H1142" s="132">
        <v>0</v>
      </c>
      <c r="I1142" s="132">
        <v>1</v>
      </c>
    </row>
    <row r="1143" spans="1:9" ht="15" customHeight="1" x14ac:dyDescent="0.25">
      <c r="A1143" s="132" t="s">
        <v>249</v>
      </c>
      <c r="B1143" s="132" t="s">
        <v>255</v>
      </c>
      <c r="C1143" s="132">
        <v>35</v>
      </c>
      <c r="D1143" s="132" t="str">
        <f t="shared" si="82"/>
        <v>Female 775pro 35</v>
      </c>
      <c r="E1143" s="132">
        <v>5</v>
      </c>
      <c r="F1143" s="132">
        <v>3</v>
      </c>
      <c r="G1143" s="132">
        <v>0</v>
      </c>
      <c r="H1143" s="132">
        <v>0</v>
      </c>
      <c r="I1143" s="132">
        <v>1</v>
      </c>
    </row>
    <row r="1144" spans="1:9" ht="15" customHeight="1" x14ac:dyDescent="0.25">
      <c r="A1144" s="132" t="s">
        <v>249</v>
      </c>
      <c r="B1144" s="132" t="s">
        <v>255</v>
      </c>
      <c r="C1144" s="132">
        <v>36</v>
      </c>
      <c r="D1144" s="132" t="str">
        <f t="shared" si="82"/>
        <v>Female 775pro 36</v>
      </c>
      <c r="E1144" s="132">
        <v>5</v>
      </c>
      <c r="F1144" s="132">
        <v>3</v>
      </c>
      <c r="G1144" s="132">
        <v>0</v>
      </c>
      <c r="H1144" s="132">
        <v>0</v>
      </c>
      <c r="I1144" s="132">
        <v>1</v>
      </c>
    </row>
    <row r="1145" spans="1:9" ht="15" customHeight="1" x14ac:dyDescent="0.25">
      <c r="A1145" s="132" t="s">
        <v>249</v>
      </c>
      <c r="B1145" s="132" t="s">
        <v>255</v>
      </c>
      <c r="C1145" s="132">
        <v>40</v>
      </c>
      <c r="D1145" s="132" t="str">
        <f t="shared" si="82"/>
        <v>Female 775pro 40</v>
      </c>
      <c r="E1145" s="132">
        <v>5</v>
      </c>
      <c r="F1145" s="132">
        <v>1</v>
      </c>
      <c r="G1145" s="132">
        <v>0</v>
      </c>
      <c r="H1145" s="132">
        <v>0</v>
      </c>
      <c r="I1145" s="132">
        <v>1</v>
      </c>
    </row>
    <row r="1146" spans="1:9" ht="15" customHeight="1" x14ac:dyDescent="0.25">
      <c r="A1146" s="132" t="s">
        <v>249</v>
      </c>
      <c r="B1146" s="132" t="s">
        <v>255</v>
      </c>
      <c r="C1146" s="132">
        <v>45</v>
      </c>
      <c r="D1146" s="132" t="str">
        <f t="shared" si="82"/>
        <v>Female 775pro 45</v>
      </c>
      <c r="E1146" s="132">
        <v>4</v>
      </c>
      <c r="F1146" s="132">
        <v>1</v>
      </c>
      <c r="G1146" s="132">
        <v>0</v>
      </c>
      <c r="H1146" s="132">
        <v>0</v>
      </c>
      <c r="I1146" s="132">
        <v>1</v>
      </c>
    </row>
    <row r="1147" spans="1:9" ht="15" customHeight="1" x14ac:dyDescent="0.25">
      <c r="A1147" s="132" t="s">
        <v>249</v>
      </c>
      <c r="B1147" s="132" t="s">
        <v>255</v>
      </c>
      <c r="C1147" s="132">
        <v>49</v>
      </c>
      <c r="D1147" s="132" t="str">
        <f t="shared" si="82"/>
        <v>Female 775pro 49</v>
      </c>
      <c r="E1147" s="132">
        <v>4</v>
      </c>
      <c r="F1147" s="132">
        <v>1</v>
      </c>
      <c r="G1147" s="132">
        <v>0</v>
      </c>
      <c r="H1147" s="132">
        <v>0</v>
      </c>
      <c r="I1147" s="132">
        <v>1</v>
      </c>
    </row>
    <row r="1148" spans="1:9" ht="15" customHeight="1" x14ac:dyDescent="0.25">
      <c r="A1148" s="132" t="s">
        <v>249</v>
      </c>
      <c r="B1148" s="132" t="s">
        <v>255</v>
      </c>
      <c r="C1148" s="132">
        <v>50</v>
      </c>
      <c r="D1148" s="132" t="str">
        <f t="shared" si="82"/>
        <v>Female 775pro 50</v>
      </c>
      <c r="E1148" s="132">
        <v>4</v>
      </c>
      <c r="F1148" s="132">
        <v>1</v>
      </c>
      <c r="G1148" s="132">
        <v>0</v>
      </c>
      <c r="H1148" s="132">
        <v>0</v>
      </c>
      <c r="I1148" s="132">
        <v>0</v>
      </c>
    </row>
    <row r="1149" spans="1:9" ht="15" customHeight="1" x14ac:dyDescent="0.25">
      <c r="A1149" s="132" t="s">
        <v>249</v>
      </c>
      <c r="B1149" s="132" t="s">
        <v>255</v>
      </c>
      <c r="C1149" s="132">
        <v>63</v>
      </c>
      <c r="D1149" s="132" t="str">
        <f t="shared" si="82"/>
        <v>Female 775pro 63</v>
      </c>
      <c r="E1149" s="132">
        <v>3</v>
      </c>
      <c r="F1149" s="132">
        <v>1</v>
      </c>
      <c r="G1149" s="132">
        <v>0</v>
      </c>
      <c r="H1149" s="132">
        <v>0</v>
      </c>
      <c r="I1149" s="132">
        <v>0</v>
      </c>
    </row>
    <row r="1150" spans="1:9" ht="15" customHeight="1" x14ac:dyDescent="0.25">
      <c r="A1150" s="132" t="s">
        <v>249</v>
      </c>
      <c r="B1150" s="132" t="s">
        <v>255</v>
      </c>
      <c r="C1150" s="132">
        <v>70</v>
      </c>
      <c r="D1150" s="132" t="str">
        <f t="shared" si="82"/>
        <v>Female 775pro 70</v>
      </c>
      <c r="E1150" s="132">
        <v>3</v>
      </c>
      <c r="F1150" s="132">
        <v>0</v>
      </c>
      <c r="G1150" s="132">
        <v>0</v>
      </c>
      <c r="H1150" s="132">
        <v>0</v>
      </c>
      <c r="I1150" s="132">
        <v>0</v>
      </c>
    </row>
    <row r="1151" spans="1:9" ht="15" customHeight="1" x14ac:dyDescent="0.25">
      <c r="A1151" s="132" t="s">
        <v>249</v>
      </c>
      <c r="B1151" s="132" t="s">
        <v>255</v>
      </c>
      <c r="C1151" s="132">
        <v>81</v>
      </c>
      <c r="D1151" s="132" t="str">
        <f t="shared" si="82"/>
        <v>Female 775pro 81</v>
      </c>
      <c r="E1151" s="132">
        <v>1</v>
      </c>
      <c r="F1151" s="132">
        <v>0</v>
      </c>
      <c r="G1151" s="132">
        <v>0</v>
      </c>
      <c r="H1151" s="132">
        <v>0</v>
      </c>
      <c r="I1151" s="132">
        <v>0</v>
      </c>
    </row>
    <row r="1152" spans="1:9" ht="15" customHeight="1" x14ac:dyDescent="0.25">
      <c r="A1152" s="132" t="s">
        <v>249</v>
      </c>
      <c r="B1152" s="132" t="s">
        <v>255</v>
      </c>
      <c r="C1152" s="132">
        <v>90</v>
      </c>
      <c r="D1152" s="132" t="str">
        <f t="shared" si="82"/>
        <v>Female 775pro 90</v>
      </c>
      <c r="E1152" s="132">
        <v>1</v>
      </c>
      <c r="F1152" s="132">
        <v>0</v>
      </c>
      <c r="G1152" s="132">
        <v>0</v>
      </c>
      <c r="H1152" s="132">
        <v>0</v>
      </c>
      <c r="I1152" s="132">
        <v>0</v>
      </c>
    </row>
    <row r="1153" spans="1:9" ht="15" customHeight="1" x14ac:dyDescent="0.25">
      <c r="A1153" s="132" t="s">
        <v>249</v>
      </c>
      <c r="B1153" s="132" t="s">
        <v>255</v>
      </c>
      <c r="C1153" s="132">
        <v>100</v>
      </c>
      <c r="D1153" s="132" t="str">
        <f t="shared" si="82"/>
        <v>Female 775pro 100</v>
      </c>
      <c r="E1153" s="132">
        <v>1</v>
      </c>
      <c r="F1153" s="132">
        <v>0</v>
      </c>
      <c r="G1153" s="132">
        <v>0</v>
      </c>
      <c r="H1153" s="132">
        <v>0</v>
      </c>
      <c r="I1153" s="132">
        <v>0</v>
      </c>
    </row>
    <row r="1154" spans="1:9" ht="15" customHeight="1" x14ac:dyDescent="0.25">
      <c r="A1154" s="132" t="s">
        <v>249</v>
      </c>
      <c r="B1154" s="132" t="s">
        <v>7</v>
      </c>
      <c r="C1154" s="132">
        <v>-3</v>
      </c>
      <c r="D1154" s="132" t="str">
        <f t="shared" ref="D1154:D1159" si="83">A1154&amp;" "&amp;B1154&amp;" "&amp;C1154</f>
        <v>Female Mini CIM -3</v>
      </c>
      <c r="E1154" s="132">
        <v>1</v>
      </c>
      <c r="I1154" s="132">
        <v>0</v>
      </c>
    </row>
    <row r="1155" spans="1:9" ht="15" customHeight="1" x14ac:dyDescent="0.25">
      <c r="A1155" s="132" t="s">
        <v>249</v>
      </c>
      <c r="B1155" s="132" t="s">
        <v>7</v>
      </c>
      <c r="C1155" s="132">
        <v>-4</v>
      </c>
      <c r="D1155" s="132" t="str">
        <f t="shared" si="83"/>
        <v>Female Mini CIM -4</v>
      </c>
      <c r="E1155" s="132">
        <v>1</v>
      </c>
      <c r="I1155" s="132">
        <v>0</v>
      </c>
    </row>
    <row r="1156" spans="1:9" ht="15" customHeight="1" x14ac:dyDescent="0.25">
      <c r="A1156" s="132" t="s">
        <v>249</v>
      </c>
      <c r="B1156" s="132" t="s">
        <v>7</v>
      </c>
      <c r="C1156" s="132">
        <v>-5</v>
      </c>
      <c r="D1156" s="132" t="str">
        <f t="shared" si="83"/>
        <v>Female Mini CIM -5</v>
      </c>
      <c r="E1156" s="132">
        <v>1</v>
      </c>
      <c r="I1156" s="132">
        <v>0</v>
      </c>
    </row>
    <row r="1157" spans="1:9" ht="15" customHeight="1" x14ac:dyDescent="0.25">
      <c r="A1157" s="132" t="s">
        <v>249</v>
      </c>
      <c r="B1157" s="132" t="s">
        <v>7</v>
      </c>
      <c r="C1157" s="132">
        <v>-7</v>
      </c>
      <c r="D1157" s="132" t="str">
        <f t="shared" si="83"/>
        <v>Female Mini CIM -7</v>
      </c>
      <c r="E1157" s="132">
        <v>1</v>
      </c>
      <c r="I1157" s="132">
        <v>0</v>
      </c>
    </row>
    <row r="1158" spans="1:9" ht="15" customHeight="1" x14ac:dyDescent="0.25">
      <c r="A1158" s="132" t="s">
        <v>249</v>
      </c>
      <c r="B1158" s="132" t="s">
        <v>7</v>
      </c>
      <c r="C1158" s="132">
        <v>-9</v>
      </c>
      <c r="D1158" s="132" t="str">
        <f t="shared" si="83"/>
        <v>Female Mini CIM -9</v>
      </c>
      <c r="E1158" s="132">
        <v>1</v>
      </c>
      <c r="I1158" s="132">
        <v>0</v>
      </c>
    </row>
    <row r="1159" spans="1:9" ht="15" customHeight="1" x14ac:dyDescent="0.25">
      <c r="A1159" s="132" t="s">
        <v>249</v>
      </c>
      <c r="B1159" s="132" t="s">
        <v>7</v>
      </c>
      <c r="C1159" s="132">
        <v>-10</v>
      </c>
      <c r="D1159" s="132" t="str">
        <f t="shared" si="83"/>
        <v>Female Mini CIM -10</v>
      </c>
      <c r="E1159" s="132">
        <v>1</v>
      </c>
      <c r="I1159" s="132">
        <v>0</v>
      </c>
    </row>
    <row r="1160" spans="1:9" ht="15" customHeight="1" x14ac:dyDescent="0.25">
      <c r="A1160" s="132" t="s">
        <v>249</v>
      </c>
      <c r="B1160" s="132" t="s">
        <v>7</v>
      </c>
      <c r="C1160" s="132">
        <v>9</v>
      </c>
      <c r="D1160" s="132" t="str">
        <f t="shared" ref="D1160:D1180" si="84">A1160&amp;" "&amp;B1160&amp;" "&amp;C1160</f>
        <v>Female Mini CIM 9</v>
      </c>
      <c r="E1160" s="132">
        <v>7</v>
      </c>
      <c r="I1160" s="132">
        <v>0</v>
      </c>
    </row>
    <row r="1161" spans="1:9" ht="15" customHeight="1" x14ac:dyDescent="0.25">
      <c r="A1161" s="132" t="s">
        <v>249</v>
      </c>
      <c r="B1161" s="132" t="s">
        <v>7</v>
      </c>
      <c r="C1161" s="132">
        <v>12</v>
      </c>
      <c r="D1161" s="132" t="str">
        <f t="shared" si="84"/>
        <v>Female Mini CIM 12</v>
      </c>
      <c r="E1161" s="132">
        <v>5</v>
      </c>
      <c r="I1161" s="132">
        <v>0</v>
      </c>
    </row>
    <row r="1162" spans="1:9" ht="15" customHeight="1" x14ac:dyDescent="0.25">
      <c r="A1162" s="132" t="s">
        <v>249</v>
      </c>
      <c r="B1162" s="132" t="s">
        <v>7</v>
      </c>
      <c r="C1162" s="132">
        <v>15</v>
      </c>
      <c r="D1162" s="132" t="str">
        <f t="shared" si="84"/>
        <v>Female Mini CIM 15</v>
      </c>
      <c r="E1162" s="132">
        <v>5</v>
      </c>
      <c r="I1162" s="132">
        <v>0</v>
      </c>
    </row>
    <row r="1163" spans="1:9" ht="15" customHeight="1" x14ac:dyDescent="0.25">
      <c r="A1163" s="132" t="s">
        <v>249</v>
      </c>
      <c r="B1163" s="132" t="s">
        <v>7</v>
      </c>
      <c r="C1163" s="132">
        <v>16</v>
      </c>
      <c r="D1163" s="132" t="str">
        <f t="shared" si="84"/>
        <v>Female Mini CIM 16</v>
      </c>
      <c r="E1163" s="132">
        <v>5</v>
      </c>
      <c r="I1163" s="132">
        <v>0</v>
      </c>
    </row>
    <row r="1164" spans="1:9" ht="15" customHeight="1" x14ac:dyDescent="0.25">
      <c r="A1164" s="132" t="s">
        <v>249</v>
      </c>
      <c r="B1164" s="132" t="s">
        <v>7</v>
      </c>
      <c r="C1164" s="132">
        <v>20</v>
      </c>
      <c r="D1164" s="132" t="str">
        <f t="shared" si="84"/>
        <v>Female Mini CIM 20</v>
      </c>
      <c r="E1164" s="132">
        <v>5</v>
      </c>
      <c r="I1164" s="132">
        <v>0</v>
      </c>
    </row>
    <row r="1165" spans="1:9" ht="15" customHeight="1" x14ac:dyDescent="0.25">
      <c r="A1165" s="132" t="s">
        <v>249</v>
      </c>
      <c r="B1165" s="132" t="s">
        <v>7</v>
      </c>
      <c r="C1165" s="132">
        <v>21</v>
      </c>
      <c r="D1165" s="132" t="str">
        <f t="shared" si="84"/>
        <v>Female Mini CIM 21</v>
      </c>
      <c r="E1165" s="132">
        <v>5</v>
      </c>
      <c r="I1165" s="132">
        <v>0</v>
      </c>
    </row>
    <row r="1166" spans="1:9" ht="15" customHeight="1" x14ac:dyDescent="0.25">
      <c r="A1166" s="132" t="s">
        <v>249</v>
      </c>
      <c r="B1166" s="132" t="s">
        <v>7</v>
      </c>
      <c r="C1166" s="132">
        <v>25</v>
      </c>
      <c r="D1166" s="132" t="str">
        <f t="shared" si="84"/>
        <v>Female Mini CIM 25</v>
      </c>
      <c r="E1166" s="132">
        <v>4</v>
      </c>
      <c r="I1166" s="132">
        <v>0</v>
      </c>
    </row>
    <row r="1167" spans="1:9" ht="15" customHeight="1" x14ac:dyDescent="0.25">
      <c r="A1167" s="132" t="s">
        <v>249</v>
      </c>
      <c r="B1167" s="132" t="s">
        <v>7</v>
      </c>
      <c r="C1167" s="132">
        <v>27</v>
      </c>
      <c r="D1167" s="132" t="str">
        <f t="shared" si="84"/>
        <v>Female Mini CIM 27</v>
      </c>
      <c r="E1167" s="132">
        <v>4</v>
      </c>
      <c r="I1167" s="132">
        <v>0</v>
      </c>
    </row>
    <row r="1168" spans="1:9" ht="15" customHeight="1" x14ac:dyDescent="0.25">
      <c r="A1168" s="132" t="s">
        <v>249</v>
      </c>
      <c r="B1168" s="132" t="s">
        <v>7</v>
      </c>
      <c r="C1168" s="132">
        <v>28</v>
      </c>
      <c r="D1168" s="132" t="str">
        <f t="shared" si="84"/>
        <v>Female Mini CIM 28</v>
      </c>
      <c r="E1168" s="132">
        <v>3</v>
      </c>
      <c r="I1168" s="132">
        <v>0</v>
      </c>
    </row>
    <row r="1169" spans="1:9" ht="15" customHeight="1" x14ac:dyDescent="0.25">
      <c r="A1169" s="132" t="s">
        <v>249</v>
      </c>
      <c r="B1169" s="132" t="s">
        <v>7</v>
      </c>
      <c r="C1169" s="132">
        <v>30</v>
      </c>
      <c r="D1169" s="132" t="str">
        <f t="shared" si="84"/>
        <v>Female Mini CIM 30</v>
      </c>
      <c r="E1169" s="132">
        <v>3</v>
      </c>
      <c r="I1169" s="132">
        <v>0</v>
      </c>
    </row>
    <row r="1170" spans="1:9" ht="15" customHeight="1" x14ac:dyDescent="0.25">
      <c r="A1170" s="132" t="s">
        <v>249</v>
      </c>
      <c r="B1170" s="132" t="s">
        <v>7</v>
      </c>
      <c r="C1170" s="132">
        <v>35</v>
      </c>
      <c r="D1170" s="132" t="str">
        <f t="shared" si="84"/>
        <v>Female Mini CIM 35</v>
      </c>
      <c r="E1170" s="132">
        <v>3</v>
      </c>
      <c r="I1170" s="132">
        <v>0</v>
      </c>
    </row>
    <row r="1171" spans="1:9" ht="15" customHeight="1" x14ac:dyDescent="0.25">
      <c r="A1171" s="132" t="s">
        <v>249</v>
      </c>
      <c r="B1171" s="132" t="s">
        <v>7</v>
      </c>
      <c r="C1171" s="132">
        <v>36</v>
      </c>
      <c r="D1171" s="132" t="str">
        <f t="shared" si="84"/>
        <v>Female Mini CIM 36</v>
      </c>
      <c r="E1171" s="132">
        <v>3</v>
      </c>
      <c r="I1171" s="132">
        <v>0</v>
      </c>
    </row>
    <row r="1172" spans="1:9" ht="15" customHeight="1" x14ac:dyDescent="0.25">
      <c r="A1172" s="132" t="s">
        <v>249</v>
      </c>
      <c r="B1172" s="132" t="s">
        <v>7</v>
      </c>
      <c r="C1172" s="132">
        <v>40</v>
      </c>
      <c r="D1172" s="132" t="str">
        <f t="shared" si="84"/>
        <v>Female Mini CIM 40</v>
      </c>
      <c r="E1172" s="132">
        <v>1</v>
      </c>
      <c r="I1172" s="132">
        <v>0</v>
      </c>
    </row>
    <row r="1173" spans="1:9" ht="15" customHeight="1" x14ac:dyDescent="0.25">
      <c r="A1173" s="132" t="s">
        <v>249</v>
      </c>
      <c r="B1173" s="132" t="s">
        <v>7</v>
      </c>
      <c r="C1173" s="132">
        <v>45</v>
      </c>
      <c r="D1173" s="132" t="str">
        <f t="shared" si="84"/>
        <v>Female Mini CIM 45</v>
      </c>
      <c r="E1173" s="132">
        <v>1</v>
      </c>
      <c r="I1173" s="132">
        <v>0</v>
      </c>
    </row>
    <row r="1174" spans="1:9" ht="15" customHeight="1" x14ac:dyDescent="0.25">
      <c r="A1174" s="132" t="s">
        <v>249</v>
      </c>
      <c r="B1174" s="132" t="s">
        <v>7</v>
      </c>
      <c r="C1174" s="132">
        <v>49</v>
      </c>
      <c r="D1174" s="132" t="str">
        <f t="shared" si="84"/>
        <v>Female Mini CIM 49</v>
      </c>
      <c r="E1174" s="132">
        <v>1</v>
      </c>
      <c r="I1174" s="132">
        <v>0</v>
      </c>
    </row>
    <row r="1175" spans="1:9" ht="15" customHeight="1" x14ac:dyDescent="0.25">
      <c r="A1175" s="132" t="s">
        <v>249</v>
      </c>
      <c r="B1175" s="132" t="s">
        <v>7</v>
      </c>
      <c r="C1175" s="132">
        <v>50</v>
      </c>
      <c r="D1175" s="132" t="str">
        <f t="shared" si="84"/>
        <v>Female Mini CIM 50</v>
      </c>
      <c r="E1175" s="132">
        <v>1</v>
      </c>
      <c r="I1175" s="132">
        <v>0</v>
      </c>
    </row>
    <row r="1176" spans="1:9" ht="15" customHeight="1" x14ac:dyDescent="0.25">
      <c r="A1176" s="132" t="s">
        <v>249</v>
      </c>
      <c r="B1176" s="132" t="s">
        <v>7</v>
      </c>
      <c r="C1176" s="132">
        <v>63</v>
      </c>
      <c r="D1176" s="132" t="str">
        <f t="shared" si="84"/>
        <v>Female Mini CIM 63</v>
      </c>
      <c r="E1176" s="132">
        <v>1</v>
      </c>
      <c r="I1176" s="132">
        <v>0</v>
      </c>
    </row>
    <row r="1177" spans="1:9" ht="15" customHeight="1" x14ac:dyDescent="0.25">
      <c r="A1177" s="132" t="s">
        <v>249</v>
      </c>
      <c r="B1177" s="132" t="s">
        <v>7</v>
      </c>
      <c r="C1177" s="132">
        <v>70</v>
      </c>
      <c r="D1177" s="132" t="str">
        <f t="shared" si="84"/>
        <v>Female Mini CIM 70</v>
      </c>
      <c r="E1177" s="132">
        <v>0</v>
      </c>
      <c r="I1177" s="132">
        <v>0</v>
      </c>
    </row>
    <row r="1178" spans="1:9" ht="15" customHeight="1" x14ac:dyDescent="0.25">
      <c r="A1178" s="132" t="s">
        <v>249</v>
      </c>
      <c r="B1178" s="132" t="s">
        <v>7</v>
      </c>
      <c r="C1178" s="132">
        <v>81</v>
      </c>
      <c r="D1178" s="132" t="str">
        <f t="shared" si="84"/>
        <v>Female Mini CIM 81</v>
      </c>
      <c r="E1178" s="132">
        <v>0</v>
      </c>
      <c r="I1178" s="132">
        <v>0</v>
      </c>
    </row>
    <row r="1179" spans="1:9" ht="15" customHeight="1" x14ac:dyDescent="0.25">
      <c r="A1179" s="132" t="s">
        <v>249</v>
      </c>
      <c r="B1179" s="132" t="s">
        <v>7</v>
      </c>
      <c r="C1179" s="132">
        <v>90</v>
      </c>
      <c r="D1179" s="132" t="str">
        <f t="shared" si="84"/>
        <v>Female Mini CIM 90</v>
      </c>
      <c r="E1179" s="132">
        <v>0</v>
      </c>
      <c r="I1179" s="132">
        <v>0</v>
      </c>
    </row>
    <row r="1180" spans="1:9" ht="15" customHeight="1" x14ac:dyDescent="0.25">
      <c r="A1180" s="132" t="s">
        <v>249</v>
      </c>
      <c r="B1180" s="132" t="s">
        <v>7</v>
      </c>
      <c r="C1180" s="132">
        <v>100</v>
      </c>
      <c r="D1180" s="132" t="str">
        <f t="shared" si="84"/>
        <v>Female Mini CIM 100</v>
      </c>
      <c r="E1180" s="132">
        <v>0</v>
      </c>
      <c r="I1180" s="132">
        <v>0</v>
      </c>
    </row>
    <row r="1181" spans="1:9" ht="15" customHeight="1" x14ac:dyDescent="0.25">
      <c r="A1181" s="132" t="s">
        <v>249</v>
      </c>
      <c r="B1181" s="132" t="s">
        <v>6</v>
      </c>
      <c r="C1181" s="132">
        <v>-3</v>
      </c>
      <c r="D1181" s="132" t="str">
        <f t="shared" ref="D1181:D1186" si="85">A1181&amp;" "&amp;B1181&amp;" "&amp;C1181</f>
        <v>Female CIM -3</v>
      </c>
      <c r="E1181" s="132">
        <v>1</v>
      </c>
      <c r="I1181" s="132">
        <v>0</v>
      </c>
    </row>
    <row r="1182" spans="1:9" ht="15" customHeight="1" x14ac:dyDescent="0.25">
      <c r="A1182" s="132" t="s">
        <v>249</v>
      </c>
      <c r="B1182" s="132" t="s">
        <v>6</v>
      </c>
      <c r="C1182" s="132">
        <v>-4</v>
      </c>
      <c r="D1182" s="132" t="str">
        <f t="shared" si="85"/>
        <v>Female CIM -4</v>
      </c>
      <c r="E1182" s="132">
        <v>1</v>
      </c>
      <c r="I1182" s="132">
        <v>0</v>
      </c>
    </row>
    <row r="1183" spans="1:9" ht="15" customHeight="1" x14ac:dyDescent="0.25">
      <c r="A1183" s="132" t="s">
        <v>249</v>
      </c>
      <c r="B1183" s="132" t="s">
        <v>6</v>
      </c>
      <c r="C1183" s="132">
        <v>-5</v>
      </c>
      <c r="D1183" s="132" t="str">
        <f t="shared" si="85"/>
        <v>Female CIM -5</v>
      </c>
      <c r="E1183" s="132">
        <v>1</v>
      </c>
      <c r="I1183" s="132">
        <v>0</v>
      </c>
    </row>
    <row r="1184" spans="1:9" ht="15" customHeight="1" x14ac:dyDescent="0.25">
      <c r="A1184" s="132" t="s">
        <v>249</v>
      </c>
      <c r="B1184" s="132" t="s">
        <v>6</v>
      </c>
      <c r="C1184" s="132">
        <v>-7</v>
      </c>
      <c r="D1184" s="132" t="str">
        <f t="shared" si="85"/>
        <v>Female CIM -7</v>
      </c>
      <c r="E1184" s="132">
        <v>1</v>
      </c>
      <c r="I1184" s="132">
        <v>0</v>
      </c>
    </row>
    <row r="1185" spans="1:9" ht="15" customHeight="1" x14ac:dyDescent="0.25">
      <c r="A1185" s="132" t="s">
        <v>249</v>
      </c>
      <c r="B1185" s="132" t="s">
        <v>6</v>
      </c>
      <c r="C1185" s="132">
        <v>-9</v>
      </c>
      <c r="D1185" s="132" t="str">
        <f t="shared" si="85"/>
        <v>Female CIM -9</v>
      </c>
      <c r="E1185" s="132">
        <v>1</v>
      </c>
      <c r="I1185" s="132">
        <v>0</v>
      </c>
    </row>
    <row r="1186" spans="1:9" ht="15" customHeight="1" x14ac:dyDescent="0.25">
      <c r="A1186" s="132" t="s">
        <v>249</v>
      </c>
      <c r="B1186" s="132" t="s">
        <v>6</v>
      </c>
      <c r="C1186" s="132">
        <v>-10</v>
      </c>
      <c r="D1186" s="132" t="str">
        <f t="shared" si="85"/>
        <v>Female CIM -10</v>
      </c>
      <c r="E1186" s="132">
        <v>1</v>
      </c>
      <c r="I1186" s="132">
        <v>0</v>
      </c>
    </row>
    <row r="1187" spans="1:9" ht="15" customHeight="1" x14ac:dyDescent="0.25">
      <c r="A1187" s="132" t="s">
        <v>249</v>
      </c>
      <c r="B1187" s="132" t="s">
        <v>6</v>
      </c>
      <c r="C1187" s="132">
        <v>9</v>
      </c>
      <c r="D1187" s="132" t="str">
        <f t="shared" ref="D1187:D1207" si="86">A1187&amp;" "&amp;B1187&amp;" "&amp;C1187</f>
        <v>Female CIM 9</v>
      </c>
      <c r="E1187" s="132">
        <v>5</v>
      </c>
      <c r="I1187" s="132">
        <v>0</v>
      </c>
    </row>
    <row r="1188" spans="1:9" ht="15" customHeight="1" x14ac:dyDescent="0.25">
      <c r="A1188" s="132" t="s">
        <v>249</v>
      </c>
      <c r="B1188" s="132" t="s">
        <v>6</v>
      </c>
      <c r="C1188" s="132">
        <v>12</v>
      </c>
      <c r="D1188" s="132" t="str">
        <f t="shared" si="86"/>
        <v>Female CIM 12</v>
      </c>
      <c r="E1188" s="132">
        <v>5</v>
      </c>
      <c r="I1188" s="132">
        <v>0</v>
      </c>
    </row>
    <row r="1189" spans="1:9" ht="15" customHeight="1" x14ac:dyDescent="0.25">
      <c r="A1189" s="132" t="s">
        <v>249</v>
      </c>
      <c r="B1189" s="132" t="s">
        <v>6</v>
      </c>
      <c r="C1189" s="132">
        <v>15</v>
      </c>
      <c r="D1189" s="132" t="str">
        <f t="shared" si="86"/>
        <v>Female CIM 15</v>
      </c>
      <c r="E1189" s="132">
        <v>4</v>
      </c>
      <c r="I1189" s="132">
        <v>0</v>
      </c>
    </row>
    <row r="1190" spans="1:9" ht="15" customHeight="1" x14ac:dyDescent="0.25">
      <c r="A1190" s="132" t="s">
        <v>249</v>
      </c>
      <c r="B1190" s="132" t="s">
        <v>6</v>
      </c>
      <c r="C1190" s="132">
        <v>16</v>
      </c>
      <c r="D1190" s="132" t="str">
        <f t="shared" si="86"/>
        <v>Female CIM 16</v>
      </c>
      <c r="E1190" s="132">
        <v>4</v>
      </c>
      <c r="I1190" s="132">
        <v>0</v>
      </c>
    </row>
    <row r="1191" spans="1:9" ht="15" customHeight="1" x14ac:dyDescent="0.25">
      <c r="A1191" s="132" t="s">
        <v>249</v>
      </c>
      <c r="B1191" s="132" t="s">
        <v>6</v>
      </c>
      <c r="C1191" s="132">
        <v>20</v>
      </c>
      <c r="D1191" s="132" t="str">
        <f t="shared" si="86"/>
        <v>Female CIM 20</v>
      </c>
      <c r="E1191" s="132">
        <v>3</v>
      </c>
      <c r="I1191" s="132">
        <v>0</v>
      </c>
    </row>
    <row r="1192" spans="1:9" ht="15" customHeight="1" x14ac:dyDescent="0.25">
      <c r="A1192" s="132" t="s">
        <v>249</v>
      </c>
      <c r="B1192" s="132" t="s">
        <v>6</v>
      </c>
      <c r="C1192" s="132">
        <v>21</v>
      </c>
      <c r="D1192" s="132" t="str">
        <f t="shared" si="86"/>
        <v>Female CIM 21</v>
      </c>
      <c r="E1192" s="132">
        <v>3</v>
      </c>
      <c r="I1192" s="132">
        <v>0</v>
      </c>
    </row>
    <row r="1193" spans="1:9" ht="15" customHeight="1" x14ac:dyDescent="0.25">
      <c r="A1193" s="132" t="s">
        <v>249</v>
      </c>
      <c r="B1193" s="132" t="s">
        <v>6</v>
      </c>
      <c r="C1193" s="132">
        <v>25</v>
      </c>
      <c r="D1193" s="132" t="str">
        <f t="shared" si="86"/>
        <v>Female CIM 25</v>
      </c>
      <c r="E1193" s="132">
        <v>1</v>
      </c>
      <c r="I1193" s="132">
        <v>0</v>
      </c>
    </row>
    <row r="1194" spans="1:9" ht="15" customHeight="1" x14ac:dyDescent="0.25">
      <c r="A1194" s="132" t="s">
        <v>249</v>
      </c>
      <c r="B1194" s="132" t="s">
        <v>6</v>
      </c>
      <c r="C1194" s="132">
        <v>27</v>
      </c>
      <c r="D1194" s="132" t="str">
        <f t="shared" si="86"/>
        <v>Female CIM 27</v>
      </c>
      <c r="E1194" s="132">
        <v>1</v>
      </c>
      <c r="I1194" s="132">
        <v>0</v>
      </c>
    </row>
    <row r="1195" spans="1:9" ht="15" customHeight="1" x14ac:dyDescent="0.25">
      <c r="A1195" s="132" t="s">
        <v>249</v>
      </c>
      <c r="B1195" s="132" t="s">
        <v>6</v>
      </c>
      <c r="C1195" s="132">
        <v>28</v>
      </c>
      <c r="D1195" s="132" t="str">
        <f t="shared" si="86"/>
        <v>Female CIM 28</v>
      </c>
      <c r="E1195" s="132">
        <v>1</v>
      </c>
      <c r="I1195" s="132">
        <v>0</v>
      </c>
    </row>
    <row r="1196" spans="1:9" ht="15" customHeight="1" x14ac:dyDescent="0.25">
      <c r="A1196" s="132" t="s">
        <v>249</v>
      </c>
      <c r="B1196" s="132" t="s">
        <v>6</v>
      </c>
      <c r="C1196" s="132">
        <v>30</v>
      </c>
      <c r="D1196" s="132" t="str">
        <f t="shared" si="86"/>
        <v>Female CIM 30</v>
      </c>
      <c r="E1196" s="132">
        <v>1</v>
      </c>
      <c r="I1196" s="132">
        <v>0</v>
      </c>
    </row>
    <row r="1197" spans="1:9" ht="15" customHeight="1" x14ac:dyDescent="0.25">
      <c r="A1197" s="132" t="s">
        <v>249</v>
      </c>
      <c r="B1197" s="132" t="s">
        <v>6</v>
      </c>
      <c r="C1197" s="132">
        <v>35</v>
      </c>
      <c r="D1197" s="132" t="str">
        <f t="shared" si="86"/>
        <v>Female CIM 35</v>
      </c>
      <c r="E1197" s="132">
        <v>1</v>
      </c>
      <c r="I1197" s="132">
        <v>0</v>
      </c>
    </row>
    <row r="1198" spans="1:9" ht="15" customHeight="1" x14ac:dyDescent="0.25">
      <c r="A1198" s="132" t="s">
        <v>249</v>
      </c>
      <c r="B1198" s="132" t="s">
        <v>6</v>
      </c>
      <c r="C1198" s="132">
        <v>36</v>
      </c>
      <c r="D1198" s="132" t="str">
        <f t="shared" si="86"/>
        <v>Female CIM 36</v>
      </c>
      <c r="E1198" s="132">
        <v>1</v>
      </c>
      <c r="I1198" s="132">
        <v>0</v>
      </c>
    </row>
    <row r="1199" spans="1:9" ht="15" customHeight="1" x14ac:dyDescent="0.25">
      <c r="A1199" s="132" t="s">
        <v>249</v>
      </c>
      <c r="B1199" s="132" t="s">
        <v>6</v>
      </c>
      <c r="C1199" s="132">
        <v>40</v>
      </c>
      <c r="D1199" s="132" t="str">
        <f t="shared" si="86"/>
        <v>Female CIM 40</v>
      </c>
      <c r="E1199" s="132">
        <v>1</v>
      </c>
      <c r="I1199" s="132">
        <v>0</v>
      </c>
    </row>
    <row r="1200" spans="1:9" ht="15" customHeight="1" x14ac:dyDescent="0.25">
      <c r="A1200" s="132" t="s">
        <v>249</v>
      </c>
      <c r="B1200" s="132" t="s">
        <v>6</v>
      </c>
      <c r="C1200" s="132">
        <v>45</v>
      </c>
      <c r="D1200" s="132" t="str">
        <f t="shared" si="86"/>
        <v>Female CIM 45</v>
      </c>
      <c r="E1200" s="132">
        <v>1</v>
      </c>
      <c r="I1200" s="132">
        <v>0</v>
      </c>
    </row>
    <row r="1201" spans="1:9" ht="15" customHeight="1" x14ac:dyDescent="0.25">
      <c r="A1201" s="132" t="s">
        <v>249</v>
      </c>
      <c r="B1201" s="132" t="s">
        <v>6</v>
      </c>
      <c r="C1201" s="132">
        <v>49</v>
      </c>
      <c r="D1201" s="132" t="str">
        <f t="shared" si="86"/>
        <v>Female CIM 49</v>
      </c>
      <c r="E1201" s="132">
        <v>0</v>
      </c>
      <c r="I1201" s="132">
        <v>0</v>
      </c>
    </row>
    <row r="1202" spans="1:9" ht="15" customHeight="1" x14ac:dyDescent="0.25">
      <c r="A1202" s="132" t="s">
        <v>249</v>
      </c>
      <c r="B1202" s="132" t="s">
        <v>6</v>
      </c>
      <c r="C1202" s="132">
        <v>50</v>
      </c>
      <c r="D1202" s="132" t="str">
        <f t="shared" si="86"/>
        <v>Female CIM 50</v>
      </c>
      <c r="E1202" s="132">
        <v>1</v>
      </c>
      <c r="I1202" s="132">
        <v>0</v>
      </c>
    </row>
    <row r="1203" spans="1:9" ht="15" customHeight="1" x14ac:dyDescent="0.25">
      <c r="A1203" s="132" t="s">
        <v>249</v>
      </c>
      <c r="B1203" s="132" t="s">
        <v>6</v>
      </c>
      <c r="C1203" s="132">
        <v>63</v>
      </c>
      <c r="D1203" s="132" t="str">
        <f t="shared" si="86"/>
        <v>Female CIM 63</v>
      </c>
      <c r="E1203" s="132">
        <v>0</v>
      </c>
      <c r="I1203" s="132">
        <v>0</v>
      </c>
    </row>
    <row r="1204" spans="1:9" ht="15" customHeight="1" x14ac:dyDescent="0.25">
      <c r="A1204" s="132" t="s">
        <v>249</v>
      </c>
      <c r="B1204" s="132" t="s">
        <v>6</v>
      </c>
      <c r="C1204" s="132">
        <v>70</v>
      </c>
      <c r="D1204" s="132" t="str">
        <f t="shared" si="86"/>
        <v>Female CIM 70</v>
      </c>
      <c r="E1204" s="132">
        <v>0</v>
      </c>
      <c r="I1204" s="132">
        <v>0</v>
      </c>
    </row>
    <row r="1205" spans="1:9" ht="15" customHeight="1" x14ac:dyDescent="0.25">
      <c r="A1205" s="132" t="s">
        <v>249</v>
      </c>
      <c r="B1205" s="132" t="s">
        <v>6</v>
      </c>
      <c r="C1205" s="132">
        <v>81</v>
      </c>
      <c r="D1205" s="132" t="str">
        <f t="shared" si="86"/>
        <v>Female CIM 81</v>
      </c>
      <c r="E1205" s="132">
        <v>0</v>
      </c>
      <c r="I1205" s="132">
        <v>0</v>
      </c>
    </row>
    <row r="1206" spans="1:9" ht="15" customHeight="1" x14ac:dyDescent="0.25">
      <c r="A1206" s="132" t="s">
        <v>249</v>
      </c>
      <c r="B1206" s="132" t="s">
        <v>6</v>
      </c>
      <c r="C1206" s="132">
        <v>90</v>
      </c>
      <c r="D1206" s="132" t="str">
        <f t="shared" si="86"/>
        <v>Female CIM 90</v>
      </c>
      <c r="E1206" s="132">
        <v>0</v>
      </c>
      <c r="I1206" s="132">
        <v>0</v>
      </c>
    </row>
    <row r="1207" spans="1:9" ht="15" customHeight="1" x14ac:dyDescent="0.25">
      <c r="A1207" s="132" t="s">
        <v>249</v>
      </c>
      <c r="B1207" s="132" t="s">
        <v>6</v>
      </c>
      <c r="C1207" s="132">
        <v>100</v>
      </c>
      <c r="D1207" s="132" t="str">
        <f t="shared" si="86"/>
        <v>Female CIM 100</v>
      </c>
      <c r="E1207" s="132">
        <v>0</v>
      </c>
      <c r="I1207" s="132">
        <v>0</v>
      </c>
    </row>
    <row r="1208" spans="1:9" ht="15" customHeight="1" x14ac:dyDescent="0.25">
      <c r="A1208" s="132" t="s">
        <v>249</v>
      </c>
      <c r="B1208" s="132" t="s">
        <v>9</v>
      </c>
      <c r="C1208" s="132">
        <v>-3</v>
      </c>
      <c r="D1208" s="132" t="str">
        <f t="shared" ref="D1208:D1213" si="87">A1208&amp;" "&amp;B1208&amp;" "&amp;C1208</f>
        <v>Female NEO -3</v>
      </c>
      <c r="E1208" s="132">
        <v>1</v>
      </c>
      <c r="I1208" s="132">
        <v>0</v>
      </c>
    </row>
    <row r="1209" spans="1:9" ht="15" customHeight="1" x14ac:dyDescent="0.25">
      <c r="A1209" s="132" t="s">
        <v>249</v>
      </c>
      <c r="B1209" s="132" t="s">
        <v>9</v>
      </c>
      <c r="C1209" s="132">
        <v>-4</v>
      </c>
      <c r="D1209" s="132" t="str">
        <f t="shared" si="87"/>
        <v>Female NEO -4</v>
      </c>
      <c r="E1209" s="132">
        <v>1</v>
      </c>
      <c r="I1209" s="132">
        <v>0</v>
      </c>
    </row>
    <row r="1210" spans="1:9" ht="15" customHeight="1" x14ac:dyDescent="0.25">
      <c r="A1210" s="132" t="s">
        <v>249</v>
      </c>
      <c r="B1210" s="132" t="s">
        <v>9</v>
      </c>
      <c r="C1210" s="132">
        <v>-5</v>
      </c>
      <c r="D1210" s="132" t="str">
        <f t="shared" si="87"/>
        <v>Female NEO -5</v>
      </c>
      <c r="E1210" s="132">
        <v>1</v>
      </c>
      <c r="I1210" s="132">
        <v>0</v>
      </c>
    </row>
    <row r="1211" spans="1:9" ht="15" customHeight="1" x14ac:dyDescent="0.25">
      <c r="A1211" s="132" t="s">
        <v>249</v>
      </c>
      <c r="B1211" s="132" t="s">
        <v>9</v>
      </c>
      <c r="C1211" s="132">
        <v>-7</v>
      </c>
      <c r="D1211" s="132" t="str">
        <f t="shared" si="87"/>
        <v>Female NEO -7</v>
      </c>
      <c r="E1211" s="132">
        <v>1</v>
      </c>
      <c r="I1211" s="132">
        <v>0</v>
      </c>
    </row>
    <row r="1212" spans="1:9" ht="15" customHeight="1" x14ac:dyDescent="0.25">
      <c r="A1212" s="132" t="s">
        <v>249</v>
      </c>
      <c r="B1212" s="132" t="s">
        <v>9</v>
      </c>
      <c r="C1212" s="132">
        <v>-9</v>
      </c>
      <c r="D1212" s="132" t="str">
        <f t="shared" si="87"/>
        <v>Female NEO -9</v>
      </c>
      <c r="E1212" s="132">
        <v>1</v>
      </c>
      <c r="I1212" s="132">
        <v>0</v>
      </c>
    </row>
    <row r="1213" spans="1:9" ht="15" customHeight="1" x14ac:dyDescent="0.25">
      <c r="A1213" s="132" t="s">
        <v>249</v>
      </c>
      <c r="B1213" s="132" t="s">
        <v>9</v>
      </c>
      <c r="C1213" s="132">
        <v>-10</v>
      </c>
      <c r="D1213" s="132" t="str">
        <f t="shared" si="87"/>
        <v>Female NEO -10</v>
      </c>
      <c r="E1213" s="132">
        <v>1</v>
      </c>
      <c r="I1213" s="132">
        <v>0</v>
      </c>
    </row>
    <row r="1214" spans="1:9" ht="15" customHeight="1" x14ac:dyDescent="0.25">
      <c r="A1214" s="132" t="s">
        <v>249</v>
      </c>
      <c r="B1214" s="132" t="s">
        <v>9</v>
      </c>
      <c r="C1214" s="132">
        <v>9</v>
      </c>
      <c r="D1214" s="132" t="str">
        <f t="shared" ref="D1214:D1234" si="88">A1214&amp;" "&amp;B1214&amp;" "&amp;C1214</f>
        <v>Female NEO 9</v>
      </c>
      <c r="E1214" s="132">
        <v>5</v>
      </c>
      <c r="I1214" s="132">
        <v>0</v>
      </c>
    </row>
    <row r="1215" spans="1:9" ht="15" customHeight="1" x14ac:dyDescent="0.25">
      <c r="A1215" s="132" t="s">
        <v>249</v>
      </c>
      <c r="B1215" s="132" t="s">
        <v>9</v>
      </c>
      <c r="C1215" s="132">
        <v>12</v>
      </c>
      <c r="D1215" s="132" t="str">
        <f t="shared" si="88"/>
        <v>Female NEO 12</v>
      </c>
      <c r="E1215" s="132">
        <v>3</v>
      </c>
      <c r="I1215" s="132">
        <v>0</v>
      </c>
    </row>
    <row r="1216" spans="1:9" ht="15" customHeight="1" x14ac:dyDescent="0.25">
      <c r="A1216" s="132" t="s">
        <v>249</v>
      </c>
      <c r="B1216" s="132" t="s">
        <v>9</v>
      </c>
      <c r="C1216" s="132">
        <v>15</v>
      </c>
      <c r="D1216" s="132" t="str">
        <f t="shared" si="88"/>
        <v>Female NEO 15</v>
      </c>
      <c r="E1216" s="132">
        <v>3</v>
      </c>
      <c r="I1216" s="132">
        <v>0</v>
      </c>
    </row>
    <row r="1217" spans="1:9" ht="15" customHeight="1" x14ac:dyDescent="0.25">
      <c r="A1217" s="132" t="s">
        <v>249</v>
      </c>
      <c r="B1217" s="132" t="s">
        <v>9</v>
      </c>
      <c r="C1217" s="132">
        <v>16</v>
      </c>
      <c r="D1217" s="132" t="str">
        <f t="shared" si="88"/>
        <v>Female NEO 16</v>
      </c>
      <c r="E1217" s="132">
        <v>1</v>
      </c>
      <c r="I1217" s="132">
        <v>0</v>
      </c>
    </row>
    <row r="1218" spans="1:9" ht="15" customHeight="1" x14ac:dyDescent="0.25">
      <c r="A1218" s="132" t="s">
        <v>249</v>
      </c>
      <c r="B1218" s="132" t="s">
        <v>9</v>
      </c>
      <c r="C1218" s="132">
        <v>20</v>
      </c>
      <c r="D1218" s="132" t="str">
        <f t="shared" si="88"/>
        <v>Female NEO 20</v>
      </c>
      <c r="E1218" s="132">
        <v>1</v>
      </c>
      <c r="I1218" s="132">
        <v>0</v>
      </c>
    </row>
    <row r="1219" spans="1:9" ht="15" customHeight="1" x14ac:dyDescent="0.25">
      <c r="A1219" s="132" t="s">
        <v>249</v>
      </c>
      <c r="B1219" s="132" t="s">
        <v>9</v>
      </c>
      <c r="C1219" s="132">
        <v>21</v>
      </c>
      <c r="D1219" s="132" t="str">
        <f t="shared" si="88"/>
        <v>Female NEO 21</v>
      </c>
      <c r="E1219" s="132">
        <v>1</v>
      </c>
      <c r="I1219" s="132">
        <v>0</v>
      </c>
    </row>
    <row r="1220" spans="1:9" ht="15" customHeight="1" x14ac:dyDescent="0.25">
      <c r="A1220" s="132" t="s">
        <v>249</v>
      </c>
      <c r="B1220" s="132" t="s">
        <v>9</v>
      </c>
      <c r="C1220" s="132">
        <v>25</v>
      </c>
      <c r="D1220" s="132" t="str">
        <f t="shared" si="88"/>
        <v>Female NEO 25</v>
      </c>
      <c r="E1220" s="132">
        <v>1</v>
      </c>
      <c r="I1220" s="132">
        <v>0</v>
      </c>
    </row>
    <row r="1221" spans="1:9" ht="15" customHeight="1" x14ac:dyDescent="0.25">
      <c r="A1221" s="132" t="s">
        <v>249</v>
      </c>
      <c r="B1221" s="132" t="s">
        <v>9</v>
      </c>
      <c r="C1221" s="132">
        <v>27</v>
      </c>
      <c r="D1221" s="132" t="str">
        <f t="shared" si="88"/>
        <v>Female NEO 27</v>
      </c>
      <c r="E1221" s="132">
        <v>1</v>
      </c>
      <c r="I1221" s="132">
        <v>0</v>
      </c>
    </row>
    <row r="1222" spans="1:9" ht="15" customHeight="1" x14ac:dyDescent="0.25">
      <c r="A1222" s="132" t="s">
        <v>249</v>
      </c>
      <c r="B1222" s="132" t="s">
        <v>9</v>
      </c>
      <c r="C1222" s="132">
        <v>28</v>
      </c>
      <c r="D1222" s="132" t="str">
        <f t="shared" si="88"/>
        <v>Female NEO 28</v>
      </c>
      <c r="E1222" s="132">
        <v>1</v>
      </c>
      <c r="I1222" s="132">
        <v>0</v>
      </c>
    </row>
    <row r="1223" spans="1:9" ht="15" customHeight="1" x14ac:dyDescent="0.25">
      <c r="A1223" s="132" t="s">
        <v>249</v>
      </c>
      <c r="B1223" s="132" t="s">
        <v>9</v>
      </c>
      <c r="C1223" s="132">
        <v>30</v>
      </c>
      <c r="D1223" s="132" t="str">
        <f t="shared" si="88"/>
        <v>Female NEO 30</v>
      </c>
      <c r="E1223" s="132">
        <v>1</v>
      </c>
      <c r="I1223" s="132">
        <v>0</v>
      </c>
    </row>
    <row r="1224" spans="1:9" ht="15" customHeight="1" x14ac:dyDescent="0.25">
      <c r="A1224" s="132" t="s">
        <v>249</v>
      </c>
      <c r="B1224" s="132" t="s">
        <v>9</v>
      </c>
      <c r="C1224" s="132">
        <v>35</v>
      </c>
      <c r="D1224" s="132" t="str">
        <f t="shared" si="88"/>
        <v>Female NEO 35</v>
      </c>
      <c r="E1224" s="132">
        <v>1</v>
      </c>
      <c r="I1224" s="132">
        <v>0</v>
      </c>
    </row>
    <row r="1225" spans="1:9" ht="15" customHeight="1" x14ac:dyDescent="0.25">
      <c r="A1225" s="132" t="s">
        <v>249</v>
      </c>
      <c r="B1225" s="132" t="s">
        <v>9</v>
      </c>
      <c r="C1225" s="132">
        <v>36</v>
      </c>
      <c r="D1225" s="132" t="str">
        <f t="shared" si="88"/>
        <v>Female NEO 36</v>
      </c>
      <c r="E1225" s="132">
        <v>1</v>
      </c>
      <c r="I1225" s="132">
        <v>0</v>
      </c>
    </row>
    <row r="1226" spans="1:9" ht="15" customHeight="1" x14ac:dyDescent="0.25">
      <c r="A1226" s="132" t="s">
        <v>249</v>
      </c>
      <c r="B1226" s="132" t="s">
        <v>9</v>
      </c>
      <c r="C1226" s="132">
        <v>40</v>
      </c>
      <c r="D1226" s="132" t="str">
        <f t="shared" si="88"/>
        <v>Female NEO 40</v>
      </c>
      <c r="E1226" s="132">
        <v>1</v>
      </c>
      <c r="I1226" s="132">
        <v>0</v>
      </c>
    </row>
    <row r="1227" spans="1:9" ht="15" customHeight="1" x14ac:dyDescent="0.25">
      <c r="A1227" s="132" t="s">
        <v>249</v>
      </c>
      <c r="B1227" s="132" t="s">
        <v>9</v>
      </c>
      <c r="C1227" s="132">
        <v>45</v>
      </c>
      <c r="D1227" s="132" t="str">
        <f t="shared" si="88"/>
        <v>Female NEO 45</v>
      </c>
      <c r="E1227" s="132">
        <v>1</v>
      </c>
      <c r="I1227" s="132">
        <v>0</v>
      </c>
    </row>
    <row r="1228" spans="1:9" ht="15" customHeight="1" x14ac:dyDescent="0.25">
      <c r="A1228" s="132" t="s">
        <v>249</v>
      </c>
      <c r="B1228" s="132" t="s">
        <v>9</v>
      </c>
      <c r="C1228" s="132">
        <v>49</v>
      </c>
      <c r="D1228" s="132" t="str">
        <f t="shared" si="88"/>
        <v>Female NEO 49</v>
      </c>
      <c r="E1228" s="132">
        <v>0</v>
      </c>
      <c r="I1228" s="132">
        <v>0</v>
      </c>
    </row>
    <row r="1229" spans="1:9" ht="15" customHeight="1" x14ac:dyDescent="0.25">
      <c r="A1229" s="132" t="s">
        <v>249</v>
      </c>
      <c r="B1229" s="132" t="s">
        <v>9</v>
      </c>
      <c r="C1229" s="132">
        <v>50</v>
      </c>
      <c r="D1229" s="132" t="str">
        <f t="shared" si="88"/>
        <v>Female NEO 50</v>
      </c>
      <c r="E1229" s="132">
        <v>0</v>
      </c>
      <c r="I1229" s="132">
        <v>0</v>
      </c>
    </row>
    <row r="1230" spans="1:9" ht="15" customHeight="1" x14ac:dyDescent="0.25">
      <c r="A1230" s="132" t="s">
        <v>249</v>
      </c>
      <c r="B1230" s="132" t="s">
        <v>9</v>
      </c>
      <c r="C1230" s="132">
        <v>63</v>
      </c>
      <c r="D1230" s="132" t="str">
        <f t="shared" si="88"/>
        <v>Female NEO 63</v>
      </c>
      <c r="E1230" s="132">
        <v>0</v>
      </c>
      <c r="I1230" s="132">
        <v>0</v>
      </c>
    </row>
    <row r="1231" spans="1:9" ht="15" customHeight="1" x14ac:dyDescent="0.25">
      <c r="A1231" s="132" t="s">
        <v>249</v>
      </c>
      <c r="B1231" s="132" t="s">
        <v>9</v>
      </c>
      <c r="C1231" s="132">
        <v>70</v>
      </c>
      <c r="D1231" s="132" t="str">
        <f t="shared" si="88"/>
        <v>Female NEO 70</v>
      </c>
      <c r="E1231" s="132">
        <v>0</v>
      </c>
      <c r="I1231" s="132">
        <v>0</v>
      </c>
    </row>
    <row r="1232" spans="1:9" ht="15" customHeight="1" x14ac:dyDescent="0.25">
      <c r="A1232" s="132" t="s">
        <v>249</v>
      </c>
      <c r="B1232" s="132" t="s">
        <v>9</v>
      </c>
      <c r="C1232" s="132">
        <v>81</v>
      </c>
      <c r="D1232" s="132" t="str">
        <f t="shared" si="88"/>
        <v>Female NEO 81</v>
      </c>
      <c r="E1232" s="132">
        <v>0</v>
      </c>
      <c r="I1232" s="132">
        <v>0</v>
      </c>
    </row>
    <row r="1233" spans="1:9" ht="15" customHeight="1" x14ac:dyDescent="0.25">
      <c r="A1233" s="132" t="s">
        <v>249</v>
      </c>
      <c r="B1233" s="132" t="s">
        <v>9</v>
      </c>
      <c r="C1233" s="132">
        <v>90</v>
      </c>
      <c r="D1233" s="132" t="str">
        <f t="shared" si="88"/>
        <v>Female NEO 90</v>
      </c>
      <c r="E1233" s="132">
        <v>0</v>
      </c>
      <c r="I1233" s="132">
        <v>0</v>
      </c>
    </row>
    <row r="1234" spans="1:9" ht="15" customHeight="1" x14ac:dyDescent="0.25">
      <c r="A1234" s="132" t="s">
        <v>249</v>
      </c>
      <c r="B1234" s="132" t="s">
        <v>9</v>
      </c>
      <c r="C1234" s="132">
        <v>100</v>
      </c>
      <c r="D1234" s="132" t="str">
        <f t="shared" si="88"/>
        <v>Female NEO 100</v>
      </c>
      <c r="E1234" s="132">
        <v>0</v>
      </c>
      <c r="I1234" s="132">
        <v>0</v>
      </c>
    </row>
    <row r="1235" spans="1:9" ht="15" customHeight="1" x14ac:dyDescent="0.25">
      <c r="A1235" s="132" t="s">
        <v>249</v>
      </c>
      <c r="B1235" s="132" t="s">
        <v>333</v>
      </c>
      <c r="C1235" s="132">
        <v>-3</v>
      </c>
      <c r="D1235" s="132" t="str">
        <f t="shared" ref="D1235:D1240" si="89">A1235&amp;" "&amp;B1235&amp;" "&amp;C1235</f>
        <v>Female Falcon 500 -3</v>
      </c>
      <c r="E1235" s="132">
        <v>1</v>
      </c>
      <c r="I1235" s="132">
        <v>0</v>
      </c>
    </row>
    <row r="1236" spans="1:9" ht="15" customHeight="1" x14ac:dyDescent="0.25">
      <c r="A1236" s="132" t="s">
        <v>249</v>
      </c>
      <c r="B1236" s="132" t="s">
        <v>333</v>
      </c>
      <c r="C1236" s="132">
        <v>-4</v>
      </c>
      <c r="D1236" s="132" t="str">
        <f t="shared" si="89"/>
        <v>Female Falcon 500 -4</v>
      </c>
      <c r="E1236" s="132">
        <v>1</v>
      </c>
      <c r="I1236" s="132">
        <v>0</v>
      </c>
    </row>
    <row r="1237" spans="1:9" ht="15" customHeight="1" x14ac:dyDescent="0.25">
      <c r="A1237" s="132" t="s">
        <v>249</v>
      </c>
      <c r="B1237" s="132" t="s">
        <v>333</v>
      </c>
      <c r="C1237" s="132">
        <v>-5</v>
      </c>
      <c r="D1237" s="132" t="str">
        <f t="shared" si="89"/>
        <v>Female Falcon 500 -5</v>
      </c>
      <c r="E1237" s="132">
        <v>1</v>
      </c>
      <c r="I1237" s="132">
        <v>0</v>
      </c>
    </row>
    <row r="1238" spans="1:9" ht="15" customHeight="1" x14ac:dyDescent="0.25">
      <c r="A1238" s="132" t="s">
        <v>249</v>
      </c>
      <c r="B1238" s="132" t="s">
        <v>333</v>
      </c>
      <c r="C1238" s="132">
        <v>-7</v>
      </c>
      <c r="D1238" s="132" t="str">
        <f t="shared" si="89"/>
        <v>Female Falcon 500 -7</v>
      </c>
      <c r="E1238" s="132">
        <v>1</v>
      </c>
      <c r="I1238" s="132">
        <v>0</v>
      </c>
    </row>
    <row r="1239" spans="1:9" ht="15" customHeight="1" x14ac:dyDescent="0.25">
      <c r="A1239" s="132" t="s">
        <v>249</v>
      </c>
      <c r="B1239" s="132" t="s">
        <v>333</v>
      </c>
      <c r="C1239" s="132">
        <v>-9</v>
      </c>
      <c r="D1239" s="132" t="str">
        <f t="shared" si="89"/>
        <v>Female Falcon 500 -9</v>
      </c>
      <c r="E1239" s="132">
        <v>1</v>
      </c>
      <c r="I1239" s="132">
        <v>0</v>
      </c>
    </row>
    <row r="1240" spans="1:9" ht="15" customHeight="1" x14ac:dyDescent="0.25">
      <c r="A1240" s="132" t="s">
        <v>249</v>
      </c>
      <c r="B1240" s="132" t="s">
        <v>333</v>
      </c>
      <c r="C1240" s="132">
        <v>-10</v>
      </c>
      <c r="D1240" s="132" t="str">
        <f t="shared" si="89"/>
        <v>Female Falcon 500 -10</v>
      </c>
      <c r="E1240" s="132">
        <v>1</v>
      </c>
      <c r="I1240" s="132">
        <v>0</v>
      </c>
    </row>
    <row r="1241" spans="1:9" ht="15" customHeight="1" x14ac:dyDescent="0.25">
      <c r="A1241" s="132" t="s">
        <v>249</v>
      </c>
      <c r="B1241" s="132" t="s">
        <v>333</v>
      </c>
      <c r="C1241" s="132">
        <v>9</v>
      </c>
      <c r="D1241" s="132" t="str">
        <f t="shared" ref="D1241:D1261" si="90">A1241&amp;" "&amp;B1241&amp;" "&amp;C1241</f>
        <v>Female Falcon 500 9</v>
      </c>
      <c r="E1241" s="132">
        <v>3</v>
      </c>
      <c r="I1241" s="132">
        <v>0</v>
      </c>
    </row>
    <row r="1242" spans="1:9" ht="15" customHeight="1" x14ac:dyDescent="0.25">
      <c r="A1242" s="132" t="s">
        <v>249</v>
      </c>
      <c r="B1242" s="132" t="s">
        <v>333</v>
      </c>
      <c r="C1242" s="132">
        <v>12</v>
      </c>
      <c r="D1242" s="132" t="str">
        <f t="shared" si="90"/>
        <v>Female Falcon 500 12</v>
      </c>
      <c r="E1242" s="132">
        <v>1</v>
      </c>
      <c r="I1242" s="132">
        <v>0</v>
      </c>
    </row>
    <row r="1243" spans="1:9" ht="15" customHeight="1" x14ac:dyDescent="0.25">
      <c r="A1243" s="132" t="s">
        <v>249</v>
      </c>
      <c r="B1243" s="132" t="s">
        <v>333</v>
      </c>
      <c r="C1243" s="132">
        <v>15</v>
      </c>
      <c r="D1243" s="132" t="str">
        <f t="shared" si="90"/>
        <v>Female Falcon 500 15</v>
      </c>
      <c r="E1243" s="132">
        <v>1</v>
      </c>
      <c r="I1243" s="132">
        <v>0</v>
      </c>
    </row>
    <row r="1244" spans="1:9" ht="15" customHeight="1" x14ac:dyDescent="0.25">
      <c r="A1244" s="132" t="s">
        <v>249</v>
      </c>
      <c r="B1244" s="132" t="s">
        <v>333</v>
      </c>
      <c r="C1244" s="132">
        <v>16</v>
      </c>
      <c r="D1244" s="132" t="str">
        <f t="shared" si="90"/>
        <v>Female Falcon 500 16</v>
      </c>
      <c r="E1244" s="132">
        <v>1</v>
      </c>
      <c r="I1244" s="132">
        <v>0</v>
      </c>
    </row>
    <row r="1245" spans="1:9" ht="15" customHeight="1" x14ac:dyDescent="0.25">
      <c r="A1245" s="132" t="s">
        <v>249</v>
      </c>
      <c r="B1245" s="132" t="s">
        <v>333</v>
      </c>
      <c r="C1245" s="132">
        <v>20</v>
      </c>
      <c r="D1245" s="132" t="str">
        <f t="shared" si="90"/>
        <v>Female Falcon 500 20</v>
      </c>
      <c r="E1245" s="132">
        <v>1</v>
      </c>
      <c r="I1245" s="132">
        <v>0</v>
      </c>
    </row>
    <row r="1246" spans="1:9" ht="15" customHeight="1" x14ac:dyDescent="0.25">
      <c r="A1246" s="132" t="s">
        <v>249</v>
      </c>
      <c r="B1246" s="132" t="s">
        <v>333</v>
      </c>
      <c r="C1246" s="132">
        <v>21</v>
      </c>
      <c r="D1246" s="132" t="str">
        <f t="shared" si="90"/>
        <v>Female Falcon 500 21</v>
      </c>
      <c r="E1246" s="132">
        <v>1</v>
      </c>
      <c r="I1246" s="132">
        <v>0</v>
      </c>
    </row>
    <row r="1247" spans="1:9" ht="15" customHeight="1" x14ac:dyDescent="0.25">
      <c r="A1247" s="132" t="s">
        <v>249</v>
      </c>
      <c r="B1247" s="132" t="s">
        <v>333</v>
      </c>
      <c r="C1247" s="132">
        <v>25</v>
      </c>
      <c r="D1247" s="132" t="str">
        <f t="shared" si="90"/>
        <v>Female Falcon 500 25</v>
      </c>
      <c r="E1247" s="132">
        <v>1</v>
      </c>
      <c r="I1247" s="132">
        <v>0</v>
      </c>
    </row>
    <row r="1248" spans="1:9" ht="15" customHeight="1" x14ac:dyDescent="0.25">
      <c r="A1248" s="132" t="s">
        <v>249</v>
      </c>
      <c r="B1248" s="132" t="s">
        <v>333</v>
      </c>
      <c r="C1248" s="132">
        <v>27</v>
      </c>
      <c r="D1248" s="132" t="str">
        <f t="shared" si="90"/>
        <v>Female Falcon 500 27</v>
      </c>
      <c r="E1248" s="132">
        <v>1</v>
      </c>
      <c r="I1248" s="132">
        <v>0</v>
      </c>
    </row>
    <row r="1249" spans="1:9" ht="15" customHeight="1" x14ac:dyDescent="0.25">
      <c r="A1249" s="132" t="s">
        <v>249</v>
      </c>
      <c r="B1249" s="132" t="s">
        <v>333</v>
      </c>
      <c r="C1249" s="132">
        <v>28</v>
      </c>
      <c r="D1249" s="132" t="str">
        <f t="shared" si="90"/>
        <v>Female Falcon 500 28</v>
      </c>
      <c r="E1249" s="132">
        <v>1</v>
      </c>
      <c r="I1249" s="132">
        <v>0</v>
      </c>
    </row>
    <row r="1250" spans="1:9" ht="15" customHeight="1" x14ac:dyDescent="0.25">
      <c r="A1250" s="132" t="s">
        <v>249</v>
      </c>
      <c r="B1250" s="132" t="s">
        <v>333</v>
      </c>
      <c r="C1250" s="132">
        <v>30</v>
      </c>
      <c r="D1250" s="132" t="str">
        <f t="shared" si="90"/>
        <v>Female Falcon 500 30</v>
      </c>
      <c r="E1250" s="132">
        <v>1</v>
      </c>
      <c r="I1250" s="132">
        <v>0</v>
      </c>
    </row>
    <row r="1251" spans="1:9" ht="15" customHeight="1" x14ac:dyDescent="0.25">
      <c r="A1251" s="132" t="s">
        <v>249</v>
      </c>
      <c r="B1251" s="132" t="s">
        <v>333</v>
      </c>
      <c r="C1251" s="132">
        <v>35</v>
      </c>
      <c r="D1251" s="132" t="str">
        <f t="shared" si="90"/>
        <v>Female Falcon 500 35</v>
      </c>
      <c r="E1251" s="132">
        <v>0</v>
      </c>
      <c r="I1251" s="132">
        <v>0</v>
      </c>
    </row>
    <row r="1252" spans="1:9" ht="15" customHeight="1" x14ac:dyDescent="0.25">
      <c r="A1252" s="132" t="s">
        <v>249</v>
      </c>
      <c r="B1252" s="132" t="s">
        <v>333</v>
      </c>
      <c r="C1252" s="132">
        <v>36</v>
      </c>
      <c r="D1252" s="132" t="str">
        <f t="shared" si="90"/>
        <v>Female Falcon 500 36</v>
      </c>
      <c r="E1252" s="132">
        <v>0</v>
      </c>
      <c r="I1252" s="132">
        <v>0</v>
      </c>
    </row>
    <row r="1253" spans="1:9" ht="15" customHeight="1" x14ac:dyDescent="0.25">
      <c r="A1253" s="132" t="s">
        <v>249</v>
      </c>
      <c r="B1253" s="132" t="s">
        <v>333</v>
      </c>
      <c r="C1253" s="132">
        <v>40</v>
      </c>
      <c r="D1253" s="132" t="str">
        <f t="shared" si="90"/>
        <v>Female Falcon 500 40</v>
      </c>
      <c r="E1253" s="132">
        <v>0</v>
      </c>
      <c r="I1253" s="132">
        <v>0</v>
      </c>
    </row>
    <row r="1254" spans="1:9" ht="15" customHeight="1" x14ac:dyDescent="0.25">
      <c r="A1254" s="132" t="s">
        <v>249</v>
      </c>
      <c r="B1254" s="132" t="s">
        <v>333</v>
      </c>
      <c r="C1254" s="132">
        <v>45</v>
      </c>
      <c r="D1254" s="132" t="str">
        <f t="shared" si="90"/>
        <v>Female Falcon 500 45</v>
      </c>
      <c r="E1254" s="132">
        <v>0</v>
      </c>
      <c r="I1254" s="132">
        <v>0</v>
      </c>
    </row>
    <row r="1255" spans="1:9" ht="15" customHeight="1" x14ac:dyDescent="0.25">
      <c r="A1255" s="132" t="s">
        <v>249</v>
      </c>
      <c r="B1255" s="132" t="s">
        <v>333</v>
      </c>
      <c r="C1255" s="132">
        <v>49</v>
      </c>
      <c r="D1255" s="132" t="str">
        <f t="shared" si="90"/>
        <v>Female Falcon 500 49</v>
      </c>
      <c r="E1255" s="132">
        <v>0</v>
      </c>
      <c r="I1255" s="132">
        <v>0</v>
      </c>
    </row>
    <row r="1256" spans="1:9" ht="15" customHeight="1" x14ac:dyDescent="0.25">
      <c r="A1256" s="132" t="s">
        <v>249</v>
      </c>
      <c r="B1256" s="132" t="s">
        <v>333</v>
      </c>
      <c r="C1256" s="132">
        <v>50</v>
      </c>
      <c r="D1256" s="132" t="str">
        <f t="shared" si="90"/>
        <v>Female Falcon 500 50</v>
      </c>
      <c r="E1256" s="132">
        <v>0</v>
      </c>
      <c r="I1256" s="132">
        <v>0</v>
      </c>
    </row>
    <row r="1257" spans="1:9" ht="15" customHeight="1" x14ac:dyDescent="0.25">
      <c r="A1257" s="132" t="s">
        <v>249</v>
      </c>
      <c r="B1257" s="132" t="s">
        <v>333</v>
      </c>
      <c r="C1257" s="132">
        <v>63</v>
      </c>
      <c r="D1257" s="132" t="str">
        <f t="shared" si="90"/>
        <v>Female Falcon 500 63</v>
      </c>
      <c r="E1257" s="132">
        <v>0</v>
      </c>
      <c r="I1257" s="132">
        <v>0</v>
      </c>
    </row>
    <row r="1258" spans="1:9" ht="15" customHeight="1" x14ac:dyDescent="0.25">
      <c r="A1258" s="132" t="s">
        <v>249</v>
      </c>
      <c r="B1258" s="132" t="s">
        <v>333</v>
      </c>
      <c r="C1258" s="132">
        <v>70</v>
      </c>
      <c r="D1258" s="132" t="str">
        <f t="shared" si="90"/>
        <v>Female Falcon 500 70</v>
      </c>
      <c r="E1258" s="132">
        <v>0</v>
      </c>
      <c r="I1258" s="132">
        <v>0</v>
      </c>
    </row>
    <row r="1259" spans="1:9" ht="15" customHeight="1" x14ac:dyDescent="0.25">
      <c r="A1259" s="132" t="s">
        <v>249</v>
      </c>
      <c r="B1259" s="132" t="s">
        <v>333</v>
      </c>
      <c r="C1259" s="132">
        <v>81</v>
      </c>
      <c r="D1259" s="132" t="str">
        <f t="shared" si="90"/>
        <v>Female Falcon 500 81</v>
      </c>
      <c r="E1259" s="132">
        <v>0</v>
      </c>
      <c r="I1259" s="132">
        <v>0</v>
      </c>
    </row>
    <row r="1260" spans="1:9" ht="15" customHeight="1" x14ac:dyDescent="0.25">
      <c r="A1260" s="132" t="s">
        <v>249</v>
      </c>
      <c r="B1260" s="132" t="s">
        <v>333</v>
      </c>
      <c r="C1260" s="132">
        <v>90</v>
      </c>
      <c r="D1260" s="132" t="str">
        <f t="shared" si="90"/>
        <v>Female Falcon 500 90</v>
      </c>
      <c r="E1260" s="132">
        <v>0</v>
      </c>
      <c r="I1260" s="132">
        <v>0</v>
      </c>
    </row>
    <row r="1261" spans="1:9" ht="15" customHeight="1" x14ac:dyDescent="0.25">
      <c r="A1261" s="132" t="s">
        <v>249</v>
      </c>
      <c r="B1261" s="132" t="s">
        <v>333</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320</v>
      </c>
    </row>
    <row r="3" spans="2:14" s="133" customFormat="1" ht="14.25" customHeight="1" x14ac:dyDescent="0.3"/>
    <row r="4" spans="2:14" s="133" customFormat="1" ht="14.25" customHeight="1" x14ac:dyDescent="0.3">
      <c r="B4" s="8" t="b">
        <v>0</v>
      </c>
      <c r="C4" s="133" t="s">
        <v>0</v>
      </c>
    </row>
    <row r="5" spans="2:14" ht="18" customHeight="1" x14ac:dyDescent="0.3">
      <c r="H5" s="242" t="s">
        <v>321</v>
      </c>
      <c r="I5" s="243"/>
      <c r="K5" s="242" t="s">
        <v>322</v>
      </c>
      <c r="L5" s="243"/>
    </row>
    <row r="6" spans="2:14" ht="14.25" customHeight="1" x14ac:dyDescent="0.25">
      <c r="C6" s="141" t="s">
        <v>309</v>
      </c>
      <c r="D6" s="150" t="s">
        <v>255</v>
      </c>
      <c r="F6" s="244" t="s">
        <v>310</v>
      </c>
      <c r="H6" s="153" t="s">
        <v>311</v>
      </c>
      <c r="I6" s="154" t="s">
        <v>312</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311</v>
      </c>
      <c r="L6" s="154" t="s">
        <v>312</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325</v>
      </c>
    </row>
    <row r="7" spans="2:14" ht="14.25" customHeight="1" x14ac:dyDescent="0.25">
      <c r="C7" s="141" t="s">
        <v>313</v>
      </c>
      <c r="D7" s="150" t="s">
        <v>257</v>
      </c>
      <c r="E7" s="142">
        <f>CHOOSE(MATCH($D$7, {"None","DM Nyl 1:1","DM Nyl 3.75:1","DM Nyl 5.33:1","DM Al 1:1","DM Al 3.75:1","DM Al 5.33:1","Dual Motor"}, 0), 1, 2, 7.5, 10.67, 2, 7.5, 10.67, 2)</f>
        <v>1</v>
      </c>
      <c r="F7" s="245"/>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325</v>
      </c>
    </row>
    <row r="8" spans="2:14" ht="14.25" customHeight="1" x14ac:dyDescent="0.25">
      <c r="C8" s="141" t="s">
        <v>323</v>
      </c>
      <c r="D8" s="150" t="s">
        <v>302</v>
      </c>
      <c r="F8" s="245"/>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325</v>
      </c>
    </row>
    <row r="9" spans="2:14" ht="14.25" customHeight="1" x14ac:dyDescent="0.25">
      <c r="C9" s="141" t="s">
        <v>314</v>
      </c>
      <c r="D9" s="151" t="s">
        <v>267</v>
      </c>
      <c r="F9" s="245"/>
      <c r="H9" s="155">
        <f t="shared" si="0"/>
        <v>1</v>
      </c>
      <c r="I9" s="156" t="str">
        <f t="shared" si="1"/>
        <v>217-3102</v>
      </c>
      <c r="J9" s="142" t="str">
        <f t="shared" si="2"/>
        <v>217-2819,</v>
      </c>
      <c r="K9" s="155">
        <f t="shared" si="3"/>
        <v>1</v>
      </c>
      <c r="L9" s="156" t="str">
        <f t="shared" si="4"/>
        <v>217-3564</v>
      </c>
      <c r="M9" s="142" t="str">
        <f t="shared" si="5"/>
        <v>217-4649,217-5832,217-3102,217-5832,217-2819,</v>
      </c>
      <c r="N9" s="143" t="s">
        <v>325</v>
      </c>
    </row>
    <row r="10" spans="2:14" ht="14.25" customHeight="1" x14ac:dyDescent="0.25">
      <c r="C10" s="141" t="s">
        <v>315</v>
      </c>
      <c r="D10" s="151" t="s">
        <v>264</v>
      </c>
      <c r="F10" s="246"/>
      <c r="H10" s="155">
        <f t="shared" si="0"/>
        <v>1</v>
      </c>
      <c r="I10" s="156" t="str">
        <f t="shared" si="1"/>
        <v>217-2819</v>
      </c>
      <c r="J10" s="142" t="str">
        <f t="shared" si="2"/>
        <v/>
      </c>
      <c r="K10" s="155">
        <f t="shared" si="3"/>
        <v>1</v>
      </c>
      <c r="L10" s="156" t="str">
        <f t="shared" si="4"/>
        <v>217-4649</v>
      </c>
      <c r="M10" s="142" t="str">
        <f t="shared" si="5"/>
        <v>217-5832,217-3102,217-5832,217-2819,</v>
      </c>
      <c r="N10" s="143" t="s">
        <v>325</v>
      </c>
    </row>
    <row r="11" spans="2:14" ht="14.25" customHeight="1" x14ac:dyDescent="0.3">
      <c r="C11" s="141" t="s">
        <v>235</v>
      </c>
      <c r="D11" s="151" t="s">
        <v>257</v>
      </c>
      <c r="H11" s="155" t="str">
        <f t="shared" si="0"/>
        <v/>
      </c>
      <c r="I11" s="156" t="str">
        <f t="shared" si="1"/>
        <v/>
      </c>
      <c r="J11" s="142" t="str">
        <f t="shared" si="2"/>
        <v/>
      </c>
      <c r="K11" s="155">
        <f t="shared" si="3"/>
        <v>2</v>
      </c>
      <c r="L11" s="156" t="str">
        <f t="shared" si="4"/>
        <v>217-5832</v>
      </c>
      <c r="M11" s="142" t="str">
        <f t="shared" si="5"/>
        <v>217-3102,217-2819,</v>
      </c>
      <c r="N11" s="143" t="s">
        <v>325</v>
      </c>
    </row>
    <row r="12" spans="2:14" ht="14.25" customHeight="1" x14ac:dyDescent="0.25">
      <c r="C12" s="141" t="s">
        <v>303</v>
      </c>
      <c r="D12" s="150" t="s">
        <v>302</v>
      </c>
      <c r="F12" s="250" t="s">
        <v>343</v>
      </c>
      <c r="G12" s="144"/>
      <c r="H12" s="155" t="str">
        <f t="shared" si="0"/>
        <v/>
      </c>
      <c r="I12" s="156" t="str">
        <f t="shared" si="1"/>
        <v/>
      </c>
      <c r="J12" s="142" t="str">
        <f t="shared" si="2"/>
        <v/>
      </c>
      <c r="K12" s="155">
        <f t="shared" si="3"/>
        <v>1</v>
      </c>
      <c r="L12" s="156" t="str">
        <f t="shared" si="4"/>
        <v>217-3102</v>
      </c>
      <c r="M12" s="142" t="str">
        <f t="shared" si="5"/>
        <v>217-2819,</v>
      </c>
      <c r="N12" s="143" t="s">
        <v>325</v>
      </c>
    </row>
    <row r="13" spans="2:14" ht="14.25" customHeight="1" x14ac:dyDescent="0.25">
      <c r="C13" s="141" t="s">
        <v>305</v>
      </c>
      <c r="D13" s="150" t="s">
        <v>302</v>
      </c>
      <c r="F13" s="251"/>
      <c r="G13" s="144"/>
      <c r="H13" s="155" t="str">
        <f t="shared" si="0"/>
        <v/>
      </c>
      <c r="I13" s="156" t="str">
        <f t="shared" si="1"/>
        <v/>
      </c>
      <c r="J13" s="142" t="str">
        <f t="shared" si="2"/>
        <v/>
      </c>
      <c r="K13" s="155">
        <f t="shared" si="3"/>
        <v>1</v>
      </c>
      <c r="L13" s="156" t="str">
        <f t="shared" si="4"/>
        <v>217-2819</v>
      </c>
      <c r="M13" s="142" t="str">
        <f t="shared" si="5"/>
        <v/>
      </c>
      <c r="N13" s="143" t="s">
        <v>325</v>
      </c>
    </row>
    <row r="14" spans="2:14" ht="14.25" customHeight="1" x14ac:dyDescent="0.25">
      <c r="C14" s="141" t="s">
        <v>307</v>
      </c>
      <c r="D14" s="150" t="s">
        <v>302</v>
      </c>
      <c r="F14" s="251"/>
      <c r="G14" s="144"/>
      <c r="H14" s="155" t="str">
        <f t="shared" si="0"/>
        <v/>
      </c>
      <c r="I14" s="156" t="str">
        <f t="shared" si="1"/>
        <v/>
      </c>
      <c r="J14" s="142" t="str">
        <f t="shared" si="2"/>
        <v/>
      </c>
      <c r="K14" s="155" t="str">
        <f t="shared" si="3"/>
        <v/>
      </c>
      <c r="L14" s="156" t="str">
        <f t="shared" si="4"/>
        <v/>
      </c>
      <c r="M14" s="142" t="str">
        <f t="shared" si="5"/>
        <v/>
      </c>
      <c r="N14" s="143" t="s">
        <v>325</v>
      </c>
    </row>
    <row r="15" spans="2:14" ht="14.25" customHeight="1" x14ac:dyDescent="0.25">
      <c r="C15" s="141" t="s">
        <v>233</v>
      </c>
      <c r="D15" s="150" t="s">
        <v>117</v>
      </c>
      <c r="F15" s="252"/>
      <c r="G15" s="144"/>
      <c r="H15" s="155" t="str">
        <f t="shared" si="0"/>
        <v/>
      </c>
      <c r="I15" s="156" t="str">
        <f t="shared" si="1"/>
        <v/>
      </c>
      <c r="J15" s="142" t="str">
        <f t="shared" si="2"/>
        <v/>
      </c>
      <c r="K15" s="155" t="str">
        <f t="shared" si="3"/>
        <v/>
      </c>
      <c r="L15" s="156" t="str">
        <f t="shared" si="4"/>
        <v/>
      </c>
      <c r="M15" s="142" t="str">
        <f t="shared" si="5"/>
        <v/>
      </c>
      <c r="N15" s="143" t="s">
        <v>325</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325</v>
      </c>
    </row>
    <row r="17" spans="3:14" ht="14.25" customHeight="1" x14ac:dyDescent="0.25">
      <c r="C17" s="141" t="s">
        <v>329</v>
      </c>
      <c r="D17" s="145">
        <f>VALUE(IF($D$9="None", 1, LEFT($D$9, 2)))*VALUE(IF($D$10="None", 1, LEFT($D$10, 2)))*VALUE(IF($D$11="None", 1, LEFT($D$11, 2)))</f>
        <v>35</v>
      </c>
      <c r="F17" s="247" t="s">
        <v>316</v>
      </c>
      <c r="H17" s="155" t="str">
        <f t="shared" si="0"/>
        <v/>
      </c>
      <c r="I17" s="156" t="str">
        <f t="shared" si="1"/>
        <v/>
      </c>
      <c r="J17" s="142" t="str">
        <f t="shared" si="2"/>
        <v/>
      </c>
      <c r="K17" s="155" t="str">
        <f t="shared" si="3"/>
        <v/>
      </c>
      <c r="L17" s="156" t="str">
        <f t="shared" si="4"/>
        <v/>
      </c>
      <c r="M17" s="142" t="str">
        <f t="shared" si="5"/>
        <v/>
      </c>
      <c r="N17" s="143" t="s">
        <v>325</v>
      </c>
    </row>
    <row r="18" spans="3:14" ht="14.25" customHeight="1" x14ac:dyDescent="0.25">
      <c r="C18" s="141" t="s">
        <v>319</v>
      </c>
      <c r="D18" s="146">
        <f>VLOOKUP($D$6, MotorSpecs, 2, FALSE)/D17</f>
        <v>535.14285714285711</v>
      </c>
      <c r="F18" s="248"/>
      <c r="H18" s="155" t="str">
        <f t="shared" si="0"/>
        <v/>
      </c>
      <c r="I18" s="156" t="str">
        <f t="shared" si="1"/>
        <v/>
      </c>
      <c r="J18" s="142" t="str">
        <f t="shared" si="2"/>
        <v/>
      </c>
      <c r="K18" s="155" t="str">
        <f t="shared" si="3"/>
        <v/>
      </c>
      <c r="L18" s="156" t="str">
        <f t="shared" si="4"/>
        <v/>
      </c>
      <c r="M18" s="142" t="str">
        <f t="shared" si="5"/>
        <v/>
      </c>
      <c r="N18" s="143" t="s">
        <v>325</v>
      </c>
    </row>
    <row r="19" spans="3:14" ht="14.25" customHeight="1" thickBot="1" x14ac:dyDescent="0.3">
      <c r="C19" s="141" t="str">
        <f>"Stall Torque ("&amp;IF($B$4,"Nm","ft-lbs")&amp;")"</f>
        <v>Stall Torque (ft-lbs)</v>
      </c>
      <c r="D19" s="147">
        <f>VLOOKUP($D$6,MotorSpecs,3,FALSE)*D17*IF($B$4,1,0.73756)</f>
        <v>18.328365999999999</v>
      </c>
      <c r="F19" s="249"/>
      <c r="H19" s="155" t="str">
        <f t="shared" si="0"/>
        <v/>
      </c>
      <c r="I19" s="156" t="str">
        <f t="shared" si="1"/>
        <v/>
      </c>
      <c r="J19" s="142" t="str">
        <f t="shared" si="2"/>
        <v/>
      </c>
      <c r="K19" s="155" t="str">
        <f t="shared" si="3"/>
        <v/>
      </c>
      <c r="L19" s="156" t="str">
        <f t="shared" si="4"/>
        <v/>
      </c>
      <c r="M19" s="142" t="str">
        <f t="shared" si="5"/>
        <v/>
      </c>
      <c r="N19" s="143" t="s">
        <v>325</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325</v>
      </c>
    </row>
    <row r="21" spans="3:14" ht="14.25" customHeight="1" x14ac:dyDescent="0.25">
      <c r="C21" s="141" t="s">
        <v>344</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47" t="s">
        <v>324</v>
      </c>
      <c r="H21" s="155" t="str">
        <f t="shared" si="0"/>
        <v/>
      </c>
      <c r="I21" s="156" t="str">
        <f t="shared" si="1"/>
        <v/>
      </c>
      <c r="J21" s="142" t="str">
        <f t="shared" si="2"/>
        <v/>
      </c>
      <c r="K21" s="155" t="str">
        <f t="shared" si="3"/>
        <v/>
      </c>
      <c r="L21" s="156" t="str">
        <f t="shared" si="4"/>
        <v/>
      </c>
      <c r="M21" s="142" t="str">
        <f t="shared" si="5"/>
        <v/>
      </c>
      <c r="N21" s="143" t="s">
        <v>325</v>
      </c>
    </row>
    <row r="22" spans="3:14" ht="14.25" customHeight="1" x14ac:dyDescent="0.25">
      <c r="C22" s="141" t="s">
        <v>317</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8"/>
      <c r="H22" s="155" t="str">
        <f t="shared" si="0"/>
        <v/>
      </c>
      <c r="I22" s="156" t="str">
        <f t="shared" si="1"/>
        <v/>
      </c>
      <c r="J22" s="142" t="str">
        <f t="shared" si="2"/>
        <v/>
      </c>
      <c r="K22" s="155" t="str">
        <f t="shared" si="3"/>
        <v/>
      </c>
      <c r="L22" s="156" t="str">
        <f t="shared" si="4"/>
        <v/>
      </c>
      <c r="M22" s="142" t="str">
        <f t="shared" si="5"/>
        <v/>
      </c>
      <c r="N22" s="143" t="s">
        <v>325</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8"/>
      <c r="H23" s="155" t="str">
        <f t="shared" si="0"/>
        <v/>
      </c>
      <c r="I23" s="156" t="str">
        <f t="shared" si="1"/>
        <v/>
      </c>
      <c r="J23" s="142" t="str">
        <f t="shared" si="2"/>
        <v/>
      </c>
      <c r="K23" s="155" t="str">
        <f t="shared" si="3"/>
        <v/>
      </c>
      <c r="L23" s="156" t="str">
        <f t="shared" si="4"/>
        <v/>
      </c>
      <c r="M23" s="142" t="str">
        <f t="shared" si="5"/>
        <v/>
      </c>
      <c r="N23" s="143" t="s">
        <v>325</v>
      </c>
    </row>
    <row r="24" spans="3:14" ht="14.25" customHeight="1" thickBot="1" x14ac:dyDescent="0.3">
      <c r="F24" s="249"/>
      <c r="H24" s="155" t="str">
        <f t="shared" si="0"/>
        <v/>
      </c>
      <c r="I24" s="156" t="str">
        <f t="shared" si="1"/>
        <v/>
      </c>
      <c r="J24" s="142" t="str">
        <f t="shared" si="2"/>
        <v/>
      </c>
      <c r="K24" s="155" t="str">
        <f t="shared" si="3"/>
        <v/>
      </c>
      <c r="L24" s="156" t="str">
        <f t="shared" si="4"/>
        <v/>
      </c>
      <c r="M24" s="142" t="str">
        <f t="shared" si="5"/>
        <v/>
      </c>
      <c r="N24" s="143" t="s">
        <v>325</v>
      </c>
    </row>
    <row r="25" spans="3:14" ht="14.25" customHeight="1" x14ac:dyDescent="0.25">
      <c r="C25" s="141" t="s">
        <v>345</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325</v>
      </c>
    </row>
    <row r="26" spans="3:14" ht="14.25" customHeight="1" x14ac:dyDescent="0.25">
      <c r="C26" s="141" t="s">
        <v>318</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84"/>
    </row>
    <row r="29" spans="3:14" ht="14.25" customHeight="1" x14ac:dyDescent="0.25">
      <c r="E29" s="184"/>
    </row>
  </sheetData>
  <sheetProtection sheet="1" objects="1" scenarios="1"/>
  <mergeCells count="6">
    <mergeCell ref="K5:L5"/>
    <mergeCell ref="F6:F10"/>
    <mergeCell ref="F17:F19"/>
    <mergeCell ref="F21:F24"/>
    <mergeCell ref="H5:I5"/>
    <mergeCell ref="F12:F15"/>
  </mergeCells>
  <conditionalFormatting sqref="D21 D25">
    <cfRule type="cellIs" dxfId="23" priority="6" operator="equal">
      <formula>FALSE</formula>
    </cfRule>
    <cfRule type="cellIs" dxfId="22" priority="11" operator="equal">
      <formula>TRUE</formula>
    </cfRule>
  </conditionalFormatting>
  <conditionalFormatting sqref="F21:F24">
    <cfRule type="expression" dxfId="21"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20" priority="13">
      <formula>OR($D$7="None", OR($D$6="775pro", $D$6="BB RS-775", $D$6="BB RS-550", $D$6="BAG"))</formula>
    </cfRule>
  </conditionalFormatting>
  <conditionalFormatting sqref="D6:D7">
    <cfRule type="expression" dxfId="19" priority="10">
      <formula>NOT(OR($D$7="None", OR($D$6="775pro", $D$6="BB RS-775", $D$6="BB RS-550", $D$6="BAG")))</formula>
    </cfRule>
  </conditionalFormatting>
  <conditionalFormatting sqref="D9:D10">
    <cfRule type="expression" dxfId="18" priority="9">
      <formula>VALUE(IF($D$10="None", 1, LEFT($D$10, 2)))&gt;VALUE(IF($D$9="None", 1, LEFT($D$9, 2)))</formula>
    </cfRule>
  </conditionalFormatting>
  <conditionalFormatting sqref="D10:D11">
    <cfRule type="expression" dxfId="17" priority="8">
      <formula>VALUE(IF($D$11="None", 1, LEFT($D$11, 2)))&gt;VALUE(IF($D$10="None", 1, LEFT($D$10, 2)))</formula>
    </cfRule>
  </conditionalFormatting>
  <conditionalFormatting sqref="D9 D11">
    <cfRule type="expression" dxfId="16" priority="7">
      <formula>VALUE(IF($D$11="None", 1, LEFT($D$11, 2)))&gt;VALUE(IF($D$9="None", 1, LEFT($D$9, 2)))</formula>
    </cfRule>
  </conditionalFormatting>
  <conditionalFormatting sqref="H5:I25">
    <cfRule type="expression" dxfId="15" priority="2">
      <formula>NOT($D$21)</formula>
    </cfRule>
    <cfRule type="expression" dxfId="14" priority="5">
      <formula>$D$21</formula>
    </cfRule>
  </conditionalFormatting>
  <conditionalFormatting sqref="K5:L25">
    <cfRule type="expression" dxfId="13" priority="39">
      <formula>NOT($D$25)</formula>
    </cfRule>
    <cfRule type="expression" dxfId="12"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209</v>
      </c>
      <c r="J2" s="2" t="s">
        <v>20</v>
      </c>
      <c r="Q2" s="2" t="s">
        <v>214</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216</v>
      </c>
      <c r="S4" s="125" t="s">
        <v>217</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219</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220</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333</v>
      </c>
      <c r="C8" s="74">
        <v>6380</v>
      </c>
      <c r="D8" s="74">
        <v>4.6900000000000004</v>
      </c>
      <c r="E8" s="74">
        <v>1.5</v>
      </c>
      <c r="F8" s="74">
        <v>257</v>
      </c>
      <c r="G8" s="127">
        <f t="shared" ref="G8:G26" si="1">IF(ISBLANK(B8), "", (C8/60*2*PI())*D8/4)</f>
        <v>783.36136416037095</v>
      </c>
      <c r="J8" s="73" t="s">
        <v>28</v>
      </c>
      <c r="K8" s="128">
        <v>3</v>
      </c>
      <c r="L8" s="128">
        <v>9</v>
      </c>
      <c r="M8" s="128">
        <v>3</v>
      </c>
      <c r="N8" s="129">
        <v>0</v>
      </c>
      <c r="Q8" s="130" t="s">
        <v>215</v>
      </c>
      <c r="R8" s="74">
        <v>193000</v>
      </c>
      <c r="S8" s="131">
        <v>77000</v>
      </c>
    </row>
    <row r="9" spans="1:19" ht="14.45" x14ac:dyDescent="0.3">
      <c r="B9" s="73" t="s">
        <v>255</v>
      </c>
      <c r="C9" s="74">
        <v>18730</v>
      </c>
      <c r="D9" s="74">
        <v>0.71</v>
      </c>
      <c r="E9" s="74">
        <v>0.7</v>
      </c>
      <c r="F9" s="74">
        <v>134</v>
      </c>
      <c r="G9" s="127">
        <f t="shared" si="1"/>
        <v>348.14867987694288</v>
      </c>
      <c r="J9" s="73"/>
      <c r="K9" s="128"/>
      <c r="L9" s="128"/>
      <c r="M9" s="128"/>
      <c r="N9" s="129"/>
      <c r="Q9" s="130"/>
      <c r="R9" s="74"/>
      <c r="S9" s="131"/>
    </row>
    <row r="10" spans="1:19" ht="14.45" x14ac:dyDescent="0.3">
      <c r="B10" s="73" t="s">
        <v>328</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335</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327</v>
      </c>
      <c r="C15" s="74">
        <v>13050</v>
      </c>
      <c r="D15" s="74">
        <v>0.72</v>
      </c>
      <c r="E15" s="74">
        <v>2.7</v>
      </c>
      <c r="F15" s="74">
        <v>97</v>
      </c>
      <c r="G15" s="127">
        <f t="shared" si="1"/>
        <v>245.98670477608078</v>
      </c>
    </row>
    <row r="16" spans="1:19" ht="14.45" x14ac:dyDescent="0.3">
      <c r="B16" s="73" t="s">
        <v>326</v>
      </c>
      <c r="C16" s="74">
        <v>19000</v>
      </c>
      <c r="D16" s="74">
        <v>0.38</v>
      </c>
      <c r="E16" s="74">
        <v>0.4</v>
      </c>
      <c r="F16" s="74">
        <v>84</v>
      </c>
      <c r="G16" s="127">
        <f t="shared" si="1"/>
        <v>189.01915799098592</v>
      </c>
    </row>
    <row r="17" spans="2:13" ht="14.45" x14ac:dyDescent="0.3">
      <c r="B17" s="73" t="s">
        <v>334</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330</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232</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2020-04-05T16:49:18Z</dcterms:modified>
</cp:coreProperties>
</file>