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20"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105" i="20" l="1"/>
  <c r="AS105" i="20"/>
  <c r="AT104" i="20"/>
  <c r="AS104" i="20"/>
  <c r="AT103" i="20"/>
  <c r="AS103" i="20"/>
  <c r="AT102" i="20"/>
  <c r="AS102" i="20"/>
  <c r="AT101" i="20"/>
  <c r="AS101" i="20"/>
  <c r="AT100" i="20"/>
  <c r="AS100" i="20"/>
  <c r="AT99" i="20"/>
  <c r="AS99" i="20"/>
  <c r="AT98" i="20"/>
  <c r="AS98" i="20"/>
  <c r="AT97" i="20"/>
  <c r="AS97" i="20"/>
  <c r="AT96" i="20"/>
  <c r="AS96" i="20"/>
  <c r="AT95" i="20"/>
  <c r="AS95" i="20"/>
  <c r="AT94" i="20"/>
  <c r="AS94" i="20"/>
  <c r="AT93" i="20"/>
  <c r="AS93" i="20"/>
  <c r="AT92" i="20"/>
  <c r="AS92" i="20"/>
  <c r="AT91" i="20"/>
  <c r="AS91" i="20"/>
  <c r="AT90" i="20"/>
  <c r="AS90" i="20"/>
  <c r="AT89" i="20"/>
  <c r="AS89" i="20"/>
  <c r="AT88" i="20"/>
  <c r="AS88" i="20"/>
  <c r="AT87" i="20"/>
  <c r="AS87" i="20"/>
  <c r="AT86" i="20"/>
  <c r="AS86" i="20"/>
  <c r="AT85" i="20"/>
  <c r="AS85" i="20"/>
  <c r="AT84" i="20"/>
  <c r="AS84" i="20"/>
  <c r="AT83" i="20"/>
  <c r="AS83" i="20"/>
  <c r="AT82" i="20"/>
  <c r="AS82" i="20"/>
  <c r="AT81" i="20"/>
  <c r="AS81" i="20"/>
  <c r="AT80" i="20"/>
  <c r="AS80" i="20"/>
  <c r="AT79" i="20"/>
  <c r="AS79" i="20"/>
  <c r="AT78" i="20"/>
  <c r="AS78" i="20"/>
  <c r="AT77" i="20"/>
  <c r="AS77" i="20"/>
  <c r="AT76" i="20"/>
  <c r="AS76" i="20"/>
  <c r="AT75" i="20"/>
  <c r="AS75" i="20"/>
  <c r="AT74" i="20"/>
  <c r="AS74" i="20"/>
  <c r="AT73" i="20"/>
  <c r="AS73" i="20"/>
  <c r="AT72" i="20"/>
  <c r="AS72" i="20"/>
  <c r="AT71" i="20"/>
  <c r="AS71" i="20"/>
  <c r="AT70" i="20"/>
  <c r="AS70" i="20"/>
  <c r="AT69" i="20"/>
  <c r="AS69" i="20"/>
  <c r="AT68" i="20"/>
  <c r="AS68" i="20"/>
  <c r="AT67" i="20"/>
  <c r="AS67" i="20"/>
  <c r="AT66" i="20"/>
  <c r="AS66" i="20"/>
  <c r="AT65" i="20"/>
  <c r="AS65" i="20"/>
  <c r="AT64" i="20"/>
  <c r="AS64" i="20"/>
  <c r="AT63" i="20"/>
  <c r="AS63" i="20"/>
  <c r="AT62" i="20"/>
  <c r="AS62" i="20"/>
  <c r="AT61" i="20"/>
  <c r="AS61" i="20"/>
  <c r="AT60" i="20"/>
  <c r="AS60" i="20"/>
  <c r="AT59" i="20"/>
  <c r="AS59" i="20"/>
  <c r="AT58" i="20"/>
  <c r="AS58" i="20"/>
  <c r="AT57" i="20"/>
  <c r="AS57" i="20"/>
  <c r="AT56" i="20"/>
  <c r="AS56" i="20"/>
  <c r="AT55" i="20"/>
  <c r="AS55" i="20"/>
  <c r="AT54" i="20"/>
  <c r="AS54" i="20"/>
  <c r="AT53" i="20"/>
  <c r="AS53" i="20"/>
  <c r="AT52" i="20"/>
  <c r="AS52" i="20"/>
  <c r="AT51" i="20"/>
  <c r="AS51" i="20"/>
  <c r="AT50" i="20"/>
  <c r="AS50" i="20"/>
  <c r="AT49" i="20"/>
  <c r="AS49" i="20"/>
  <c r="AT48" i="20"/>
  <c r="AS48" i="20"/>
  <c r="AT47" i="20"/>
  <c r="AS47" i="20"/>
  <c r="AT46" i="20"/>
  <c r="AS46" i="20"/>
  <c r="AT45" i="20"/>
  <c r="AS45" i="20"/>
  <c r="AT44" i="20"/>
  <c r="AS44" i="20"/>
  <c r="AT43" i="20"/>
  <c r="AS43" i="20"/>
  <c r="AT42" i="20"/>
  <c r="AS42" i="20"/>
  <c r="AT41" i="20"/>
  <c r="AS41" i="20"/>
  <c r="AT40" i="20"/>
  <c r="AS40" i="20"/>
  <c r="AT39" i="20"/>
  <c r="AS39" i="20"/>
  <c r="AT38" i="20"/>
  <c r="AS38" i="20"/>
  <c r="AT37" i="20"/>
  <c r="AS37" i="20"/>
  <c r="AT36" i="20"/>
  <c r="AS36" i="20"/>
  <c r="AT35" i="20"/>
  <c r="AS35" i="20"/>
  <c r="D35" i="20"/>
  <c r="AT34" i="20"/>
  <c r="AS34" i="20"/>
  <c r="AT33" i="20"/>
  <c r="AS33" i="20"/>
  <c r="C33" i="20"/>
  <c r="AT32" i="20"/>
  <c r="AS32" i="20"/>
  <c r="C32" i="20"/>
  <c r="AT31" i="20"/>
  <c r="AS31" i="20"/>
  <c r="AT30" i="20"/>
  <c r="AS30" i="20"/>
  <c r="AT29" i="20"/>
  <c r="AS29" i="20"/>
  <c r="AT28" i="20"/>
  <c r="AS28" i="20"/>
  <c r="AT27" i="20"/>
  <c r="AS27" i="20"/>
  <c r="AT26" i="20"/>
  <c r="AS26" i="20"/>
  <c r="AT25" i="20"/>
  <c r="AS25" i="20"/>
  <c r="AT24" i="20"/>
  <c r="AS24" i="20"/>
  <c r="AT23" i="20"/>
  <c r="AS23" i="20"/>
  <c r="AT22" i="20"/>
  <c r="AS22" i="20"/>
  <c r="C22" i="20"/>
  <c r="AT21" i="20"/>
  <c r="AS21" i="20"/>
  <c r="C21" i="20"/>
  <c r="AT20" i="20"/>
  <c r="AS20" i="20"/>
  <c r="AT19" i="20"/>
  <c r="AS19" i="20"/>
  <c r="C19" i="20"/>
  <c r="AT18" i="20"/>
  <c r="AS18" i="20"/>
  <c r="AT17" i="20"/>
  <c r="AS17" i="20"/>
  <c r="F17" i="20"/>
  <c r="C17" i="20"/>
  <c r="AT16" i="20"/>
  <c r="AS16" i="20"/>
  <c r="F16" i="20"/>
  <c r="AT15" i="20"/>
  <c r="AS15" i="20"/>
  <c r="V15" i="20"/>
  <c r="C15" i="20"/>
  <c r="AT14" i="20"/>
  <c r="AS14" i="20"/>
  <c r="V14" i="20"/>
  <c r="F14" i="20"/>
  <c r="C14" i="20"/>
  <c r="AT13" i="20"/>
  <c r="AS13" i="20"/>
  <c r="G13" i="20"/>
  <c r="G12" i="20" s="1"/>
  <c r="AR5" i="20" s="1"/>
  <c r="AT12" i="20"/>
  <c r="AS12" i="20"/>
  <c r="F12" i="20"/>
  <c r="AT11" i="20"/>
  <c r="AS11" i="20"/>
  <c r="AT10" i="20"/>
  <c r="AS10" i="20"/>
  <c r="V10" i="20"/>
  <c r="AT9" i="20"/>
  <c r="AS9" i="20"/>
  <c r="V9" i="20"/>
  <c r="F9" i="20"/>
  <c r="C9" i="20"/>
  <c r="AT8" i="20"/>
  <c r="AS8" i="20"/>
  <c r="V8" i="20"/>
  <c r="F8" i="20"/>
  <c r="C8" i="20"/>
  <c r="AT7" i="20"/>
  <c r="AS7" i="20"/>
  <c r="AP7" i="20"/>
  <c r="V7" i="20"/>
  <c r="AB5" i="20" s="1"/>
  <c r="F7" i="20"/>
  <c r="C7" i="20"/>
  <c r="AT6" i="20"/>
  <c r="AS6" i="20"/>
  <c r="AP6" i="20"/>
  <c r="V6" i="20"/>
  <c r="AT5" i="20"/>
  <c r="AS5" i="20"/>
  <c r="AL5" i="20"/>
  <c r="AJ5" i="20"/>
  <c r="AI5" i="20"/>
  <c r="V5" i="20"/>
  <c r="AA5" i="20" s="1"/>
  <c r="V4" i="20" l="1"/>
  <c r="Y6" i="20" s="1"/>
  <c r="Y7" i="20" s="1"/>
  <c r="Y8" i="20" s="1"/>
  <c r="Y9" i="20" s="1"/>
  <c r="Y10" i="20" s="1"/>
  <c r="Y11" i="20" s="1"/>
  <c r="Y12" i="20" s="1"/>
  <c r="Y13" i="20" s="1"/>
  <c r="Y14" i="20" s="1"/>
  <c r="Y15" i="20" s="1"/>
  <c r="Y16" i="20" s="1"/>
  <c r="Y17" i="20" s="1"/>
  <c r="Y18" i="20" s="1"/>
  <c r="Y19" i="20" s="1"/>
  <c r="Y20" i="20" s="1"/>
  <c r="Y21" i="20" s="1"/>
  <c r="Y22" i="20" s="1"/>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AC5" i="20"/>
  <c r="AI6" i="20"/>
  <c r="AK5" i="20"/>
  <c r="AM5" i="20" s="1"/>
  <c r="AD5" i="20"/>
  <c r="AE5" i="20" s="1"/>
  <c r="AF5" i="20" s="1"/>
  <c r="AQ5" i="20"/>
  <c r="AQ6" i="20"/>
  <c r="AR6" i="20" s="1"/>
  <c r="AQ7" i="20"/>
  <c r="AP8" i="20"/>
  <c r="V12" i="20"/>
  <c r="V11" i="20"/>
  <c r="J27" i="7"/>
  <c r="AA6" i="20" l="1"/>
  <c r="Z6" i="20"/>
  <c r="AI7" i="20" s="1"/>
  <c r="AP9" i="20"/>
  <c r="AQ8" i="20"/>
  <c r="AR8" i="20" s="1"/>
  <c r="AG5" i="20"/>
  <c r="AB6" i="20" s="1"/>
  <c r="AH5" i="20"/>
  <c r="AC6" i="20" s="1"/>
  <c r="AA7" i="20" s="1"/>
  <c r="AK6" i="20"/>
  <c r="AM6" i="20" s="1"/>
  <c r="AR7" i="20"/>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AJ6" i="20" l="1"/>
  <c r="AL6" i="20" s="1"/>
  <c r="Z7" i="20"/>
  <c r="AI8" i="20" s="1"/>
  <c r="AK7" i="20"/>
  <c r="AM7" i="20" s="1"/>
  <c r="AP10" i="20"/>
  <c r="AQ9" i="20"/>
  <c r="AR9" i="20" s="1"/>
  <c r="AD6" i="20"/>
  <c r="AJ7" i="20" l="1"/>
  <c r="AL7" i="20" s="1"/>
  <c r="AE6" i="20"/>
  <c r="AF6" i="20" s="1"/>
  <c r="AH6" i="20" s="1"/>
  <c r="AC7" i="20" s="1"/>
  <c r="AP11" i="20"/>
  <c r="AQ10" i="20"/>
  <c r="AR10" i="20" s="1"/>
  <c r="N11" i="7"/>
  <c r="D27" i="17"/>
  <c r="D23" i="17"/>
  <c r="C27" i="17"/>
  <c r="C23" i="17"/>
  <c r="M6" i="17"/>
  <c r="J6" i="17"/>
  <c r="E7" i="17"/>
  <c r="AQ11" i="20" l="1"/>
  <c r="AR11" i="20" s="1"/>
  <c r="AP12" i="20"/>
  <c r="AG6" i="20"/>
  <c r="AB7" i="20" s="1"/>
  <c r="AA8" i="20"/>
  <c r="M14" i="7"/>
  <c r="G13" i="7"/>
  <c r="M13" i="7"/>
  <c r="G14" i="7"/>
  <c r="AD7" i="20" l="1"/>
  <c r="AE7" i="20" s="1"/>
  <c r="AF7" i="20" s="1"/>
  <c r="AH7" i="20" s="1"/>
  <c r="AC8" i="20" s="1"/>
  <c r="AA9" i="20" s="1"/>
  <c r="Z8" i="20"/>
  <c r="AI9" i="20"/>
  <c r="AK8" i="20"/>
  <c r="AM8" i="20" s="1"/>
  <c r="AP13" i="20"/>
  <c r="AQ12" i="20"/>
  <c r="AR12" i="20" s="1"/>
  <c r="AG7" i="20" l="1"/>
  <c r="AB8" i="20" s="1"/>
  <c r="AD8" i="20" s="1"/>
  <c r="AE8" i="20" s="1"/>
  <c r="AF8" i="20" s="1"/>
  <c r="AH8" i="20" s="1"/>
  <c r="AC9" i="20" s="1"/>
  <c r="AK9" i="20"/>
  <c r="AM9" i="20" s="1"/>
  <c r="AQ13" i="20"/>
  <c r="AR13" i="20" s="1"/>
  <c r="AP14" i="20"/>
  <c r="AJ8" i="20"/>
  <c r="Z9" i="20" l="1"/>
  <c r="AI10" i="20" s="1"/>
  <c r="AG8" i="20"/>
  <c r="AB9" i="20" s="1"/>
  <c r="AD9" i="20"/>
  <c r="AE9" i="20" s="1"/>
  <c r="AF9" i="20" s="1"/>
  <c r="AH9" i="20" s="1"/>
  <c r="AC10" i="20" s="1"/>
  <c r="AL8" i="20"/>
  <c r="AA10" i="20"/>
  <c r="AQ14" i="20"/>
  <c r="AR14" i="20" s="1"/>
  <c r="AP15" i="20"/>
  <c r="AG9" i="20" l="1"/>
  <c r="AB10" i="20" s="1"/>
  <c r="AD10" i="20" s="1"/>
  <c r="AE10" i="20" s="1"/>
  <c r="AF10" i="20" s="1"/>
  <c r="AH10" i="20" s="1"/>
  <c r="AC11" i="20" s="1"/>
  <c r="AJ9" i="20"/>
  <c r="AL9" i="20" s="1"/>
  <c r="Z10" i="20"/>
  <c r="AI11" i="20" s="1"/>
  <c r="AA11" i="20"/>
  <c r="AP16" i="20"/>
  <c r="AQ15" i="20"/>
  <c r="AR15" i="20" s="1"/>
  <c r="AK10" i="20"/>
  <c r="AM10" i="20" s="1"/>
  <c r="AJ10" i="20" l="1"/>
  <c r="Z11" i="20"/>
  <c r="AJ11" i="20" s="1"/>
  <c r="AL11" i="20" s="1"/>
  <c r="AG10" i="20"/>
  <c r="AB11" i="20" s="1"/>
  <c r="AK11" i="20"/>
  <c r="AM11" i="20" s="1"/>
  <c r="AL10" i="20"/>
  <c r="AP17" i="20"/>
  <c r="AQ16" i="20"/>
  <c r="AR16" i="20" s="1"/>
  <c r="AA12" i="20"/>
  <c r="AI12" i="20" l="1"/>
  <c r="AJ12" i="20" s="1"/>
  <c r="AL12" i="20" s="1"/>
  <c r="AD11" i="20"/>
  <c r="AE11" i="20" s="1"/>
  <c r="AF11" i="20" s="1"/>
  <c r="AH11" i="20" s="1"/>
  <c r="AC12" i="20" s="1"/>
  <c r="AP18" i="20"/>
  <c r="AQ17" i="20"/>
  <c r="AR17" i="20" s="1"/>
  <c r="Z12" i="20"/>
  <c r="AI13" i="20" s="1"/>
  <c r="AK12" i="20" l="1"/>
  <c r="AM12" i="20" s="1"/>
  <c r="AG11" i="20"/>
  <c r="AB12" i="20" s="1"/>
  <c r="AD12" i="20" s="1"/>
  <c r="AE12" i="20" s="1"/>
  <c r="AF12" i="20" s="1"/>
  <c r="AH12" i="20" s="1"/>
  <c r="AC13" i="20" s="1"/>
  <c r="AA13" i="20"/>
  <c r="AK13" i="20" s="1"/>
  <c r="AM13" i="20" s="1"/>
  <c r="AP19" i="20"/>
  <c r="AQ18" i="20"/>
  <c r="AR18" i="20" s="1"/>
  <c r="Z13" i="20" l="1"/>
  <c r="AJ13" i="20" s="1"/>
  <c r="AL13" i="20" s="1"/>
  <c r="AG12" i="20"/>
  <c r="AB13" i="20" s="1"/>
  <c r="AQ19" i="20"/>
  <c r="AR19" i="20" s="1"/>
  <c r="AP20" i="20"/>
  <c r="AA14" i="20"/>
  <c r="AI14" i="20" l="1"/>
  <c r="AK14" i="20" s="1"/>
  <c r="AM14" i="20" s="1"/>
  <c r="AP21" i="20"/>
  <c r="AQ20" i="20"/>
  <c r="AR20" i="20" s="1"/>
  <c r="AD13" i="20"/>
  <c r="AE13" i="20" s="1"/>
  <c r="AF13" i="20" s="1"/>
  <c r="AH13" i="20" s="1"/>
  <c r="AC14" i="20" s="1"/>
  <c r="AA15" i="20" s="1"/>
  <c r="Z14" i="20"/>
  <c r="AG13" i="20" l="1"/>
  <c r="AB14" i="20" s="1"/>
  <c r="Z15" i="20" s="1"/>
  <c r="AI16" i="20" s="1"/>
  <c r="AI15" i="20"/>
  <c r="AQ21" i="20"/>
  <c r="AR21" i="20" s="1"/>
  <c r="AP22" i="20"/>
  <c r="AJ14" i="20"/>
  <c r="AL14" i="20" s="1"/>
  <c r="AD14" i="20" l="1"/>
  <c r="AE14" i="20" s="1"/>
  <c r="AF14" i="20" s="1"/>
  <c r="AH14" i="20" s="1"/>
  <c r="AC15" i="20" s="1"/>
  <c r="AA16" i="20" s="1"/>
  <c r="AQ22" i="20"/>
  <c r="AR22" i="20" s="1"/>
  <c r="AP23" i="20"/>
  <c r="AK15" i="20"/>
  <c r="AM15" i="20" s="1"/>
  <c r="AJ15" i="20"/>
  <c r="AL15" i="20" s="1"/>
  <c r="AG14" i="20" l="1"/>
  <c r="AB15" i="20" s="1"/>
  <c r="AD15" i="20" s="1"/>
  <c r="AE15" i="20" s="1"/>
  <c r="AF15" i="20" s="1"/>
  <c r="AH15" i="20" s="1"/>
  <c r="AC16" i="20" s="1"/>
  <c r="AA17" i="20" s="1"/>
  <c r="AK16" i="20"/>
  <c r="AM16" i="20" s="1"/>
  <c r="AQ23" i="20"/>
  <c r="AR23" i="20" s="1"/>
  <c r="AP24" i="20"/>
  <c r="AG15" i="20" l="1"/>
  <c r="AB16" i="20" s="1"/>
  <c r="Z16" i="20"/>
  <c r="AI17" i="20" s="1"/>
  <c r="AJ16" i="20"/>
  <c r="AL16" i="20" s="1"/>
  <c r="AQ24" i="20"/>
  <c r="AR24" i="20" s="1"/>
  <c r="AP25" i="20"/>
  <c r="AK17" i="20"/>
  <c r="AM17" i="20" s="1"/>
  <c r="Z17" i="20" l="1"/>
  <c r="AD16" i="20"/>
  <c r="AE16" i="20" s="1"/>
  <c r="AF16" i="20" s="1"/>
  <c r="AH16" i="20" s="1"/>
  <c r="AC17" i="20" s="1"/>
  <c r="AA18" i="20" s="1"/>
  <c r="AQ25" i="20"/>
  <c r="AR25" i="20" s="1"/>
  <c r="AP26" i="20"/>
  <c r="AI18" i="20"/>
  <c r="AJ17" i="20"/>
  <c r="AL17" i="20" s="1"/>
  <c r="AG16" i="20" l="1"/>
  <c r="AB17" i="20" s="1"/>
  <c r="AQ26" i="20"/>
  <c r="AR26" i="20" s="1"/>
  <c r="AP27" i="20"/>
  <c r="AK18" i="20"/>
  <c r="AM18" i="20" s="1"/>
  <c r="Z18" i="20" l="1"/>
  <c r="AD17" i="20"/>
  <c r="AE17" i="20" s="1"/>
  <c r="AF17" i="20" s="1"/>
  <c r="AH17" i="20" s="1"/>
  <c r="AC18" i="20" s="1"/>
  <c r="AA19" i="20" s="1"/>
  <c r="AQ27" i="20"/>
  <c r="AR27" i="20" s="1"/>
  <c r="AP28" i="20"/>
  <c r="AG17" i="20" l="1"/>
  <c r="AB18" i="20" s="1"/>
  <c r="AD18" i="20" s="1"/>
  <c r="AE18" i="20" s="1"/>
  <c r="AF18" i="20" s="1"/>
  <c r="AH18" i="20" s="1"/>
  <c r="AC19" i="20" s="1"/>
  <c r="AA20" i="20" s="1"/>
  <c r="AJ18" i="20"/>
  <c r="AL18" i="20" s="1"/>
  <c r="AI19" i="20"/>
  <c r="AK19" i="20" s="1"/>
  <c r="AM19" i="20" s="1"/>
  <c r="AG18" i="20"/>
  <c r="AB19" i="20" s="1"/>
  <c r="AD19" i="20" s="1"/>
  <c r="AE19" i="20" s="1"/>
  <c r="AF19" i="20" s="1"/>
  <c r="AH19" i="20" s="1"/>
  <c r="AC20" i="20" s="1"/>
  <c r="AQ28" i="20"/>
  <c r="AR28" i="20" s="1"/>
  <c r="AP29" i="20"/>
  <c r="Z19" i="20" l="1"/>
  <c r="AI20" i="20" s="1"/>
  <c r="AK20" i="20" s="1"/>
  <c r="AM20" i="20" s="1"/>
  <c r="Z20" i="20"/>
  <c r="AG19" i="20"/>
  <c r="AB20" i="20" s="1"/>
  <c r="AD20" i="20" s="1"/>
  <c r="AE20" i="20" s="1"/>
  <c r="AF20" i="20" s="1"/>
  <c r="AH20" i="20" s="1"/>
  <c r="AC21" i="20" s="1"/>
  <c r="AA21" i="20"/>
  <c r="AI21" i="20"/>
  <c r="AQ29" i="20"/>
  <c r="AR29" i="20" s="1"/>
  <c r="AP30" i="20"/>
  <c r="AJ20" i="20" l="1"/>
  <c r="AL20" i="20" s="1"/>
  <c r="AJ19" i="20"/>
  <c r="AL19" i="20" s="1"/>
  <c r="Z21" i="20"/>
  <c r="AI22" i="20" s="1"/>
  <c r="AA22" i="20"/>
  <c r="AG20" i="20"/>
  <c r="AB21" i="20" s="1"/>
  <c r="AQ30" i="20"/>
  <c r="AR30" i="20" s="1"/>
  <c r="AP31" i="20"/>
  <c r="AK21" i="20"/>
  <c r="AM21" i="20" s="1"/>
  <c r="AJ21" i="20" l="1"/>
  <c r="AL21" i="20" s="1"/>
  <c r="Z22" i="20"/>
  <c r="AK22" i="20"/>
  <c r="AM22" i="20" s="1"/>
  <c r="AJ22" i="20"/>
  <c r="AL22" i="20" s="1"/>
  <c r="AP32" i="20"/>
  <c r="AQ31" i="20"/>
  <c r="AR31" i="20" s="1"/>
  <c r="AI23" i="20"/>
  <c r="AD21" i="20"/>
  <c r="AE21" i="20" s="1"/>
  <c r="AF21" i="20" s="1"/>
  <c r="AH21" i="20" s="1"/>
  <c r="AC22" i="20" s="1"/>
  <c r="AG21" i="20" l="1"/>
  <c r="AB22" i="20" s="1"/>
  <c r="AD22" i="20" s="1"/>
  <c r="AE22" i="20" s="1"/>
  <c r="AF22" i="20" s="1"/>
  <c r="AH22" i="20" s="1"/>
  <c r="AC23" i="20" s="1"/>
  <c r="AP33" i="20"/>
  <c r="AQ32" i="20"/>
  <c r="AR32" i="20" s="1"/>
  <c r="AA23" i="20"/>
  <c r="AK23" i="20" s="1"/>
  <c r="AM23" i="20" s="1"/>
  <c r="Z23" i="20" l="1"/>
  <c r="AJ23" i="20" s="1"/>
  <c r="AL23" i="20" s="1"/>
  <c r="AQ33" i="20"/>
  <c r="AR33" i="20" s="1"/>
  <c r="AP34" i="20"/>
  <c r="AA24" i="20"/>
  <c r="AG22" i="20"/>
  <c r="AB23" i="20" s="1"/>
  <c r="AI24" i="20" l="1"/>
  <c r="AK24" i="20" s="1"/>
  <c r="AM24" i="20" s="1"/>
  <c r="AP35" i="20"/>
  <c r="AQ34" i="20"/>
  <c r="AR34" i="20" s="1"/>
  <c r="AD23" i="20"/>
  <c r="AE23" i="20" s="1"/>
  <c r="AF23" i="20" s="1"/>
  <c r="AH23" i="20" s="1"/>
  <c r="AC24" i="20" s="1"/>
  <c r="AA25" i="20" s="1"/>
  <c r="Z24" i="20"/>
  <c r="AG23" i="20" l="1"/>
  <c r="AB24" i="20" s="1"/>
  <c r="Z25" i="20" s="1"/>
  <c r="AI26" i="20" s="1"/>
  <c r="AJ24" i="20"/>
  <c r="AL24" i="20" s="1"/>
  <c r="AP36" i="20"/>
  <c r="AQ35" i="20"/>
  <c r="AR35" i="20" s="1"/>
  <c r="AI25" i="20"/>
  <c r="AD24" i="20" l="1"/>
  <c r="AE24" i="20" s="1"/>
  <c r="AF24" i="20" s="1"/>
  <c r="AH24" i="20" s="1"/>
  <c r="AC25" i="20" s="1"/>
  <c r="AA26" i="20" s="1"/>
  <c r="AK26" i="20" s="1"/>
  <c r="AM26" i="20" s="1"/>
  <c r="AP37" i="20"/>
  <c r="AQ36" i="20"/>
  <c r="AR36" i="20" s="1"/>
  <c r="AK25" i="20"/>
  <c r="AM25" i="20" s="1"/>
  <c r="AJ25" i="20"/>
  <c r="AL25" i="20" s="1"/>
  <c r="AG24" i="20" l="1"/>
  <c r="AB25" i="20" s="1"/>
  <c r="AD25" i="20" s="1"/>
  <c r="AE25" i="20" s="1"/>
  <c r="AF25" i="20" s="1"/>
  <c r="AH25" i="20" s="1"/>
  <c r="AC26" i="20" s="1"/>
  <c r="AA27" i="20" s="1"/>
  <c r="AP38" i="20"/>
  <c r="AQ37" i="20"/>
  <c r="AR37" i="20" s="1"/>
  <c r="Z26" i="20" l="1"/>
  <c r="AI27" i="20" s="1"/>
  <c r="AK27" i="20" s="1"/>
  <c r="AM27" i="20" s="1"/>
  <c r="AG25" i="20"/>
  <c r="AB26" i="20" s="1"/>
  <c r="AP39" i="20"/>
  <c r="AQ38" i="20"/>
  <c r="AR38" i="20" s="1"/>
  <c r="AJ26" i="20"/>
  <c r="AL26" i="20" s="1"/>
  <c r="Z27" i="20" l="1"/>
  <c r="AI28" i="20" s="1"/>
  <c r="AP40" i="20"/>
  <c r="AQ39" i="20"/>
  <c r="AR39" i="20" s="1"/>
  <c r="AD26" i="20"/>
  <c r="AE26" i="20" s="1"/>
  <c r="AF26" i="20" s="1"/>
  <c r="AH26" i="20" s="1"/>
  <c r="AC27" i="20" s="1"/>
  <c r="AJ27" i="20"/>
  <c r="AL27" i="20" s="1"/>
  <c r="AG26" i="20" l="1"/>
  <c r="AB27" i="20" s="1"/>
  <c r="AD27" i="20" s="1"/>
  <c r="AE27" i="20" s="1"/>
  <c r="AF27" i="20" s="1"/>
  <c r="AH27" i="20" s="1"/>
  <c r="AC28" i="20" s="1"/>
  <c r="AA28" i="20"/>
  <c r="AP41" i="20"/>
  <c r="AQ40" i="20"/>
  <c r="AR40" i="20" s="1"/>
  <c r="Z28" i="20" l="1"/>
  <c r="AJ28" i="20" s="1"/>
  <c r="AL28" i="20" s="1"/>
  <c r="AG27" i="20"/>
  <c r="AB28" i="20" s="1"/>
  <c r="AD28" i="20" s="1"/>
  <c r="AE28" i="20" s="1"/>
  <c r="AF28" i="20" s="1"/>
  <c r="AH28" i="20" s="1"/>
  <c r="AC29" i="20" s="1"/>
  <c r="AA29" i="20"/>
  <c r="AK28" i="20"/>
  <c r="AM28" i="20" s="1"/>
  <c r="AP42" i="20"/>
  <c r="AQ41" i="20"/>
  <c r="AR41" i="20" s="1"/>
  <c r="AI29" i="20" l="1"/>
  <c r="AK29" i="20" s="1"/>
  <c r="AM29" i="20" s="1"/>
  <c r="Z29" i="20"/>
  <c r="AG28" i="20"/>
  <c r="AB29" i="20" s="1"/>
  <c r="AP43" i="20"/>
  <c r="AQ42" i="20"/>
  <c r="AR42" i="20" s="1"/>
  <c r="AA30" i="20"/>
  <c r="AI30" i="20"/>
  <c r="AJ29" i="20" l="1"/>
  <c r="AL29" i="20" s="1"/>
  <c r="AK30" i="20"/>
  <c r="AM30" i="20" s="1"/>
  <c r="AD29" i="20"/>
  <c r="AE29" i="20" s="1"/>
  <c r="AF29" i="20" s="1"/>
  <c r="AH29" i="20" s="1"/>
  <c r="AC30" i="20" s="1"/>
  <c r="AA31" i="20" s="1"/>
  <c r="AP44" i="20"/>
  <c r="AQ43" i="20"/>
  <c r="AR43" i="20" s="1"/>
  <c r="Z30" i="20"/>
  <c r="AG29" i="20" l="1"/>
  <c r="AB30" i="20" s="1"/>
  <c r="AD30" i="20" s="1"/>
  <c r="AE30" i="20" s="1"/>
  <c r="AF30" i="20" s="1"/>
  <c r="AH30" i="20" s="1"/>
  <c r="AC31" i="20" s="1"/>
  <c r="AA32" i="20" s="1"/>
  <c r="AI31" i="20"/>
  <c r="AP45" i="20"/>
  <c r="AQ44" i="20"/>
  <c r="AR44" i="20" s="1"/>
  <c r="AJ30" i="20"/>
  <c r="AL30" i="20" s="1"/>
  <c r="Z31" i="20" l="1"/>
  <c r="AI32" i="20" s="1"/>
  <c r="AG30" i="20"/>
  <c r="AB31" i="20" s="1"/>
  <c r="AD31" i="20" s="1"/>
  <c r="AE31" i="20" s="1"/>
  <c r="AF31" i="20" s="1"/>
  <c r="AH31" i="20" s="1"/>
  <c r="AC32" i="20" s="1"/>
  <c r="AP46" i="20"/>
  <c r="AQ45" i="20"/>
  <c r="AR45" i="20" s="1"/>
  <c r="AK32" i="20"/>
  <c r="AM32" i="20" s="1"/>
  <c r="AK31" i="20"/>
  <c r="AM31" i="20" s="1"/>
  <c r="Z32" i="20" l="1"/>
  <c r="AJ32" i="20" s="1"/>
  <c r="AL32" i="20" s="1"/>
  <c r="AJ31" i="20"/>
  <c r="AL31" i="20" s="1"/>
  <c r="AG31" i="20"/>
  <c r="AB32" i="20" s="1"/>
  <c r="AD32" i="20" s="1"/>
  <c r="AE32" i="20" s="1"/>
  <c r="AF32" i="20" s="1"/>
  <c r="AH32" i="20" s="1"/>
  <c r="AC33" i="20" s="1"/>
  <c r="AP47" i="20"/>
  <c r="AQ46" i="20"/>
  <c r="AR46" i="20" s="1"/>
  <c r="AA33" i="20"/>
  <c r="AI33" i="20" l="1"/>
  <c r="AK33" i="20" s="1"/>
  <c r="AM33" i="20" s="1"/>
  <c r="Z33" i="20"/>
  <c r="AI34" i="20"/>
  <c r="AA34" i="20"/>
  <c r="AG32" i="20"/>
  <c r="AB33" i="20" s="1"/>
  <c r="AP48" i="20"/>
  <c r="AQ47" i="20"/>
  <c r="AR47" i="20" s="1"/>
  <c r="AJ33" i="20" l="1"/>
  <c r="AL33" i="20" s="1"/>
  <c r="AD33" i="20"/>
  <c r="AE33" i="20" s="1"/>
  <c r="AF33" i="20" s="1"/>
  <c r="AH33" i="20" s="1"/>
  <c r="AC34" i="20" s="1"/>
  <c r="AK34" i="20"/>
  <c r="AM34" i="20" s="1"/>
  <c r="AP49" i="20"/>
  <c r="AQ48" i="20"/>
  <c r="AR48" i="20" s="1"/>
  <c r="Z34" i="20"/>
  <c r="AJ34" i="20" s="1"/>
  <c r="AL34" i="20" s="1"/>
  <c r="AI35" i="20" l="1"/>
  <c r="AJ35" i="20" s="1"/>
  <c r="AL35" i="20" s="1"/>
  <c r="AG33" i="20"/>
  <c r="AB34" i="20" s="1"/>
  <c r="Z35" i="20" s="1"/>
  <c r="AP50" i="20"/>
  <c r="AQ49" i="20"/>
  <c r="AR49" i="20" s="1"/>
  <c r="AA35" i="20"/>
  <c r="AI36" i="20" l="1"/>
  <c r="AP51" i="20"/>
  <c r="AQ50" i="20"/>
  <c r="AR50" i="20" s="1"/>
  <c r="AK35" i="20"/>
  <c r="AM35" i="20" s="1"/>
  <c r="AD34" i="20"/>
  <c r="AE34" i="20" s="1"/>
  <c r="AF34" i="20" s="1"/>
  <c r="AH34" i="20" s="1"/>
  <c r="AC35" i="20" s="1"/>
  <c r="AG34" i="20" l="1"/>
  <c r="AB35" i="20" s="1"/>
  <c r="AP52" i="20"/>
  <c r="AQ51" i="20"/>
  <c r="AR51" i="20" s="1"/>
  <c r="AA36" i="20"/>
  <c r="AD35" i="20" l="1"/>
  <c r="AE35" i="20" s="1"/>
  <c r="AF35" i="20" s="1"/>
  <c r="AH35" i="20" s="1"/>
  <c r="AC36" i="20" s="1"/>
  <c r="AA37" i="20" s="1"/>
  <c r="Z36" i="20"/>
  <c r="AJ36" i="20" s="1"/>
  <c r="AL36" i="20" s="1"/>
  <c r="AK36" i="20"/>
  <c r="AM36" i="20" s="1"/>
  <c r="AP53" i="20"/>
  <c r="AQ52" i="20"/>
  <c r="AR52" i="20" s="1"/>
  <c r="AI37" i="20" l="1"/>
  <c r="AK37" i="20" s="1"/>
  <c r="AM37" i="20" s="1"/>
  <c r="AG35" i="20"/>
  <c r="AB36" i="20" s="1"/>
  <c r="AD36" i="20" s="1"/>
  <c r="AE36" i="20" s="1"/>
  <c r="AF36" i="20" s="1"/>
  <c r="AH36" i="20" s="1"/>
  <c r="AC37" i="20" s="1"/>
  <c r="AA38" i="20" s="1"/>
  <c r="AP54" i="20"/>
  <c r="AQ53" i="20"/>
  <c r="AR53" i="20" s="1"/>
  <c r="AG36" i="20" l="1"/>
  <c r="AB37" i="20" s="1"/>
  <c r="AD37" i="20" s="1"/>
  <c r="AE37" i="20" s="1"/>
  <c r="AF37" i="20" s="1"/>
  <c r="AH37" i="20" s="1"/>
  <c r="AC38" i="20" s="1"/>
  <c r="Z37" i="20"/>
  <c r="AI38" i="20" s="1"/>
  <c r="AP55" i="20"/>
  <c r="AQ54" i="20"/>
  <c r="AR54" i="20" s="1"/>
  <c r="AJ37" i="20" l="1"/>
  <c r="AL37" i="20" s="1"/>
  <c r="AK38" i="20"/>
  <c r="AM38" i="20" s="1"/>
  <c r="AG37" i="20"/>
  <c r="AB38" i="20" s="1"/>
  <c r="AD38" i="20" s="1"/>
  <c r="AE38" i="20" s="1"/>
  <c r="AF38" i="20" s="1"/>
  <c r="AH38" i="20" s="1"/>
  <c r="AC39" i="20" s="1"/>
  <c r="Z38" i="20"/>
  <c r="AI39" i="20" s="1"/>
  <c r="AP56" i="20"/>
  <c r="AQ55" i="20"/>
  <c r="AR55" i="20" s="1"/>
  <c r="AA39" i="20"/>
  <c r="AJ38" i="20" l="1"/>
  <c r="AL38" i="20" s="1"/>
  <c r="Z39" i="20"/>
  <c r="AI40" i="20" s="1"/>
  <c r="AG38" i="20"/>
  <c r="AB39" i="20" s="1"/>
  <c r="Z40" i="20" s="1"/>
  <c r="AA40" i="20"/>
  <c r="AK39" i="20"/>
  <c r="AM39" i="20" s="1"/>
  <c r="AP57" i="20"/>
  <c r="AQ56" i="20"/>
  <c r="AR56" i="20" s="1"/>
  <c r="AJ39" i="20"/>
  <c r="AL39" i="20" s="1"/>
  <c r="AD39" i="20" l="1"/>
  <c r="AP58" i="20"/>
  <c r="AQ57" i="20"/>
  <c r="AR57" i="20" s="1"/>
  <c r="AI41" i="20"/>
  <c r="AJ40" i="20"/>
  <c r="AL40" i="20" s="1"/>
  <c r="AK40" i="20"/>
  <c r="AM40" i="20" s="1"/>
  <c r="AE39" i="20" l="1"/>
  <c r="AF39" i="20" s="1"/>
  <c r="AH39" i="20" s="1"/>
  <c r="AC40" i="20" s="1"/>
  <c r="AA41" i="20" s="1"/>
  <c r="AK41" i="20" s="1"/>
  <c r="AM41" i="20" s="1"/>
  <c r="AP59" i="20"/>
  <c r="AQ58" i="20"/>
  <c r="AR58" i="20" s="1"/>
  <c r="AG39" i="20" l="1"/>
  <c r="AB40" i="20" s="1"/>
  <c r="AP60" i="20"/>
  <c r="AQ59" i="20"/>
  <c r="AR59" i="20" s="1"/>
  <c r="Z41" i="20" l="1"/>
  <c r="AJ41" i="20" s="1"/>
  <c r="AL41" i="20" s="1"/>
  <c r="AD40" i="20"/>
  <c r="AE40" i="20" s="1"/>
  <c r="AF40" i="20" s="1"/>
  <c r="AH40" i="20" s="1"/>
  <c r="AC41" i="20" s="1"/>
  <c r="AA42" i="20" s="1"/>
  <c r="AP61" i="20"/>
  <c r="AQ60" i="20"/>
  <c r="AR60" i="20" s="1"/>
  <c r="AG40" i="20" l="1"/>
  <c r="AB41" i="20" s="1"/>
  <c r="AD41" i="20" s="1"/>
  <c r="AE41" i="20" s="1"/>
  <c r="AF41" i="20" s="1"/>
  <c r="AH41" i="20" s="1"/>
  <c r="AC42" i="20" s="1"/>
  <c r="AA43" i="20" s="1"/>
  <c r="AI42" i="20"/>
  <c r="AP62" i="20"/>
  <c r="AQ61" i="20"/>
  <c r="AR61" i="20" s="1"/>
  <c r="Z42" i="20" l="1"/>
  <c r="AI43" i="20" s="1"/>
  <c r="AK43" i="20" s="1"/>
  <c r="AM43" i="20" s="1"/>
  <c r="AG41" i="20"/>
  <c r="AB42" i="20" s="1"/>
  <c r="AD42" i="20" s="1"/>
  <c r="AE42" i="20" s="1"/>
  <c r="AF42" i="20" s="1"/>
  <c r="AH42" i="20" s="1"/>
  <c r="AC43" i="20" s="1"/>
  <c r="AA44" i="20" s="1"/>
  <c r="AK42" i="20"/>
  <c r="AM42" i="20" s="1"/>
  <c r="Z43" i="20"/>
  <c r="AI44" i="20" s="1"/>
  <c r="AP63" i="20"/>
  <c r="AQ62" i="20"/>
  <c r="AR62" i="20" s="1"/>
  <c r="AJ42" i="20" l="1"/>
  <c r="AL42" i="20" s="1"/>
  <c r="AJ43" i="20"/>
  <c r="AL43" i="20" s="1"/>
  <c r="AG42" i="20"/>
  <c r="AB43" i="20" s="1"/>
  <c r="AP64" i="20"/>
  <c r="AQ63" i="20"/>
  <c r="AR63" i="20" s="1"/>
  <c r="AK44" i="20"/>
  <c r="AM44" i="20" s="1"/>
  <c r="AD43" i="20" l="1"/>
  <c r="AE43" i="20" s="1"/>
  <c r="AF43" i="20" s="1"/>
  <c r="AH43" i="20" s="1"/>
  <c r="AC44" i="20" s="1"/>
  <c r="AA45" i="20" s="1"/>
  <c r="Z44" i="20"/>
  <c r="AP65" i="20"/>
  <c r="AQ64" i="20"/>
  <c r="AR64" i="20" s="1"/>
  <c r="AG43" i="20" l="1"/>
  <c r="AB44" i="20" s="1"/>
  <c r="Z45" i="20" s="1"/>
  <c r="AI45" i="20"/>
  <c r="AJ45" i="20" s="1"/>
  <c r="AL45" i="20" s="1"/>
  <c r="AJ44" i="20"/>
  <c r="AL44" i="20" s="1"/>
  <c r="AI46" i="20"/>
  <c r="AP66" i="20"/>
  <c r="AQ65" i="20"/>
  <c r="AR65" i="20" s="1"/>
  <c r="AK45" i="20" l="1"/>
  <c r="AM45" i="20" s="1"/>
  <c r="AD44" i="20"/>
  <c r="AE44" i="20" s="1"/>
  <c r="AF44" i="20" s="1"/>
  <c r="AH44" i="20" s="1"/>
  <c r="AC45" i="20" s="1"/>
  <c r="AA46" i="20" s="1"/>
  <c r="AK46" i="20" s="1"/>
  <c r="AM46" i="20" s="1"/>
  <c r="AP67" i="20"/>
  <c r="AQ66" i="20"/>
  <c r="AR66" i="20" s="1"/>
  <c r="AG44" i="20" l="1"/>
  <c r="AB45" i="20" s="1"/>
  <c r="AD45" i="20" s="1"/>
  <c r="AE45" i="20" s="1"/>
  <c r="AF45" i="20" s="1"/>
  <c r="AH45" i="20" s="1"/>
  <c r="AC46" i="20" s="1"/>
  <c r="AG45" i="20"/>
  <c r="AB46" i="20" s="1"/>
  <c r="AP68" i="20"/>
  <c r="AQ67" i="20"/>
  <c r="AR67" i="20" s="1"/>
  <c r="AA47" i="20"/>
  <c r="Z47" i="20" l="1"/>
  <c r="Z46" i="20"/>
  <c r="AD46" i="20"/>
  <c r="AE46" i="20" s="1"/>
  <c r="AF46" i="20" s="1"/>
  <c r="AH46" i="20" s="1"/>
  <c r="AC47" i="20" s="1"/>
  <c r="AA48" i="20" s="1"/>
  <c r="AI48" i="20"/>
  <c r="AP69" i="20"/>
  <c r="AQ68" i="20"/>
  <c r="AR68" i="20" s="1"/>
  <c r="AJ46" i="20" l="1"/>
  <c r="AL46" i="20" s="1"/>
  <c r="AI47" i="20"/>
  <c r="AG46" i="20"/>
  <c r="AB47" i="20" s="1"/>
  <c r="Z48" i="20" s="1"/>
  <c r="AI49" i="20" s="1"/>
  <c r="AK48" i="20"/>
  <c r="AM48" i="20" s="1"/>
  <c r="AP70" i="20"/>
  <c r="AQ69" i="20"/>
  <c r="AR69" i="20" s="1"/>
  <c r="AJ48" i="20" l="1"/>
  <c r="AL48" i="20" s="1"/>
  <c r="AK47" i="20"/>
  <c r="AM47" i="20" s="1"/>
  <c r="AJ47" i="20"/>
  <c r="AL47" i="20" s="1"/>
  <c r="AD47" i="20"/>
  <c r="AE47" i="20" s="1"/>
  <c r="AF47" i="20" s="1"/>
  <c r="AH47" i="20" s="1"/>
  <c r="AC48" i="20" s="1"/>
  <c r="AA49" i="20" s="1"/>
  <c r="AP71" i="20"/>
  <c r="AQ70" i="20"/>
  <c r="AR70" i="20" s="1"/>
  <c r="AG47" i="20" l="1"/>
  <c r="AB48" i="20" s="1"/>
  <c r="Z49" i="20" s="1"/>
  <c r="AK49" i="20"/>
  <c r="AM49" i="20" s="1"/>
  <c r="AP72" i="20"/>
  <c r="AQ71" i="20"/>
  <c r="AR71" i="20" s="1"/>
  <c r="AI50" i="20" l="1"/>
  <c r="AJ49" i="20"/>
  <c r="AL49" i="20" s="1"/>
  <c r="AD48" i="20"/>
  <c r="AE48" i="20" s="1"/>
  <c r="AF48" i="20" s="1"/>
  <c r="AH48" i="20" s="1"/>
  <c r="AC49" i="20" s="1"/>
  <c r="AA50" i="20" s="1"/>
  <c r="AK50" i="20" s="1"/>
  <c r="AM50" i="20" s="1"/>
  <c r="AP73" i="20"/>
  <c r="AQ72" i="20"/>
  <c r="AR72" i="20" s="1"/>
  <c r="AG48" i="20" l="1"/>
  <c r="AB49" i="20" s="1"/>
  <c r="AD49" i="20" s="1"/>
  <c r="AE49" i="20" s="1"/>
  <c r="AF49" i="20" s="1"/>
  <c r="AH49" i="20" s="1"/>
  <c r="AC50" i="20" s="1"/>
  <c r="AA51" i="20" s="1"/>
  <c r="Z50" i="20"/>
  <c r="AP74" i="20"/>
  <c r="AQ73" i="20"/>
  <c r="AR73" i="20" s="1"/>
  <c r="AI51" i="20" l="1"/>
  <c r="AJ50" i="20"/>
  <c r="AL50" i="20" s="1"/>
  <c r="AK51" i="20"/>
  <c r="AM51" i="20" s="1"/>
  <c r="AG49" i="20"/>
  <c r="AB50" i="20" s="1"/>
  <c r="AP75" i="20"/>
  <c r="AQ74" i="20"/>
  <c r="AR74" i="20" s="1"/>
  <c r="AJ51" i="20" l="1"/>
  <c r="AL51" i="20" s="1"/>
  <c r="Z51" i="20"/>
  <c r="AD50" i="20"/>
  <c r="AE50" i="20" s="1"/>
  <c r="AF50" i="20" s="1"/>
  <c r="AH50" i="20" s="1"/>
  <c r="AC51" i="20" s="1"/>
  <c r="AP76" i="20"/>
  <c r="AQ75" i="20"/>
  <c r="AR75" i="20" s="1"/>
  <c r="AG50" i="20" l="1"/>
  <c r="AB51" i="20" s="1"/>
  <c r="AA52" i="20"/>
  <c r="AI52" i="20"/>
  <c r="AP77" i="20"/>
  <c r="AQ76" i="20"/>
  <c r="AR76" i="20" s="1"/>
  <c r="AD51" i="20" l="1"/>
  <c r="AE51" i="20" s="1"/>
  <c r="AF51" i="20" s="1"/>
  <c r="AH51" i="20" s="1"/>
  <c r="AC52" i="20" s="1"/>
  <c r="AA53" i="20" s="1"/>
  <c r="AK52" i="20"/>
  <c r="AM52" i="20" s="1"/>
  <c r="Z52" i="20"/>
  <c r="AJ52" i="20" s="1"/>
  <c r="AL52" i="20" s="1"/>
  <c r="AP78" i="20"/>
  <c r="AQ77" i="20"/>
  <c r="AR77" i="20" s="1"/>
  <c r="AI53" i="20" l="1"/>
  <c r="AG51" i="20"/>
  <c r="AB52" i="20" s="1"/>
  <c r="AP79" i="20"/>
  <c r="AQ78" i="20"/>
  <c r="AR78" i="20" s="1"/>
  <c r="AD52" i="20" l="1"/>
  <c r="AE52" i="20" s="1"/>
  <c r="AF52" i="20" s="1"/>
  <c r="AH52" i="20" s="1"/>
  <c r="AC53" i="20" s="1"/>
  <c r="AJ53" i="20"/>
  <c r="AL53" i="20" s="1"/>
  <c r="AK53" i="20"/>
  <c r="AM53" i="20" s="1"/>
  <c r="Z53" i="20"/>
  <c r="AP80" i="20"/>
  <c r="AQ79" i="20"/>
  <c r="AR79" i="20" s="1"/>
  <c r="AA54" i="20" l="1"/>
  <c r="AI54" i="20"/>
  <c r="AG52" i="20"/>
  <c r="AB53" i="20" s="1"/>
  <c r="Z54" i="20" s="1"/>
  <c r="AP81" i="20"/>
  <c r="AQ80" i="20"/>
  <c r="AR80" i="20" s="1"/>
  <c r="AJ54" i="20" l="1"/>
  <c r="AL54" i="20" s="1"/>
  <c r="AK54" i="20"/>
  <c r="AM54" i="20" s="1"/>
  <c r="AI55" i="20"/>
  <c r="AD53" i="20"/>
  <c r="AE53" i="20" s="1"/>
  <c r="AF53" i="20" s="1"/>
  <c r="AH53" i="20" s="1"/>
  <c r="AC54" i="20" s="1"/>
  <c r="AA55" i="20" s="1"/>
  <c r="AG53" i="20"/>
  <c r="AB54" i="20" s="1"/>
  <c r="AP82" i="20"/>
  <c r="AQ81" i="20"/>
  <c r="AR81" i="20" s="1"/>
  <c r="AK55" i="20" l="1"/>
  <c r="AM55" i="20" s="1"/>
  <c r="AD54" i="20"/>
  <c r="AE54" i="20" s="1"/>
  <c r="AF54" i="20" s="1"/>
  <c r="AH54" i="20" s="1"/>
  <c r="AC55" i="20" s="1"/>
  <c r="Z55" i="20"/>
  <c r="AJ55" i="20" s="1"/>
  <c r="AL55" i="20" s="1"/>
  <c r="AP83" i="20"/>
  <c r="AQ82" i="20"/>
  <c r="AR82" i="20" s="1"/>
  <c r="AG54" i="20" l="1"/>
  <c r="AB55" i="20" s="1"/>
  <c r="Z56" i="20" s="1"/>
  <c r="AI56" i="20"/>
  <c r="AA56" i="20"/>
  <c r="AQ83" i="20"/>
  <c r="AR83" i="20" s="1"/>
  <c r="AP84" i="20"/>
  <c r="AD55" i="20" l="1"/>
  <c r="AE55" i="20" s="1"/>
  <c r="AF55" i="20" s="1"/>
  <c r="AH55" i="20" s="1"/>
  <c r="AC56" i="20" s="1"/>
  <c r="AJ56" i="20"/>
  <c r="AL56" i="20" s="1"/>
  <c r="AK56" i="20"/>
  <c r="AM56" i="20" s="1"/>
  <c r="AA57" i="20"/>
  <c r="AI57" i="20"/>
  <c r="AP85" i="20"/>
  <c r="AQ84" i="20"/>
  <c r="AR84" i="20" s="1"/>
  <c r="AG55" i="20" l="1"/>
  <c r="AB56" i="20" s="1"/>
  <c r="AD56" i="20" s="1"/>
  <c r="AE56" i="20" s="1"/>
  <c r="AF56" i="20" s="1"/>
  <c r="AH56" i="20" s="1"/>
  <c r="AC57" i="20" s="1"/>
  <c r="AA58" i="20" s="1"/>
  <c r="AK57" i="20"/>
  <c r="AM57" i="20" s="1"/>
  <c r="AP86" i="20"/>
  <c r="AQ85" i="20"/>
  <c r="AR85" i="20" s="1"/>
  <c r="AG56" i="20" l="1"/>
  <c r="AB57" i="20" s="1"/>
  <c r="Z57" i="20"/>
  <c r="AD57" i="20"/>
  <c r="AE57" i="20" s="1"/>
  <c r="AF57" i="20" s="1"/>
  <c r="AH57" i="20" s="1"/>
  <c r="AC58" i="20" s="1"/>
  <c r="AA59" i="20" s="1"/>
  <c r="Z58" i="20"/>
  <c r="AI59" i="20" s="1"/>
  <c r="AP87" i="20"/>
  <c r="AQ86" i="20"/>
  <c r="AR86" i="20" s="1"/>
  <c r="AI58" i="20" l="1"/>
  <c r="AJ57" i="20"/>
  <c r="AL57" i="20" s="1"/>
  <c r="AK59" i="20"/>
  <c r="AM59" i="20" s="1"/>
  <c r="AG57" i="20"/>
  <c r="AB58" i="20" s="1"/>
  <c r="AQ87" i="20"/>
  <c r="AR87" i="20" s="1"/>
  <c r="AP88" i="20"/>
  <c r="AK58" i="20" l="1"/>
  <c r="AM58" i="20" s="1"/>
  <c r="AJ58" i="20"/>
  <c r="AL58" i="20" s="1"/>
  <c r="AD58" i="20"/>
  <c r="AE58" i="20" s="1"/>
  <c r="AF58" i="20" s="1"/>
  <c r="AH58" i="20" s="1"/>
  <c r="AC59" i="20" s="1"/>
  <c r="AA60" i="20" s="1"/>
  <c r="Z59" i="20"/>
  <c r="AJ59" i="20" s="1"/>
  <c r="AL59" i="20" s="1"/>
  <c r="AP89" i="20"/>
  <c r="AQ88" i="20"/>
  <c r="AR88" i="20" s="1"/>
  <c r="AI60" i="20" l="1"/>
  <c r="AG58" i="20"/>
  <c r="AB59" i="20" s="1"/>
  <c r="AQ89" i="20"/>
  <c r="AR89" i="20" s="1"/>
  <c r="AP90" i="20"/>
  <c r="AD59" i="20" l="1"/>
  <c r="AE59" i="20" s="1"/>
  <c r="AF59" i="20" s="1"/>
  <c r="AH59" i="20" s="1"/>
  <c r="AC60" i="20" s="1"/>
  <c r="AA61" i="20" s="1"/>
  <c r="AK60" i="20"/>
  <c r="AM60" i="20" s="1"/>
  <c r="Z60" i="20"/>
  <c r="AJ60" i="20" s="1"/>
  <c r="AL60" i="20" s="1"/>
  <c r="AQ90" i="20"/>
  <c r="AR90" i="20" s="1"/>
  <c r="AP91" i="20"/>
  <c r="AG59" i="20" l="1"/>
  <c r="AB60" i="20" s="1"/>
  <c r="Z61" i="20" s="1"/>
  <c r="AI62" i="20" s="1"/>
  <c r="AI61" i="20"/>
  <c r="AQ91" i="20"/>
  <c r="AR91" i="20" s="1"/>
  <c r="AP92" i="20"/>
  <c r="AD60" i="20" l="1"/>
  <c r="AE60" i="20" s="1"/>
  <c r="AF60" i="20" s="1"/>
  <c r="AH60" i="20" s="1"/>
  <c r="AC61" i="20" s="1"/>
  <c r="AA62" i="20" s="1"/>
  <c r="AK62" i="20" s="1"/>
  <c r="AM62" i="20" s="1"/>
  <c r="AK61" i="20"/>
  <c r="AM61" i="20" s="1"/>
  <c r="AJ61" i="20"/>
  <c r="AL61" i="20" s="1"/>
  <c r="AQ92" i="20"/>
  <c r="AR92" i="20" s="1"/>
  <c r="AP93" i="20"/>
  <c r="AG60" i="20" l="1"/>
  <c r="AB61" i="20" s="1"/>
  <c r="Z62" i="20" s="1"/>
  <c r="AQ93" i="20"/>
  <c r="AR93" i="20" s="1"/>
  <c r="AP94" i="20"/>
  <c r="AI63" i="20" l="1"/>
  <c r="AJ62" i="20"/>
  <c r="AL62" i="20" s="1"/>
  <c r="AD61" i="20"/>
  <c r="AE61" i="20" s="1"/>
  <c r="AF61" i="20" s="1"/>
  <c r="AH61" i="20" s="1"/>
  <c r="AC62" i="20" s="1"/>
  <c r="AA63" i="20" s="1"/>
  <c r="AK63" i="20" s="1"/>
  <c r="AM63" i="20" s="1"/>
  <c r="AQ94" i="20"/>
  <c r="AR94" i="20" s="1"/>
  <c r="AP95" i="20"/>
  <c r="AG61" i="20" l="1"/>
  <c r="AB62" i="20" s="1"/>
  <c r="Z63" i="20" s="1"/>
  <c r="AI64" i="20" s="1"/>
  <c r="AD62" i="20"/>
  <c r="AE62" i="20" s="1"/>
  <c r="AF62" i="20" s="1"/>
  <c r="AH62" i="20" s="1"/>
  <c r="AC63" i="20" s="1"/>
  <c r="AA64" i="20" s="1"/>
  <c r="AQ95" i="20"/>
  <c r="AR95" i="20" s="1"/>
  <c r="AP96" i="20"/>
  <c r="AJ63" i="20" l="1"/>
  <c r="AL63" i="20" s="1"/>
  <c r="AK64" i="20"/>
  <c r="AM64" i="20" s="1"/>
  <c r="AG62" i="20"/>
  <c r="AB63" i="20" s="1"/>
  <c r="AQ96" i="20"/>
  <c r="AR96" i="20" s="1"/>
  <c r="AP97" i="20"/>
  <c r="AD63" i="20" l="1"/>
  <c r="AE63" i="20" s="1"/>
  <c r="AF63" i="20" s="1"/>
  <c r="AH63" i="20" s="1"/>
  <c r="AC64" i="20" s="1"/>
  <c r="AA65" i="20" s="1"/>
  <c r="Z64" i="20"/>
  <c r="AJ64" i="20" s="1"/>
  <c r="AL64" i="20" s="1"/>
  <c r="AQ97" i="20"/>
  <c r="AR97" i="20" s="1"/>
  <c r="AP98" i="20"/>
  <c r="AI65" i="20" l="1"/>
  <c r="AG63" i="20"/>
  <c r="AB64" i="20" s="1"/>
  <c r="AQ98" i="20"/>
  <c r="AR98" i="20" s="1"/>
  <c r="AP99" i="20"/>
  <c r="AD64" i="20" l="1"/>
  <c r="AE64" i="20" s="1"/>
  <c r="AF64" i="20" s="1"/>
  <c r="AH64" i="20" s="1"/>
  <c r="AC65" i="20" s="1"/>
  <c r="AJ65" i="20"/>
  <c r="AL65" i="20" s="1"/>
  <c r="AK65" i="20"/>
  <c r="AM65" i="20" s="1"/>
  <c r="Z65" i="20"/>
  <c r="AQ99" i="20"/>
  <c r="AR99" i="20" s="1"/>
  <c r="AP100" i="20"/>
  <c r="AA66" i="20" l="1"/>
  <c r="AI66" i="20"/>
  <c r="AG64" i="20"/>
  <c r="AB65" i="20" s="1"/>
  <c r="Z66" i="20" s="1"/>
  <c r="AQ100" i="20"/>
  <c r="AR100" i="20" s="1"/>
  <c r="AP101" i="20"/>
  <c r="AI67" i="20" l="1"/>
  <c r="AD65" i="20"/>
  <c r="AE65" i="20" s="1"/>
  <c r="AF65" i="20" s="1"/>
  <c r="AH65" i="20" s="1"/>
  <c r="AC66" i="20" s="1"/>
  <c r="AA67" i="20" s="1"/>
  <c r="AK66" i="20"/>
  <c r="AM66" i="20" s="1"/>
  <c r="AJ66" i="20"/>
  <c r="AL66" i="20" s="1"/>
  <c r="AQ101" i="20"/>
  <c r="AR101" i="20" s="1"/>
  <c r="AP102" i="20"/>
  <c r="AG65" i="20" l="1"/>
  <c r="AB66" i="20" s="1"/>
  <c r="AK67" i="20"/>
  <c r="AM67" i="20" s="1"/>
  <c r="AQ102" i="20"/>
  <c r="AR102" i="20" s="1"/>
  <c r="AP103" i="20"/>
  <c r="AD66" i="20" l="1"/>
  <c r="AE66" i="20" s="1"/>
  <c r="AF66" i="20" s="1"/>
  <c r="AH66" i="20" s="1"/>
  <c r="AC67" i="20" s="1"/>
  <c r="AA68" i="20" s="1"/>
  <c r="Z67" i="20"/>
  <c r="AJ67" i="20" s="1"/>
  <c r="AL67" i="20" s="1"/>
  <c r="AQ103" i="20"/>
  <c r="AR103" i="20" s="1"/>
  <c r="AP104" i="20"/>
  <c r="AG66" i="20" l="1"/>
  <c r="AB67" i="20" s="1"/>
  <c r="AD67" i="20" s="1"/>
  <c r="AE67" i="20" s="1"/>
  <c r="AF67" i="20" s="1"/>
  <c r="AH67" i="20" s="1"/>
  <c r="AC68" i="20" s="1"/>
  <c r="AA69" i="20" s="1"/>
  <c r="AI68" i="20"/>
  <c r="AQ104" i="20"/>
  <c r="AR104" i="20" s="1"/>
  <c r="AP105" i="20"/>
  <c r="AQ105" i="20" s="1"/>
  <c r="AR105" i="20" s="1"/>
  <c r="G14" i="20" s="1"/>
  <c r="Z68" i="20" l="1"/>
  <c r="AI69" i="20" s="1"/>
  <c r="AK69" i="20" s="1"/>
  <c r="AM69" i="20" s="1"/>
  <c r="AK68" i="20"/>
  <c r="AM68" i="20" s="1"/>
  <c r="AJ68" i="20"/>
  <c r="AL68" i="20" s="1"/>
  <c r="AG67" i="20"/>
  <c r="AB68" i="20" s="1"/>
  <c r="Z69" i="20" s="1"/>
  <c r="AI70" i="20" s="1"/>
  <c r="AJ69" i="20" l="1"/>
  <c r="AL69" i="20" s="1"/>
  <c r="AD68" i="20"/>
  <c r="AE68" i="20" s="1"/>
  <c r="AF68" i="20" s="1"/>
  <c r="AH68" i="20" s="1"/>
  <c r="AC69" i="20" s="1"/>
  <c r="AA70" i="20" l="1"/>
  <c r="AK70" i="20" s="1"/>
  <c r="AM70" i="20" s="1"/>
  <c r="AG68" i="20"/>
  <c r="AB69" i="20" s="1"/>
  <c r="AD69" i="20" l="1"/>
  <c r="AE69" i="20" s="1"/>
  <c r="AF69" i="20" s="1"/>
  <c r="AH69" i="20" s="1"/>
  <c r="AC70" i="20" s="1"/>
  <c r="AA71" i="20" s="1"/>
  <c r="Z70" i="20"/>
  <c r="AI71" i="20" l="1"/>
  <c r="AJ70" i="20"/>
  <c r="AL70" i="20" s="1"/>
  <c r="AG69" i="20"/>
  <c r="AB70" i="20" s="1"/>
  <c r="AD70" i="20" s="1"/>
  <c r="AE70" i="20" s="1"/>
  <c r="AF70" i="20" s="1"/>
  <c r="AH70" i="20" s="1"/>
  <c r="AC71" i="20" s="1"/>
  <c r="AA72" i="20" s="1"/>
  <c r="AK71" i="20"/>
  <c r="AM71" i="20" s="1"/>
  <c r="AJ71" i="20" l="1"/>
  <c r="AL71" i="20" s="1"/>
  <c r="Z71" i="20"/>
  <c r="AI72" i="20" s="1"/>
  <c r="AG70" i="20"/>
  <c r="AB71" i="20" s="1"/>
  <c r="Z72" i="20" s="1"/>
  <c r="AI73" i="20" s="1"/>
  <c r="AD71" i="20" l="1"/>
  <c r="AJ72" i="20"/>
  <c r="AL72" i="20" s="1"/>
  <c r="AK72" i="20"/>
  <c r="AM72" i="20" s="1"/>
  <c r="AE71" i="20" l="1"/>
  <c r="AF71" i="20" s="1"/>
  <c r="AH71" i="20" s="1"/>
  <c r="AC72" i="20" s="1"/>
  <c r="AA73" i="20" s="1"/>
  <c r="AK73" i="20" s="1"/>
  <c r="AM73" i="20" s="1"/>
  <c r="AG71" i="20" l="1"/>
  <c r="AB72" i="20" s="1"/>
  <c r="AD72" i="20" l="1"/>
  <c r="AE72" i="20" s="1"/>
  <c r="AF72" i="20" s="1"/>
  <c r="AH72" i="20" s="1"/>
  <c r="AC73" i="20" s="1"/>
  <c r="AA74" i="20" s="1"/>
  <c r="Z73" i="20"/>
  <c r="AJ73" i="20" s="1"/>
  <c r="AL73" i="20" s="1"/>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AI74" i="20" l="1"/>
  <c r="AG72" i="20"/>
  <c r="AB73" i="20" s="1"/>
  <c r="D21" i="17"/>
  <c r="D25" i="17"/>
  <c r="G29" i="3"/>
  <c r="G30" i="3"/>
  <c r="G27" i="3"/>
  <c r="G12" i="3"/>
  <c r="G11" i="3"/>
  <c r="G17" i="3"/>
  <c r="G9" i="3"/>
  <c r="G8" i="3"/>
  <c r="AK74" i="20" l="1"/>
  <c r="AM74" i="20" s="1"/>
  <c r="AD73" i="20"/>
  <c r="AE73" i="20" s="1"/>
  <c r="AF73" i="20" s="1"/>
  <c r="AH73" i="20" s="1"/>
  <c r="AC74" i="20" s="1"/>
  <c r="AA75" i="20" s="1"/>
  <c r="Z74" i="20"/>
  <c r="AI75" i="20" s="1"/>
  <c r="G6" i="3"/>
  <c r="G7" i="3"/>
  <c r="G10" i="3"/>
  <c r="G13" i="3"/>
  <c r="G14" i="3"/>
  <c r="G24" i="3"/>
  <c r="G25" i="3"/>
  <c r="G26" i="3"/>
  <c r="G15" i="3"/>
  <c r="G16" i="3"/>
  <c r="G18" i="3"/>
  <c r="G19" i="3"/>
  <c r="G20" i="3"/>
  <c r="G21" i="3"/>
  <c r="G22" i="3"/>
  <c r="G23" i="3"/>
  <c r="G28" i="3"/>
  <c r="G5" i="3"/>
  <c r="AJ74" i="20" l="1"/>
  <c r="AL74" i="20" s="1"/>
  <c r="AK75" i="20"/>
  <c r="AM75" i="20" s="1"/>
  <c r="AG73" i="20"/>
  <c r="AB74" i="20" s="1"/>
  <c r="D17" i="17"/>
  <c r="D19" i="17" s="1"/>
  <c r="Z75" i="20" l="1"/>
  <c r="AJ75" i="20" s="1"/>
  <c r="AL75" i="20" s="1"/>
  <c r="AD74" i="20"/>
  <c r="AE74" i="20" s="1"/>
  <c r="AF74" i="20" s="1"/>
  <c r="AH74" i="20" s="1"/>
  <c r="AC75" i="20" s="1"/>
  <c r="AA76" i="20" s="1"/>
  <c r="D18" i="17"/>
  <c r="C19" i="17"/>
  <c r="D26" i="17"/>
  <c r="D22" i="17"/>
  <c r="AG74" i="20" l="1"/>
  <c r="AB75" i="20" s="1"/>
  <c r="Z76" i="20" s="1"/>
  <c r="AI76" i="20"/>
  <c r="I7" i="17"/>
  <c r="J7" i="17" s="1"/>
  <c r="H7" i="17" s="1"/>
  <c r="L7" i="17"/>
  <c r="M7" i="17" s="1"/>
  <c r="K7" i="17" s="1"/>
  <c r="D20" i="8"/>
  <c r="AI77" i="20" l="1"/>
  <c r="AJ76" i="20"/>
  <c r="AL76" i="20" s="1"/>
  <c r="AK76" i="20"/>
  <c r="AM76" i="20" s="1"/>
  <c r="AD75" i="20"/>
  <c r="AE75" i="20" s="1"/>
  <c r="AF75" i="20" s="1"/>
  <c r="AH75" i="20" s="1"/>
  <c r="AC76" i="20" s="1"/>
  <c r="AA77" i="20" s="1"/>
  <c r="L8" i="17"/>
  <c r="M8" i="17" s="1"/>
  <c r="I8" i="17"/>
  <c r="J8" i="17" s="1"/>
  <c r="Q8" i="10"/>
  <c r="Q9" i="10" s="1"/>
  <c r="Q10" i="10" s="1"/>
  <c r="Q11" i="10" s="1"/>
  <c r="Q12" i="10" s="1"/>
  <c r="Q13" i="10" s="1"/>
  <c r="Q14" i="10" s="1"/>
  <c r="AG75" i="20" l="1"/>
  <c r="AB76" i="20" s="1"/>
  <c r="AK77" i="20"/>
  <c r="AM77" i="20" s="1"/>
  <c r="L9" i="17"/>
  <c r="M9" i="17" s="1"/>
  <c r="K8" i="17"/>
  <c r="I9" i="17"/>
  <c r="J9" i="17" s="1"/>
  <c r="H8" i="17"/>
  <c r="Q34" i="14"/>
  <c r="D22" i="8"/>
  <c r="D23" i="8"/>
  <c r="AD76" i="20" l="1"/>
  <c r="AE76" i="20" s="1"/>
  <c r="AF76" i="20" s="1"/>
  <c r="AH76" i="20" s="1"/>
  <c r="AC77" i="20" s="1"/>
  <c r="AA78" i="20" s="1"/>
  <c r="Z77" i="20"/>
  <c r="AJ77" i="20" s="1"/>
  <c r="AL77" i="20" s="1"/>
  <c r="L10" i="17"/>
  <c r="M10" i="17" s="1"/>
  <c r="K10" i="17" s="1"/>
  <c r="K9" i="17"/>
  <c r="I10" i="17"/>
  <c r="J10" i="17" s="1"/>
  <c r="H9" i="17"/>
  <c r="R34" i="14"/>
  <c r="AG76" i="20" l="1"/>
  <c r="AB77" i="20" s="1"/>
  <c r="Z78" i="20" s="1"/>
  <c r="AI79" i="20" s="1"/>
  <c r="AI78" i="20"/>
  <c r="I11" i="17"/>
  <c r="J11" i="17" s="1"/>
  <c r="H10" i="17"/>
  <c r="L11" i="17"/>
  <c r="M11" i="17" s="1"/>
  <c r="AK78" i="20" l="1"/>
  <c r="AM78" i="20" s="1"/>
  <c r="AJ78" i="20"/>
  <c r="AL78" i="20" s="1"/>
  <c r="AD77" i="20"/>
  <c r="AE77" i="20" s="1"/>
  <c r="AF77" i="20" s="1"/>
  <c r="AH77" i="20" s="1"/>
  <c r="AC78" i="20" s="1"/>
  <c r="AA79" i="20" s="1"/>
  <c r="AK79" i="20" s="1"/>
  <c r="AM79" i="20" s="1"/>
  <c r="I12" i="17"/>
  <c r="J12" i="17" s="1"/>
  <c r="H12" i="17" s="1"/>
  <c r="H11" i="17"/>
  <c r="L12" i="17"/>
  <c r="M12" i="17" s="1"/>
  <c r="K12" i="17" s="1"/>
  <c r="K11" i="17"/>
  <c r="N34" i="14"/>
  <c r="P34" i="14"/>
  <c r="O34" i="14"/>
  <c r="M34" i="14"/>
  <c r="H10" i="14"/>
  <c r="H9" i="14"/>
  <c r="D13" i="14"/>
  <c r="D12" i="14"/>
  <c r="AG77" i="20" l="1"/>
  <c r="AB78" i="20" s="1"/>
  <c r="I13" i="17"/>
  <c r="J13" i="17" s="1"/>
  <c r="H13" i="17" s="1"/>
  <c r="L13" i="17"/>
  <c r="M13" i="17" s="1"/>
  <c r="L36" i="14"/>
  <c r="N36" i="14" s="1"/>
  <c r="N35" i="14"/>
  <c r="K36" i="14"/>
  <c r="M36" i="14" s="1"/>
  <c r="L39" i="14"/>
  <c r="N39" i="14" s="1"/>
  <c r="K39" i="14"/>
  <c r="M39" i="14" s="1"/>
  <c r="M35" i="14"/>
  <c r="N38" i="14"/>
  <c r="M38" i="14"/>
  <c r="G12" i="14"/>
  <c r="Z79" i="20" l="1"/>
  <c r="AJ79" i="20" s="1"/>
  <c r="AL79" i="20" s="1"/>
  <c r="AD78" i="20"/>
  <c r="AE78" i="20" s="1"/>
  <c r="AF78" i="20" s="1"/>
  <c r="AH78" i="20" s="1"/>
  <c r="AC79" i="20" s="1"/>
  <c r="AA80" i="20" s="1"/>
  <c r="I14" i="17"/>
  <c r="J14" i="17" s="1"/>
  <c r="H14" i="17" s="1"/>
  <c r="L14" i="17"/>
  <c r="M14" i="17" s="1"/>
  <c r="K14" i="17" s="1"/>
  <c r="K13" i="17"/>
  <c r="G13" i="14"/>
  <c r="L34" i="14" s="1"/>
  <c r="K34" i="14"/>
  <c r="AG78" i="20" l="1"/>
  <c r="AB79" i="20" s="1"/>
  <c r="AI80" i="20"/>
  <c r="L15" i="17"/>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AK80" i="20" l="1"/>
  <c r="AM80" i="20" s="1"/>
  <c r="AJ80" i="20"/>
  <c r="AL80" i="20" s="1"/>
  <c r="AD79" i="20"/>
  <c r="AE79" i="20" s="1"/>
  <c r="AF79" i="20" s="1"/>
  <c r="AH79" i="20" s="1"/>
  <c r="AC80" i="20" s="1"/>
  <c r="AA81" i="20" s="1"/>
  <c r="Z80" i="20"/>
  <c r="I16" i="17"/>
  <c r="J16" i="17" s="1"/>
  <c r="H16" i="17" s="1"/>
  <c r="L16" i="17"/>
  <c r="M16" i="17" s="1"/>
  <c r="K16" i="17" s="1"/>
  <c r="M41" i="14"/>
  <c r="N41" i="14" s="1"/>
  <c r="L41" i="14"/>
  <c r="D42" i="13"/>
  <c r="D11" i="12"/>
  <c r="D15" i="12" s="1"/>
  <c r="C17" i="12"/>
  <c r="C16" i="12"/>
  <c r="C13" i="12"/>
  <c r="C12" i="12"/>
  <c r="C9" i="12"/>
  <c r="J10" i="11"/>
  <c r="J11" i="11" s="1"/>
  <c r="I10" i="11"/>
  <c r="G10" i="11"/>
  <c r="G11" i="11" s="1"/>
  <c r="F10" i="11"/>
  <c r="AI81" i="20" l="1"/>
  <c r="AG79" i="20"/>
  <c r="AB80" i="20" s="1"/>
  <c r="I17" i="17"/>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AD80" i="20" l="1"/>
  <c r="AE80" i="20" s="1"/>
  <c r="AF80" i="20" s="1"/>
  <c r="AH80" i="20" s="1"/>
  <c r="AC81" i="20" s="1"/>
  <c r="AA82" i="20" s="1"/>
  <c r="AK81" i="20"/>
  <c r="AM81" i="20" s="1"/>
  <c r="AJ81" i="20"/>
  <c r="AL81" i="20" s="1"/>
  <c r="Z81" i="20"/>
  <c r="L18" i="17"/>
  <c r="M18" i="17" s="1"/>
  <c r="K18" i="17" s="1"/>
  <c r="I18" i="17"/>
  <c r="J18" i="17" s="1"/>
  <c r="H18" i="17" s="1"/>
  <c r="E44" i="13"/>
  <c r="D44" i="13" s="1"/>
  <c r="D10" i="10"/>
  <c r="G12" i="10"/>
  <c r="D13" i="10"/>
  <c r="AI82" i="20" l="1"/>
  <c r="AG80" i="20"/>
  <c r="AB81" i="20" s="1"/>
  <c r="Z82" i="20" s="1"/>
  <c r="AI83" i="20" s="1"/>
  <c r="L19" i="17"/>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AJ82" i="20" l="1"/>
  <c r="AL82" i="20" s="1"/>
  <c r="AK82" i="20"/>
  <c r="AM82" i="20" s="1"/>
  <c r="AD81" i="20"/>
  <c r="AE81" i="20" s="1"/>
  <c r="AF81" i="20" s="1"/>
  <c r="AH81" i="20" s="1"/>
  <c r="AC82" i="20" s="1"/>
  <c r="AA83" i="20" s="1"/>
  <c r="AK83" i="20" s="1"/>
  <c r="AM83" i="20" s="1"/>
  <c r="N12" i="7"/>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AG81" i="20" l="1"/>
  <c r="AB82" i="20" s="1"/>
  <c r="L23" i="7"/>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Z83" i="20" l="1"/>
  <c r="AJ83" i="20" s="1"/>
  <c r="AL83" i="20" s="1"/>
  <c r="AD82" i="20"/>
  <c r="AE82" i="20" s="1"/>
  <c r="AF82" i="20" s="1"/>
  <c r="AH82" i="20" s="1"/>
  <c r="AC83" i="20" s="1"/>
  <c r="AA84" i="20" s="1"/>
  <c r="L22" i="17"/>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AG82" i="20" l="1"/>
  <c r="AB83" i="20" s="1"/>
  <c r="Z84" i="20" s="1"/>
  <c r="AI85" i="20" s="1"/>
  <c r="AI84" i="20"/>
  <c r="L23" i="17"/>
  <c r="M23" i="17" s="1"/>
  <c r="K23" i="17" s="1"/>
  <c r="I23" i="17"/>
  <c r="J23" i="17" s="1"/>
  <c r="H23" i="17" s="1"/>
  <c r="P9" i="10"/>
  <c r="R9" i="10" s="1"/>
  <c r="S9" i="10" s="1"/>
  <c r="M10" i="10" s="1"/>
  <c r="Q17" i="10"/>
  <c r="E48" i="13"/>
  <c r="D48" i="13" s="1"/>
  <c r="P9" i="1"/>
  <c r="P11" i="1" s="1"/>
  <c r="P10" i="1"/>
  <c r="N9" i="1"/>
  <c r="N11" i="1" s="1"/>
  <c r="N10" i="1"/>
  <c r="I9" i="1"/>
  <c r="I11" i="1" s="1"/>
  <c r="I10" i="1"/>
  <c r="J9" i="1"/>
  <c r="J11" i="1" s="1"/>
  <c r="AD83" i="20" l="1"/>
  <c r="AE83" i="20" s="1"/>
  <c r="AF83" i="20" s="1"/>
  <c r="AH83" i="20" s="1"/>
  <c r="AC84" i="20" s="1"/>
  <c r="AA85" i="20" s="1"/>
  <c r="AK85" i="20" s="1"/>
  <c r="AM85" i="20" s="1"/>
  <c r="AK84" i="20"/>
  <c r="AM84" i="20" s="1"/>
  <c r="AJ84" i="20"/>
  <c r="AL84" i="20" s="1"/>
  <c r="I24" i="17"/>
  <c r="J24" i="17" s="1"/>
  <c r="H24" i="17" s="1"/>
  <c r="L24" i="17"/>
  <c r="M24" i="17" s="1"/>
  <c r="K24" i="17" s="1"/>
  <c r="O10" i="10"/>
  <c r="N10" i="10"/>
  <c r="Q18" i="10"/>
  <c r="Q19" i="10" s="1"/>
  <c r="Q20" i="10" s="1"/>
  <c r="Q21" i="10" s="1"/>
  <c r="Q22" i="10" s="1"/>
  <c r="R17" i="10"/>
  <c r="E49" i="13"/>
  <c r="D49" i="13" s="1"/>
  <c r="F50" i="13" s="1"/>
  <c r="AG83" i="20" l="1"/>
  <c r="AB84" i="20" s="1"/>
  <c r="L25" i="17"/>
  <c r="M25" i="17" s="1"/>
  <c r="K25" i="17" s="1"/>
  <c r="I25" i="17"/>
  <c r="J25" i="17" s="1"/>
  <c r="H25" i="17" s="1"/>
  <c r="P10" i="10"/>
  <c r="R10" i="10" s="1"/>
  <c r="S10" i="10" s="1"/>
  <c r="M11" i="10" s="1"/>
  <c r="E50" i="13"/>
  <c r="D50" i="13" s="1"/>
  <c r="F51" i="13" s="1"/>
  <c r="Z85" i="20" l="1"/>
  <c r="AJ85" i="20" s="1"/>
  <c r="AL85" i="20" s="1"/>
  <c r="AD84" i="20"/>
  <c r="AE84" i="20" s="1"/>
  <c r="AF84" i="20" s="1"/>
  <c r="AH84" i="20" s="1"/>
  <c r="AC85" i="20" s="1"/>
  <c r="AA86" i="20" s="1"/>
  <c r="O11" i="10"/>
  <c r="N11" i="10"/>
  <c r="S17" i="10"/>
  <c r="M18" i="10" s="1"/>
  <c r="E51" i="13"/>
  <c r="D51" i="13" s="1"/>
  <c r="F52" i="13" s="1"/>
  <c r="AG84" i="20" l="1"/>
  <c r="AB85" i="20" s="1"/>
  <c r="AI86" i="20"/>
  <c r="P11" i="10"/>
  <c r="R11" i="10" s="1"/>
  <c r="S11" i="10" s="1"/>
  <c r="M12" i="10" s="1"/>
  <c r="N18" i="10"/>
  <c r="O18" i="10"/>
  <c r="E52" i="13"/>
  <c r="D52" i="13" s="1"/>
  <c r="F53" i="13" s="1"/>
  <c r="AD85" i="20" l="1"/>
  <c r="AE85" i="20" s="1"/>
  <c r="AF85" i="20" s="1"/>
  <c r="AH85" i="20" s="1"/>
  <c r="AC86" i="20" s="1"/>
  <c r="AA87" i="20" s="1"/>
  <c r="AK86" i="20"/>
  <c r="AM86" i="20" s="1"/>
  <c r="Z86" i="20"/>
  <c r="AI87" i="20" s="1"/>
  <c r="O12" i="10"/>
  <c r="N12" i="10"/>
  <c r="P18" i="10"/>
  <c r="E53" i="13"/>
  <c r="D53" i="13" s="1"/>
  <c r="F54" i="13" s="1"/>
  <c r="AJ86" i="20" l="1"/>
  <c r="AL86" i="20" s="1"/>
  <c r="AK87" i="20"/>
  <c r="AM87" i="20" s="1"/>
  <c r="AG85" i="20"/>
  <c r="AB86" i="20" s="1"/>
  <c r="P12" i="10"/>
  <c r="R12" i="10" s="1"/>
  <c r="R18" i="10"/>
  <c r="S18" i="10" s="1"/>
  <c r="E54" i="13"/>
  <c r="D54" i="13" s="1"/>
  <c r="F55" i="13" s="1"/>
  <c r="Z87" i="20" l="1"/>
  <c r="AJ87" i="20" s="1"/>
  <c r="AL87" i="20" s="1"/>
  <c r="AD86" i="20"/>
  <c r="AE86" i="20" s="1"/>
  <c r="AF86" i="20" s="1"/>
  <c r="AH86" i="20" s="1"/>
  <c r="AC87" i="20" s="1"/>
  <c r="AA88" i="20" s="1"/>
  <c r="S12" i="10"/>
  <c r="M13" i="10" s="1"/>
  <c r="M19" i="10"/>
  <c r="O19" i="10" s="1"/>
  <c r="E55" i="13"/>
  <c r="D55" i="13" s="1"/>
  <c r="F56" i="13" s="1"/>
  <c r="AG86" i="20" l="1"/>
  <c r="AB87" i="20" s="1"/>
  <c r="AD87" i="20" s="1"/>
  <c r="AE87" i="20" s="1"/>
  <c r="AF87" i="20" s="1"/>
  <c r="AH87" i="20" s="1"/>
  <c r="AC88" i="20" s="1"/>
  <c r="AA89" i="20" s="1"/>
  <c r="AI88" i="20"/>
  <c r="N13" i="10"/>
  <c r="O13" i="10"/>
  <c r="N19" i="10"/>
  <c r="P19" i="10" s="1"/>
  <c r="R19" i="10" s="1"/>
  <c r="E56" i="13"/>
  <c r="D56" i="13" s="1"/>
  <c r="F57" i="13" s="1"/>
  <c r="Z88" i="20" l="1"/>
  <c r="AI89" i="20" s="1"/>
  <c r="AJ88" i="20"/>
  <c r="AL88" i="20" s="1"/>
  <c r="AK88" i="20"/>
  <c r="AM88" i="20" s="1"/>
  <c r="AG87" i="20"/>
  <c r="AB88" i="20" s="1"/>
  <c r="P13" i="10"/>
  <c r="R13" i="10" s="1"/>
  <c r="S13" i="10" s="1"/>
  <c r="M14" i="10" s="1"/>
  <c r="G11" i="10" s="1"/>
  <c r="G13" i="10" s="1"/>
  <c r="S19" i="10"/>
  <c r="M20" i="10" s="1"/>
  <c r="E57" i="13"/>
  <c r="D57" i="13" s="1"/>
  <c r="F58" i="13" s="1"/>
  <c r="AJ89" i="20" l="1"/>
  <c r="AL89" i="20" s="1"/>
  <c r="AK89" i="20"/>
  <c r="AM89" i="20" s="1"/>
  <c r="AD88" i="20"/>
  <c r="AE88" i="20" s="1"/>
  <c r="AF88" i="20" s="1"/>
  <c r="AH88" i="20" s="1"/>
  <c r="AC89" i="20" s="1"/>
  <c r="AA90" i="20" s="1"/>
  <c r="Z89" i="20"/>
  <c r="N14" i="10"/>
  <c r="O14" i="10"/>
  <c r="N20" i="10"/>
  <c r="O20" i="10"/>
  <c r="E58" i="13"/>
  <c r="D58" i="13" s="1"/>
  <c r="F59" i="13" s="1"/>
  <c r="AI90" i="20" l="1"/>
  <c r="AG88" i="20"/>
  <c r="AB89" i="20" s="1"/>
  <c r="P14" i="10"/>
  <c r="R14" i="10" s="1"/>
  <c r="S14" i="10" s="1"/>
  <c r="P20" i="10"/>
  <c r="R20" i="10" s="1"/>
  <c r="S20" i="10" s="1"/>
  <c r="E59" i="13"/>
  <c r="D59" i="13" s="1"/>
  <c r="F60" i="13" s="1"/>
  <c r="AD89" i="20" l="1"/>
  <c r="AE89" i="20" s="1"/>
  <c r="AF89" i="20" s="1"/>
  <c r="AH89" i="20" s="1"/>
  <c r="AC90" i="20" s="1"/>
  <c r="AA91" i="20" s="1"/>
  <c r="AK90" i="20"/>
  <c r="AM90" i="20" s="1"/>
  <c r="AJ90" i="20"/>
  <c r="AL90" i="20" s="1"/>
  <c r="Z90" i="20"/>
  <c r="M21" i="10"/>
  <c r="E60" i="13"/>
  <c r="D60" i="13" s="1"/>
  <c r="F61" i="13" s="1"/>
  <c r="AG89" i="20" l="1"/>
  <c r="AB90" i="20" s="1"/>
  <c r="Z91" i="20" s="1"/>
  <c r="AI92" i="20" s="1"/>
  <c r="AI91" i="20"/>
  <c r="O21" i="10"/>
  <c r="N21" i="10"/>
  <c r="E61" i="13"/>
  <c r="D61" i="13" s="1"/>
  <c r="F62" i="13" s="1"/>
  <c r="AD90" i="20" l="1"/>
  <c r="AE90" i="20" s="1"/>
  <c r="AF90" i="20" s="1"/>
  <c r="AH90" i="20" s="1"/>
  <c r="AC91" i="20" s="1"/>
  <c r="AA92" i="20" s="1"/>
  <c r="AJ92" i="20"/>
  <c r="AL92" i="20" s="1"/>
  <c r="AK92" i="20"/>
  <c r="AM92" i="20" s="1"/>
  <c r="AJ91" i="20"/>
  <c r="AL91" i="20" s="1"/>
  <c r="AK91" i="20"/>
  <c r="AM91" i="20" s="1"/>
  <c r="P21" i="10"/>
  <c r="R21" i="10" s="1"/>
  <c r="E62" i="13"/>
  <c r="D62" i="13" s="1"/>
  <c r="F63" i="13" s="1"/>
  <c r="AG90" i="20" l="1"/>
  <c r="AB91" i="20" s="1"/>
  <c r="AD91" i="20" s="1"/>
  <c r="AE91" i="20" s="1"/>
  <c r="AF91" i="20" s="1"/>
  <c r="AH91" i="20" s="1"/>
  <c r="AC92" i="20" s="1"/>
  <c r="AA93" i="20" s="1"/>
  <c r="S21" i="10"/>
  <c r="M22" i="10" s="1"/>
  <c r="E63" i="13"/>
  <c r="D63" i="13" s="1"/>
  <c r="F64" i="13" s="1"/>
  <c r="Z92" i="20" l="1"/>
  <c r="AI93" i="20" s="1"/>
  <c r="AG91" i="20"/>
  <c r="AB92" i="20" s="1"/>
  <c r="O22" i="10"/>
  <c r="J11" i="10"/>
  <c r="J14" i="10" s="1"/>
  <c r="N22" i="10"/>
  <c r="E64" i="13"/>
  <c r="D64" i="13" s="1"/>
  <c r="F65" i="13" s="1"/>
  <c r="AJ93" i="20" l="1"/>
  <c r="AL93" i="20" s="1"/>
  <c r="AK93" i="20"/>
  <c r="AM93" i="20" s="1"/>
  <c r="AD92" i="20"/>
  <c r="AE92" i="20" s="1"/>
  <c r="AF92" i="20" s="1"/>
  <c r="AH92" i="20" s="1"/>
  <c r="AC93" i="20" s="1"/>
  <c r="AA94" i="20" s="1"/>
  <c r="Z93" i="20"/>
  <c r="P22" i="10"/>
  <c r="R22" i="10" s="1"/>
  <c r="S22" i="10" s="1"/>
  <c r="E65" i="13"/>
  <c r="D65" i="13" s="1"/>
  <c r="F66" i="13" s="1"/>
  <c r="AI94" i="20" l="1"/>
  <c r="AG92" i="20"/>
  <c r="AB93" i="20" s="1"/>
  <c r="E66" i="13"/>
  <c r="D66" i="13" s="1"/>
  <c r="F67" i="13" s="1"/>
  <c r="AK94" i="20" l="1"/>
  <c r="AM94" i="20" s="1"/>
  <c r="AJ94" i="20"/>
  <c r="AL94" i="20" s="1"/>
  <c r="AD93" i="20"/>
  <c r="AE93" i="20" s="1"/>
  <c r="AF93" i="20" s="1"/>
  <c r="AH93" i="20" s="1"/>
  <c r="AC94" i="20" s="1"/>
  <c r="AA95" i="20" s="1"/>
  <c r="Z94" i="20"/>
  <c r="E67" i="13"/>
  <c r="D67" i="13" s="1"/>
  <c r="F68" i="13" s="1"/>
  <c r="AI95" i="20" l="1"/>
  <c r="AG93" i="20"/>
  <c r="AB94" i="20" s="1"/>
  <c r="E68" i="13"/>
  <c r="D68" i="13" s="1"/>
  <c r="F69" i="13" s="1"/>
  <c r="AD94" i="20" l="1"/>
  <c r="AE94" i="20" s="1"/>
  <c r="AF94" i="20" s="1"/>
  <c r="AH94" i="20" s="1"/>
  <c r="AC95" i="20" s="1"/>
  <c r="AA96" i="20" s="1"/>
  <c r="AK95" i="20"/>
  <c r="AM95" i="20" s="1"/>
  <c r="AJ95" i="20"/>
  <c r="AL95" i="20" s="1"/>
  <c r="Z95" i="20"/>
  <c r="E69" i="13"/>
  <c r="D69" i="13" s="1"/>
  <c r="F70" i="13" s="1"/>
  <c r="AI96" i="20" l="1"/>
  <c r="AG94" i="20"/>
  <c r="AB95" i="20" s="1"/>
  <c r="E70" i="13"/>
  <c r="D70" i="13" s="1"/>
  <c r="F71" i="13" s="1"/>
  <c r="AD95" i="20" l="1"/>
  <c r="AE95" i="20" s="1"/>
  <c r="AF95" i="20" s="1"/>
  <c r="AH95" i="20" s="1"/>
  <c r="AC96" i="20" s="1"/>
  <c r="AA97" i="20" s="1"/>
  <c r="AK96" i="20"/>
  <c r="AM96" i="20" s="1"/>
  <c r="AJ96" i="20"/>
  <c r="AL96" i="20" s="1"/>
  <c r="Z96" i="20"/>
  <c r="E71" i="13"/>
  <c r="D71" i="13" s="1"/>
  <c r="F72" i="13" s="1"/>
  <c r="AI97" i="20" l="1"/>
  <c r="AG95" i="20"/>
  <c r="AB96" i="20" s="1"/>
  <c r="E72" i="13"/>
  <c r="D72" i="13" s="1"/>
  <c r="F73" i="13" s="1"/>
  <c r="AD96" i="20" l="1"/>
  <c r="AE96" i="20" s="1"/>
  <c r="AF96" i="20" s="1"/>
  <c r="AH96" i="20" s="1"/>
  <c r="AC97" i="20" s="1"/>
  <c r="AA98" i="20" s="1"/>
  <c r="AJ97" i="20"/>
  <c r="AL97" i="20" s="1"/>
  <c r="AK97" i="20"/>
  <c r="AM97" i="20" s="1"/>
  <c r="Z97" i="20"/>
  <c r="E73" i="13"/>
  <c r="D73" i="13" s="1"/>
  <c r="F74" i="13" s="1"/>
  <c r="AI98" i="20" l="1"/>
  <c r="AG96" i="20"/>
  <c r="AB97" i="20" s="1"/>
  <c r="E74" i="13"/>
  <c r="D74" i="13" s="1"/>
  <c r="F75" i="13" s="1"/>
  <c r="AD97" i="20" l="1"/>
  <c r="AE97" i="20" s="1"/>
  <c r="AF97" i="20" s="1"/>
  <c r="AH97" i="20" s="1"/>
  <c r="AC98" i="20" s="1"/>
  <c r="AA99" i="20" s="1"/>
  <c r="AK98" i="20"/>
  <c r="AM98" i="20" s="1"/>
  <c r="AJ98" i="20"/>
  <c r="AL98" i="20" s="1"/>
  <c r="Z98" i="20"/>
  <c r="E75" i="13"/>
  <c r="D75" i="13" s="1"/>
  <c r="F76" i="13" s="1"/>
  <c r="AI99" i="20" l="1"/>
  <c r="AG97" i="20"/>
  <c r="AB98" i="20" s="1"/>
  <c r="E76" i="13"/>
  <c r="D76" i="13" s="1"/>
  <c r="F77" i="13" s="1"/>
  <c r="AD98" i="20" l="1"/>
  <c r="AE98" i="20" s="1"/>
  <c r="AF98" i="20" s="1"/>
  <c r="AH98" i="20" s="1"/>
  <c r="AC99" i="20" s="1"/>
  <c r="AA100" i="20" s="1"/>
  <c r="Z99" i="20"/>
  <c r="AK99" i="20"/>
  <c r="AM99" i="20" s="1"/>
  <c r="AJ99" i="20"/>
  <c r="AL99" i="20" s="1"/>
  <c r="E77" i="13"/>
  <c r="D77" i="13" s="1"/>
  <c r="F78" i="13" s="1"/>
  <c r="AI100" i="20" l="1"/>
  <c r="AG98" i="20"/>
  <c r="AB99" i="20" s="1"/>
  <c r="E78" i="13"/>
  <c r="D78" i="13" s="1"/>
  <c r="F79" i="13" s="1"/>
  <c r="AD99" i="20" l="1"/>
  <c r="AE99" i="20" s="1"/>
  <c r="AF99" i="20" s="1"/>
  <c r="AH99" i="20" s="1"/>
  <c r="AC100" i="20" s="1"/>
  <c r="AA101" i="20" s="1"/>
  <c r="AK100" i="20"/>
  <c r="AM100" i="20" s="1"/>
  <c r="AJ100" i="20"/>
  <c r="AL100" i="20" s="1"/>
  <c r="Z100" i="20"/>
  <c r="E79" i="13"/>
  <c r="D79" i="13" s="1"/>
  <c r="F80" i="13" s="1"/>
  <c r="AG99" i="20" l="1"/>
  <c r="AB100" i="20" s="1"/>
  <c r="Z101" i="20" s="1"/>
  <c r="AI102" i="20" s="1"/>
  <c r="AI101" i="20"/>
  <c r="E80" i="13"/>
  <c r="D80" i="13" s="1"/>
  <c r="F81" i="13" s="1"/>
  <c r="AD100" i="20" l="1"/>
  <c r="AE100" i="20" s="1"/>
  <c r="AF100" i="20" s="1"/>
  <c r="AH100" i="20" s="1"/>
  <c r="AC101" i="20" s="1"/>
  <c r="AA102" i="20" s="1"/>
  <c r="AJ101" i="20"/>
  <c r="AL101" i="20" s="1"/>
  <c r="AK101" i="20"/>
  <c r="AM101" i="20" s="1"/>
  <c r="AK102" i="20"/>
  <c r="AM102" i="20" s="1"/>
  <c r="AJ102" i="20"/>
  <c r="AL102" i="20" s="1"/>
  <c r="E81" i="13"/>
  <c r="D81" i="13" s="1"/>
  <c r="F82" i="13" s="1"/>
  <c r="AG100" i="20" l="1"/>
  <c r="AB101" i="20" s="1"/>
  <c r="Z102" i="20" s="1"/>
  <c r="AI103" i="20" s="1"/>
  <c r="E82" i="13"/>
  <c r="D82" i="13" s="1"/>
  <c r="F83" i="13" s="1"/>
  <c r="AD101" i="20" l="1"/>
  <c r="AE101" i="20" s="1"/>
  <c r="AF101" i="20" s="1"/>
  <c r="AH101" i="20" s="1"/>
  <c r="AC102" i="20" s="1"/>
  <c r="AA103" i="20" s="1"/>
  <c r="AK103" i="20"/>
  <c r="AM103" i="20" s="1"/>
  <c r="AJ103" i="20"/>
  <c r="AL103" i="20" s="1"/>
  <c r="E83" i="13"/>
  <c r="D83" i="13" s="1"/>
  <c r="F84" i="13" s="1"/>
  <c r="AG101" i="20" l="1"/>
  <c r="AB102" i="20" s="1"/>
  <c r="E84" i="13"/>
  <c r="D84" i="13" s="1"/>
  <c r="F85" i="13" s="1"/>
  <c r="AD102" i="20" l="1"/>
  <c r="AE102" i="20" s="1"/>
  <c r="AF102" i="20" s="1"/>
  <c r="AH102" i="20" s="1"/>
  <c r="AC103" i="20" s="1"/>
  <c r="AA104" i="20" s="1"/>
  <c r="AG102" i="20"/>
  <c r="AB103" i="20" s="1"/>
  <c r="Z103" i="20"/>
  <c r="E85" i="13"/>
  <c r="D85" i="13" s="1"/>
  <c r="F86" i="13" s="1"/>
  <c r="Z104" i="20" l="1"/>
  <c r="AI104" i="20"/>
  <c r="AD103" i="20"/>
  <c r="AE103" i="20" s="1"/>
  <c r="AF103" i="20" s="1"/>
  <c r="AH103" i="20" s="1"/>
  <c r="AC104" i="20" s="1"/>
  <c r="AA105" i="20" s="1"/>
  <c r="AI105" i="20"/>
  <c r="E86" i="13"/>
  <c r="D86" i="13" s="1"/>
  <c r="F87" i="13" s="1"/>
  <c r="D19" i="20" l="1"/>
  <c r="AK104" i="20"/>
  <c r="AM104" i="20" s="1"/>
  <c r="AJ104" i="20"/>
  <c r="V18" i="20" a="1"/>
  <c r="V18" i="20" s="1"/>
  <c r="AK105" i="20"/>
  <c r="AM105" i="20" s="1"/>
  <c r="AJ105" i="20"/>
  <c r="AL105" i="20" s="1"/>
  <c r="AG103" i="20"/>
  <c r="AB104" i="20" s="1"/>
  <c r="Z105" i="20" s="1"/>
  <c r="E87" i="13"/>
  <c r="D87" i="13" s="1"/>
  <c r="F88" i="13" s="1"/>
  <c r="AL104" i="20" l="1"/>
  <c r="V20" i="20"/>
  <c r="AD104" i="20"/>
  <c r="AE104" i="20" s="1"/>
  <c r="AF104" i="20" s="1"/>
  <c r="AH104" i="20" s="1"/>
  <c r="AC105" i="20" s="1"/>
  <c r="D17" i="20"/>
  <c r="D18" i="20"/>
  <c r="E88" i="13"/>
  <c r="D88" i="13" s="1"/>
  <c r="F89" i="13" s="1"/>
  <c r="AG104" i="20" l="1"/>
  <c r="AB105" i="20" s="1"/>
  <c r="E89" i="13"/>
  <c r="D89" i="13" s="1"/>
  <c r="F90" i="13" s="1"/>
  <c r="AD105" i="20" l="1"/>
  <c r="AE105" i="20" s="1"/>
  <c r="AF105" i="20" s="1"/>
  <c r="AH105" i="20" s="1"/>
  <c r="E90" i="13"/>
  <c r="D90" i="13" s="1"/>
  <c r="F91" i="13" s="1"/>
  <c r="AG105" i="20" l="1"/>
  <c r="E91" i="13"/>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<sst xmlns="http://schemas.openxmlformats.org/spreadsheetml/2006/main" count="3051" uniqueCount="387">
  <si>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</si>
  <si>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</si>
  <si>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</si>
  <si>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</si>
  <si>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</si>
  <si>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</si>
  <si>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</si>
  <si>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</si>
  <si>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</si>
  <si>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</si>
  <si>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</si>
  <si>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</si>
  <si>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</si>
  <si>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</si>
  <si>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</si>
  <si>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</si>
  <si>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</si>
  <si>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</si>
  <si>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</si>
  <si>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</si>
  <si>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</si>
  <si>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</si>
  <si>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</si>
  <si>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</si>
  <si>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</si>
  <si>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</si>
  <si>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</si>
  <si>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</si>
  <si>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</si>
  <si>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</si>
  <si>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</si>
  <si>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</si>
  <si>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</si>
  <si>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</si>
  <si>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</si>
  <si>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</si>
  <si>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</si>
  <si>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</si>
  <si>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</si>
  <si>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</si>
  <si>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</si>
  <si>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</si>
  <si>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</si>
  <si>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</si>
  <si>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</si>
  <si>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</si>
  <si>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</si>
  <si>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</si>
  <si>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</si>
  <si>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</si>
  <si>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</si>
  <si>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</si>
  <si>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</si>
  <si>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</si>
  <si>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</si>
  <si>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</si>
  <si>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</si>
  <si>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</si>
  <si>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</si>
  <si>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</si>
  <si>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</si>
  <si>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</si>
  <si>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</si>
  <si>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</si>
  <si>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</si>
  <si>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</si>
  <si>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</si>
  <si>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</si>
  <si>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</si>
  <si>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</si>
  <si>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</si>
  <si>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</si>
  <si>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</si>
  <si>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</si>
  <si>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</si>
  <si>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</si>
  <si>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</si>
  <si>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</si>
  <si>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</si>
  <si>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</si>
  <si>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</si>
  <si>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</si>
  <si>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</si>
  <si>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</si>
  <si>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</si>
  <si>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</si>
  <si>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</si>
  <si>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</si>
  <si>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</si>
  <si>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</si>
  <si>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</si>
  <si>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</si>
  <si>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</si>
  <si>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</si>
  <si>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</si>
  <si>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</si>
  <si>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</si>
  <si>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</si>
  <si>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</si>
  <si>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</si>
  <si>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</si>
  <si>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</si>
  <si>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</si>
  <si>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</si>
  <si>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</si>
  <si>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</si>
  <si>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</si>
  <si>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</si>
  <si>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</si>
  <si>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</si>
  <si>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</si>
  <si>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</si>
  <si>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</si>
  <si>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</si>
  <si>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</si>
  <si>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</si>
  <si>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</si>
  <si>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</si>
  <si>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</si>
  <si>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</si>
  <si>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</si>
  <si>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</si>
  <si>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</si>
  <si>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</si>
  <si>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</si>
  <si>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</si>
  <si>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</si>
  <si>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</si>
  <si>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</si>
  <si>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</si>
  <si>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</si>
  <si>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</si>
  <si>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</si>
  <si>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</si>
  <si>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</si>
  <si>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</si>
  <si>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</si>
  <si>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</si>
  <si>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</si>
  <si>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</si>
  <si>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</si>
  <si>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</si>
  <si>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</si>
  <si>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</si>
  <si>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</si>
  <si>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</si>
  <si>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</si>
  <si>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</si>
  <si>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</si>
  <si>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</si>
  <si>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</si>
  <si>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</si>
  <si>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</si>
  <si>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</si>
  <si>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</si>
  <si>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</si>
  <si>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</si>
  <si>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</si>
  <si>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</si>
  <si>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</si>
  <si>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</si>
  <si>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</si>
  <si>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</si>
  <si>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</si>
  <si>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</si>
  <si>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</si>
  <si>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</si>
  <si>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</si>
  <si>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</si>
  <si>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</si>
  <si>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</si>
  <si>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</si>
  <si>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</si>
  <si>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</si>
  <si>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</si>
  <si>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</si>
  <si>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</si>
  <si>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</si>
  <si>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</si>
  <si>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</si>
  <si>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</si>
  <si>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</si>
  <si>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</si>
  <si>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</si>
  <si>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</si>
  <si>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</si>
  <si>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</si>
  <si>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</si>
  <si>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</si>
  <si>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</si>
  <si>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</si>
  <si>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</si>
  <si>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</si>
  <si>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</si>
  <si>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</si>
  <si>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</si>
  <si>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</si>
  <si>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</si>
  <si>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</si>
  <si>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</si>
  <si>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</si>
  <si>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</si>
  <si>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</si>
  <si>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</si>
  <si>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</si>
  <si>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</si>
  <si>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</si>
  <si>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</si>
  <si>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</si>
  <si>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</si>
  <si>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</si>
  <si>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</si>
  <si>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</si>
  <si>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</si>
  <si>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</si>
  <si>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</si>
  <si>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</si>
  <si>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</si>
  <si>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</si>
  <si>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</si>
  <si>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</si>
  <si>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</si>
  <si>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</si>
  <si>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</si>
  <si>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</si>
  <si>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</si>
  <si>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</si>
  <si>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</si>
  <si>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</si>
  <si>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</si>
  <si>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</si>
  <si>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</si>
  <si>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</si>
  <si>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</si>
  <si>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</si>
  <si>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</si>
  <si>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</si>
  <si>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</si>
  <si>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</si>
  <si>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</si>
  <si>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</si>
  <si>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</si>
  <si>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</si>
  <si>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</si>
  <si>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</si>
  <si>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</si>
  <si>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</si>
  <si>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</si>
  <si>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</si>
  <si>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</si>
  <si>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</si>
  <si>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</si>
  <si>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</si>
  <si>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</si>
  <si>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</si>
  <si>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</si>
  <si>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</si>
  <si>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</si>
  <si>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</si>
  <si>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</si>
  <si>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</si>
  <si>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</si>
  <si>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</si>
  <si>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</si>
  <si>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</si>
  <si>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</si>
  <si>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</si>
  <si>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</si>
  <si>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</si>
  <si>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</si>
  <si>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</si>
  <si>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</si>
  <si>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</si>
  <si>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</si>
  <si>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</si>
  <si>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</si>
  <si>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</si>
  <si>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</si>
  <si>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</si>
  <si>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</si>
  <si>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</si>
  <si>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</si>
  <si>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</si>
  <si>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</si>
  <si>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</si>
  <si>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</si>
  <si>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</si>
  <si>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</si>
  <si>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</si>
  <si>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</si>
  <si>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</si>
  <si>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</si>
  <si>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</si>
  <si>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</si>
  <si>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</si>
  <si>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</si>
  <si>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</si>
  <si>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</si>
  <si>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</si>
  <si>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</si>
  <si>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</si>
  <si>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</si>
  <si>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</si>
  <si>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</si>
  <si>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</si>
  <si>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</si>
  <si>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</si>
  <si>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</si>
  <si>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</si>
  <si>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</si>
  <si>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</si>
  <si>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</si>
  <si>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</si>
  <si>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</si>
  <si>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</si>
  <si>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</si>
  <si>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</si>
  <si>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</si>
  <si>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</si>
  <si>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</si>
  <si>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</si>
  <si>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</si>
  <si>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</si>
  <si>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</si>
  <si>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</si>
  <si>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</si>
  <si>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</si>
  <si>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</si>
  <si>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</si>
  <si>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</si>
  <si>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</si>
  <si>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</si>
  <si>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</si>
  <si>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</si>
  <si>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</si>
  <si>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</si>
  <si>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</si>
  <si>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</si>
  <si>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</si>
  <si>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</si>
  <si>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</si>
  <si>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</si>
  <si>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</si>
  <si>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</si>
  <si>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</si>
  <si>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</si>
  <si>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Min Allowable Voltage (V)</t>
  </si>
  <si>
    <t>Battery Resting Voltage (V)</t>
  </si>
  <si>
    <t>Per-Branch Resistance (mΩ)</t>
  </si>
  <si>
    <r>
      <t>Batt/Mains Resistance (m</t>
    </r>
    <r>
      <rPr>
        <sz val="11"/>
        <color theme="1"/>
        <rFont val="Calibri"/>
        <family val="2"/>
      </rPr>
      <t>Ω)</t>
    </r>
  </si>
  <si>
    <t>Max Total Current Draw (A)</t>
  </si>
  <si>
    <t>Wheel Slip Gear Ratio</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</si>
  <si>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</si>
  <si>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</si>
  <si>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</si>
  <si>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</si>
  <si>
    <t>Timestep</t>
  </si>
  <si>
    <t>x</t>
  </si>
  <si>
    <t>x'</t>
  </si>
  <si>
    <t>y'</t>
  </si>
  <si>
    <t>v</t>
  </si>
  <si>
    <t>S</t>
  </si>
  <si>
    <t>CL</t>
  </si>
  <si>
    <t>x''</t>
  </si>
  <si>
    <t>y''</t>
  </si>
  <si>
    <t>done</t>
  </si>
  <si>
    <t>x_disp</t>
  </si>
  <si>
    <t>y_disp</t>
  </si>
  <si>
    <t>x_grph</t>
  </si>
  <si>
    <t>y_grph</t>
  </si>
  <si>
    <t>Release Height</t>
  </si>
  <si>
    <t>Distance to Target</t>
  </si>
  <si>
    <t>Release Velocity</t>
  </si>
  <si>
    <t>Release Angle</t>
  </si>
  <si>
    <t>Radius</t>
  </si>
  <si>
    <t>Mass</t>
  </si>
  <si>
    <t>drag</t>
  </si>
  <si>
    <t>Drag Coefficient</t>
  </si>
  <si>
    <t>lift</t>
  </si>
  <si>
    <t>Rotation Speed (rps)</t>
  </si>
  <si>
    <t>Obstacle Distance</t>
  </si>
  <si>
    <t>Obstacle Height</t>
  </si>
  <si>
    <t>The reverse calculation uses standard projectile motion only. It does not account for air resistance or the Magnus effect.</t>
  </si>
  <si>
    <t>The forward calculation includes a basic model for air resistance and Magnus effect. To disable these, set the Drag Coefficient and Rotation Speed to 0.</t>
  </si>
  <si>
    <t>Drag Coeff. Calculation</t>
  </si>
  <si>
    <t>Use the calculator to find the reynolds number of the ball in air, then use the graph below to find the ball's drag coefficient.</t>
  </si>
  <si>
    <t>Reynolds 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</si>
</sst>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000"/>
    <numFmt numFmtId="173" formatCode="0.0E+0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0">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
      <left/>
      <right/>
      <top/>
      <bottom style="thin">
        <color indexed="64"/>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36">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6" applyFont="1" applyBorder="1" applyProtection="1"/>
    <xf numFmtId="2" fontId="0" fillId="11" borderId="57" xfId="6" applyNumberFormat="1" applyFont="1" applyFill="1" applyBorder="1" applyProtection="1"/>
    <xf numFmtId="0" fontId="0" fillId="0" borderId="15" xfId="0" applyBorder="1" applyAlignment="1" applyProtection="1">
      <alignment vertical="center"/>
    </xf>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xf numFmtId="172" fontId="0" fillId="0" borderId="0" xfId="0" applyNumberFormat="1" applyAlignment="1" applyProtection="1">
      <alignment vertical="center"/>
    </xf>
    <xf numFmtId="168" fontId="0" fillId="0" borderId="0" xfId="0" applyNumberFormat="1" applyAlignment="1" applyProtection="1">
      <alignment vertical="center"/>
    </xf>
    <xf numFmtId="0" fontId="5" fillId="0" borderId="73" xfId="0" applyFont="1" applyBorder="1" applyAlignment="1" applyProtection="1">
      <alignment horizontal="center" vertical="center" wrapText="1"/>
    </xf>
    <xf numFmtId="0" fontId="5" fillId="0" borderId="74" xfId="0" applyFont="1" applyBorder="1" applyAlignment="1" applyProtection="1">
      <alignment horizontal="center" vertical="center" wrapText="1"/>
    </xf>
    <xf numFmtId="0" fontId="5" fillId="0" borderId="75" xfId="0" applyFont="1" applyBorder="1" applyAlignment="1" applyProtection="1">
      <alignment horizontal="center" vertical="center" wrapText="1"/>
    </xf>
    <xf numFmtId="0" fontId="5" fillId="0" borderId="76" xfId="0" applyFont="1" applyBorder="1" applyAlignment="1" applyProtection="1">
      <alignment horizontal="center" vertical="center" wrapText="1"/>
    </xf>
    <xf numFmtId="0" fontId="5" fillId="0" borderId="77" xfId="0" applyFont="1" applyBorder="1" applyAlignment="1" applyProtection="1">
      <alignment horizontal="center" vertical="center" wrapText="1"/>
    </xf>
    <xf numFmtId="0" fontId="5" fillId="0" borderId="78" xfId="0" applyFont="1" applyBorder="1" applyAlignment="1" applyProtection="1">
      <alignment horizontal="center" vertical="center" wrapText="1"/>
    </xf>
    <xf numFmtId="0" fontId="11" fillId="0" borderId="79" xfId="0" applyFont="1" applyBorder="1" applyAlignment="1" applyProtection="1">
      <alignment horizontal="left" vertical="center"/>
    </xf>
    <xf numFmtId="0" fontId="14" fillId="0" borderId="49" xfId="0" applyFont="1" applyBorder="1" applyAlignment="1" applyProtection="1">
      <alignment horizontal="center" vertical="center" wrapText="1"/>
    </xf>
    <xf numFmtId="0" fontId="14" fillId="0" borderId="50" xfId="0" applyFont="1" applyBorder="1" applyAlignment="1" applyProtection="1">
      <alignment horizontal="center" vertical="center" wrapText="1"/>
    </xf>
    <xf numFmtId="0" fontId="14" fillId="0" borderId="51" xfId="0" applyFont="1" applyBorder="1" applyAlignment="1" applyProtection="1">
      <alignment horizontal="center" vertical="center" wrapText="1"/>
    </xf>
    <xf numFmtId="0" fontId="14" fillId="0" borderId="42" xfId="0" applyFont="1" applyBorder="1" applyAlignment="1" applyProtection="1">
      <alignment horizontal="center" vertical="center" wrapText="1"/>
    </xf>
    <xf numFmtId="173" fontId="0" fillId="3" borderId="17" xfId="0" applyNumberFormat="1" applyFill="1" applyBorder="1" applyAlignment="1" applyProtection="1">
      <alignment vertical="center"/>
    </xf>
    <xf numFmtId="0" fontId="14" fillId="0" borderId="52" xfId="0" applyFont="1" applyBorder="1" applyAlignment="1" applyProtection="1">
      <alignment horizontal="center" vertical="center" wrapText="1"/>
    </xf>
    <xf numFmtId="0" fontId="14" fillId="0" borderId="7" xfId="0"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6">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marker>
            <c:symbol val="none"/>
          </c:marker>
          <c:xVal>
            <c:numRef>
              <c:f>´ÖÓÎÉÇØÍÐÉ!$AL$5:$AL$105</c:f>
              <c:numCache>
                <c:formatCode>General</c:formatCode>
                <c:ptCount val="101"/>
                <c:pt idx="0">
                  <c:v>0</c:v>
                </c:pt>
                <c:pt idx="1">
                  <c:v>0.14999999999999997</c:v>
                </c:pt>
                <c:pt idx="2">
                  <c:v>0.2988926694995433</c:v>
                </c:pt>
                <c:pt idx="3">
                  <c:v>0.44669696224124111</c:v>
                </c:pt>
                <c:pt idx="4">
                  <c:v>0.59343151174345032</c:v>
                </c:pt>
                <c:pt idx="5">
                  <c:v>0.73911463807851363</c:v>
                </c:pt>
                <c:pt idx="6">
                  <c:v>0.88376435446313328</c:v>
                </c:pt>
                <c:pt idx="7">
                  <c:v>1.0273983736670573</c:v>
                </c:pt>
                <c:pt idx="8">
                  <c:v>1.1700341142460347</c:v>
                </c:pt>
                <c:pt idx="9">
                  <c:v>1.3116887066047813</c:v>
                </c:pt>
                <c:pt idx="10">
                  <c:v>1.4523789988954978</c:v>
                </c:pt>
                <c:pt idx="11">
                  <c:v>1.5921215627572831</c:v>
                </c:pt>
                <c:pt idx="12">
                  <c:v>1.7309326989016063</c:v>
                </c:pt>
                <c:pt idx="13">
                  <c:v>1.8688284425488197</c:v>
                </c:pt>
                <c:pt idx="14">
                  <c:v>2.0058245687205285</c:v>
                </c:pt>
                <c:pt idx="15">
                  <c:v>2.1419365973924713</c:v>
                </c:pt>
                <c:pt idx="16">
                  <c:v>2.2771797985124125</c:v>
                </c:pt>
                <c:pt idx="17">
                  <c:v>2.4115691968874007</c:v>
                </c:pt>
                <c:pt idx="18">
                  <c:v>2.5451195769446042</c:v>
                </c:pt>
                <c:pt idx="19">
                  <c:v>2.6778454873698063</c:v>
                </c:pt>
                <c:pt idx="20">
                  <c:v>2.809761245627509</c:v>
                </c:pt>
                <c:pt idx="21">
                  <c:v>2.9408809423664759</c:v>
                </c:pt>
                <c:pt idx="22">
                  <c:v>3.0712184457144236</c:v>
                </c:pt>
                <c:pt idx="23">
                  <c:v>3.2007874054654626</c:v>
                </c:pt>
                <c:pt idx="24">
                  <c:v>3.3296012571637807</c:v>
                </c:pt>
                <c:pt idx="25">
                  <c:v>3.4576732260869556</c:v>
                </c:pt>
                <c:pt idx="26">
                  <c:v>3.5850163311321879</c:v>
                </c:pt>
                <c:pt idx="27">
                  <c:v>3.7116433886086542</c:v>
                </c:pt>
                <c:pt idx="28">
                  <c:v>3.837567015939078</c:v>
                </c:pt>
                <c:pt idx="29">
                  <c:v>3.9627996352735453</c:v>
                </c:pt>
                <c:pt idx="30">
                  <c:v>4.0873534770184898</c:v>
                </c:pt>
                <c:pt idx="31">
                  <c:v>4.2112405832837059</c:v>
                </c:pt>
                <c:pt idx="32">
                  <c:v>4.334472811250162</c:v>
                </c:pt>
                <c:pt idx="33">
                  <c:v>4.4570618364613122</c:v>
                </c:pt>
                <c:pt idx="34">
                  <c:v>4.5790191560405322</c:v>
                </c:pt>
                <c:pt idx="35">
                  <c:v>4.7003560918372331</c:v>
                </c:pt>
                <c:pt idx="36">
                  <c:v>4.8210837935041404</c:v>
                </c:pt>
                <c:pt idx="37">
                  <c:v>4.9412132415081498</c:v>
                </c:pt>
                <c:pt idx="38">
                  <c:v>5.0607552500771185</c:v>
                </c:pt>
                <c:pt idx="39">
                  <c:v>5.1797204700848747</c:v>
                </c:pt>
                <c:pt idx="40">
                  <c:v>5.2981193918766669</c:v>
                </c:pt>
                <c:pt idx="41">
                  <c:v>5.4159623480372234</c:v>
                </c:pt>
                <c:pt idx="42">
                  <c:v>5.5332595161035076</c:v>
                </c:pt>
                <c:pt idx="43">
                  <c:v>5.6500209212242227</c:v>
                </c:pt>
                <c:pt idx="44">
                  <c:v>5.7662564387680293</c:v>
                </c:pt>
                <c:pt idx="45">
                  <c:v>5.8819757968824087</c:v>
                </c:pt>
                <c:pt idx="46">
                  <c:v>5.997188579005015</c:v>
                </c:pt>
                <c:pt idx="47">
                  <c:v>6.1119042263293286</c:v>
                </c:pt>
                <c:pt idx="48">
                  <c:v>6.2261320402263367</c:v>
                </c:pt>
                <c:pt idx="49">
                  <c:v>6.3398811846239269</c:v>
                </c:pt>
                <c:pt idx="50">
                  <c:v>6.4531606883456103</c:v>
                </c:pt>
                <c:pt idx="51">
                  <c:v>6.5659794474101272</c:v>
                </c:pt>
                <c:pt idx="52">
                  <c:v>6.678346227293436</c:v>
                </c:pt>
                <c:pt idx="53">
                  <c:v>6.7902696651545176</c:v>
                </c:pt>
                <c:pt idx="54">
                  <c:v>6.901758272026365</c:v>
                </c:pt>
                <c:pt idx="55">
                  <c:v>7.0128204349734728</c:v>
                </c:pt>
                <c:pt idx="56">
                  <c:v>7.1234644192170702</c:v>
                </c:pt>
                <c:pt idx="57">
                  <c:v>7.233698370229277</c:v>
                </c:pt>
                <c:pt idx="58">
                  <c:v>7.3435303157973095</c:v>
                </c:pt>
                <c:pt idx="59">
                  <c:v>7.4529681680587831</c:v>
                </c:pt>
                <c:pt idx="60">
                  <c:v>7.5620197255091073</c:v>
                </c:pt>
                <c:pt idx="61">
                  <c:v>7.6706926749818889</c:v>
                </c:pt>
                <c:pt idx="62">
                  <c:v>7.7789945936032154</c:v>
                </c:pt>
                <c:pt idx="63">
                  <c:v>7.8869329507206007</c:v>
                </c:pt>
                <c:pt idx="64">
                  <c:v>7.994515109807331</c:v>
                </c:pt>
                <c:pt idx="65">
                  <c:v>8.1017483303428701</c:v>
                </c:pt>
                <c:pt idx="66">
                  <c:v>8.2086397696699294</c:v>
                </c:pt>
                <c:pt idx="67">
                  <c:v>8.3151964848287268</c:v>
                </c:pt>
                <c:pt idx="68">
                  <c:v>8.4214254343689312</c:v>
                </c:pt>
                <c:pt idx="69">
                  <c:v>8.5273334801396778</c:v>
                </c:pt>
                <c:pt idx="70">
                  <c:v>8.6329273890580254</c:v>
                </c:pt>
                <c:pt idx="71">
                  <c:v>8.7382138348561345</c:v>
                </c:pt>
                <c:pt idx="72">
                  <c:v>8.8431993998074088</c:v>
                </c:pt>
                <c:pt idx="73">
                  <c:v>8.947890576431778</c:v>
                </c:pt>
                <c:pt idx="74">
                  <c:v>9.0522937691802401</c:v>
                </c:pt>
                <c:pt idx="75">
                  <c:v>9.1564152960987357</c:v>
                </c:pt>
                <c:pt idx="76">
                  <c:v>9.2602613904713973</c:v>
                </c:pt>
                <c:pt idx="77">
                  <c:v>9.363838202443123</c:v>
                </c:pt>
                <c:pt idx="78">
                  <c:v>9.4671518006214299</c:v>
                </c:pt>
                <c:pt idx="79">
                  <c:v>9.5702081736574716</c:v>
                </c:pt>
                <c:pt idx="80">
                  <c:v>9.673013231806074</c:v>
                </c:pt>
                <c:pt idx="81">
                  <c:v>9.7755728084646201</c:v>
                </c:pt>
                <c:pt idx="82">
                  <c:v>9.8778926616905611</c:v>
                </c:pt>
                <c:pt idx="83">
                  <c:v>9.9799784756973278</c:v>
                </c:pt>
                <c:pt idx="84">
                  <c:v>10.081835862328369</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´ÖÓÎÉÇØÍÐÉ!$AM$5:$AM$105</c:f>
              <c:numCache>
                <c:formatCode>General</c:formatCode>
                <c:ptCount val="101"/>
                <c:pt idx="0">
                  <c:v>1.2</c:v>
                </c:pt>
                <c:pt idx="1">
                  <c:v>1.2636712224314406</c:v>
                </c:pt>
                <c:pt idx="2">
                  <c:v>1.3263396736530579</c:v>
                </c:pt>
                <c:pt idx="3">
                  <c:v>1.3880035290301034</c:v>
                </c:pt>
                <c:pt idx="4">
                  <c:v>1.448661048056876</c:v>
                </c:pt>
                <c:pt idx="5">
                  <c:v>1.5083105714268912</c:v>
                </c:pt>
                <c:pt idx="6">
                  <c:v>1.5669505182281709</c:v>
                </c:pt>
                <c:pt idx="7">
                  <c:v>1.6245793832594004</c:v>
                </c:pt>
                <c:pt idx="8">
                  <c:v>1.6811957344628903</c:v>
                </c:pt>
                <c:pt idx="9">
                  <c:v>1.7367982104704744</c:v>
                </c:pt>
                <c:pt idx="10">
                  <c:v>1.7913855182586582</c:v>
                </c:pt>
                <c:pt idx="11">
                  <c:v>1.8449564309094926</c:v>
                </c:pt>
                <c:pt idx="12">
                  <c:v>1.8975097854738203</c:v>
                </c:pt>
                <c:pt idx="13">
                  <c:v>1.949044480933686</c:v>
                </c:pt>
                <c:pt idx="14">
                  <c:v>1.9995594762608513</c:v>
                </c:pt>
                <c:pt idx="15">
                  <c:v>2.0490537885684912</c:v>
                </c:pt>
                <c:pt idx="16">
                  <c:v>2.0975264913532756</c:v>
                </c:pt>
                <c:pt idx="17">
                  <c:v>2.1449767128251653</c:v>
                </c:pt>
                <c:pt idx="18">
                  <c:v>2.1914036343223651</c:v>
                </c:pt>
                <c:pt idx="19">
                  <c:v>2.2368064888089845</c:v>
                </c:pt>
                <c:pt idx="20">
                  <c:v>2.2811845594530613</c:v>
                </c:pt>
                <c:pt idx="21">
                  <c:v>2.324537178282696</c:v>
                </c:pt>
                <c:pt idx="22">
                  <c:v>2.3668637249181379</c:v>
                </c:pt>
                <c:pt idx="23">
                  <c:v>2.4081636253777465</c:v>
                </c:pt>
                <c:pt idx="24">
                  <c:v>2.4484363509558311</c:v>
                </c:pt>
                <c:pt idx="25">
                  <c:v>2.4876814171704424</c:v>
                </c:pt>
                <c:pt idx="26">
                  <c:v>2.5258983827792627</c:v>
                </c:pt>
                <c:pt idx="27">
                  <c:v>2.5630868488617997</c:v>
                </c:pt>
                <c:pt idx="28">
                  <c:v>2.5992464579661467</c:v>
                </c:pt>
                <c:pt idx="29">
                  <c:v>2.6343768933186325</c:v>
                </c:pt>
                <c:pt idx="30">
                  <c:v>2.6684778780947176</c:v>
                </c:pt>
                <c:pt idx="31">
                  <c:v>2.7015491747495575</c:v>
                </c:pt>
                <c:pt idx="32">
                  <c:v>2.7335905844066715</c:v>
                </c:pt>
                <c:pt idx="33">
                  <c:v>2.7646019463032108</c:v>
                </c:pt>
                <c:pt idx="34">
                  <c:v>2.7945831372903354</c:v>
                </c:pt>
                <c:pt idx="35">
                  <c:v>2.8235340713872445</c:v>
                </c:pt>
                <c:pt idx="36">
                  <c:v>2.8514546993874257</c:v>
                </c:pt>
                <c:pt idx="37">
                  <c:v>2.8783450085157067</c:v>
                </c:pt>
                <c:pt idx="38">
                  <c:v>2.9042050221347151</c:v>
                </c:pt>
                <c:pt idx="39">
                  <c:v>2.92903479949935</c:v>
                </c:pt>
                <c:pt idx="40">
                  <c:v>2.9528344355578975</c:v>
                </c:pt>
                <c:pt idx="41">
                  <c:v>2.9756040607984109</c:v>
                </c:pt>
                <c:pt idx="42">
                  <c:v>2.9973438411389894</c:v>
                </c:pt>
                <c:pt idx="43">
                  <c:v>3.0180539778605833</c:v>
                </c:pt>
                <c:pt idx="44">
                  <c:v>3.0377347075809551</c:v>
                </c:pt>
                <c:pt idx="45">
                  <c:v>3.0563863022684199</c:v>
                </c:pt>
                <c:pt idx="46">
                  <c:v>3.0740090692939765</c:v>
                </c:pt>
                <c:pt idx="47">
                  <c:v>3.0906033515204401</c:v>
                </c:pt>
                <c:pt idx="48">
                  <c:v>3.1061695274271659</c:v>
                </c:pt>
                <c:pt idx="49">
                  <c:v>3.1207080112689489</c:v>
                </c:pt>
                <c:pt idx="50">
                  <c:v>3.1342192532676632</c:v>
                </c:pt>
                <c:pt idx="51">
                  <c:v>3.1467037398351971</c:v>
                </c:pt>
                <c:pt idx="52">
                  <c:v>3.1581619938262144</c:v>
                </c:pt>
                <c:pt idx="53">
                  <c:v>3.1685945748192639</c:v>
                </c:pt>
                <c:pt idx="54">
                  <c:v>3.1780020794247363</c:v>
                </c:pt>
                <c:pt idx="55">
                  <c:v>3.1863851416181537</c:v>
                </c:pt>
                <c:pt idx="56">
                  <c:v>3.1937444330972551</c:v>
                </c:pt>
                <c:pt idx="57">
                  <c:v>3.200080663661331</c:v>
                </c:pt>
                <c:pt idx="58">
                  <c:v>3.2053945816112384</c:v>
                </c:pt>
                <c:pt idx="59">
                  <c:v>3.2096869741685166</c:v>
                </c:pt>
                <c:pt idx="60">
                  <c:v>3.2129586679120061</c:v>
                </c:pt>
                <c:pt idx="61">
                  <c:v>3.2152105292303652</c:v>
                </c:pt>
                <c:pt idx="62">
                  <c:v>3.2164434647888647</c:v>
                </c:pt>
                <c:pt idx="63">
                  <c:v>3.2166584220088366</c:v>
                </c:pt>
                <c:pt idx="64">
                  <c:v>3.2158563895581409</c:v>
                </c:pt>
                <c:pt idx="65">
                  <c:v>3.2140383978510174</c:v>
                </c:pt>
                <c:pt idx="66">
                  <c:v>3.2112055195556821</c:v>
                </c:pt>
                <c:pt idx="67">
                  <c:v>3.2073588701080364</c:v>
                </c:pt>
                <c:pt idx="68">
                  <c:v>3.2024996082298536</c:v>
                </c:pt>
                <c:pt idx="69">
                  <c:v>3.1966289364498248</c:v>
                </c:pt>
                <c:pt idx="70">
                  <c:v>3.1897481016258511</c:v>
                </c:pt>
                <c:pt idx="71">
                  <c:v>3.1818583954669841</c:v>
                </c:pt>
                <c:pt idx="72">
                  <c:v>3.1729611550534389</c:v>
                </c:pt>
                <c:pt idx="73">
                  <c:v>3.1630577633531201</c:v>
                </c:pt>
                <c:pt idx="74">
                  <c:v>3.1521496497331345</c:v>
                </c:pt>
                <c:pt idx="75">
                  <c:v>3.1402382904647808</c:v>
                </c:pt>
                <c:pt idx="76">
                  <c:v>3.1273252092205519</c:v>
                </c:pt>
                <c:pt idx="77">
                  <c:v>3.1134119775617117</c:v>
                </c:pt>
                <c:pt idx="78">
                  <c:v>3.0985002154150512</c:v>
                </c:pt>
                <c:pt idx="79">
                  <c:v>3.0825915915374686</c:v>
                </c:pt>
                <c:pt idx="80">
                  <c:v>3.0656878239670697</c:v>
                </c:pt>
                <c:pt idx="81">
                  <c:v>3.0477906804595194</c:v>
                </c:pt>
                <c:pt idx="82">
                  <c:v>3.0289019789084426</c:v>
                </c:pt>
                <c:pt idx="83">
                  <c:v>3.0090235877487128</c:v>
                </c:pt>
                <c:pt idx="84">
                  <c:v>2.9881574263415285</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ser>
          <c:idx val="1"/>
          <c:order val="1"/>
          <c:dPt>
            <c:idx val="0"/>
            <c:marker>
              <c:symbol val="none"/>
            </c:marker>
            <c:bubble3D val="0"/>
          </c:dPt>
          <c:xVal>
            <c:numRef>
              <c:f>´ÖÓÎÉÇØÍÐÉ!$V$20</c:f>
              <c:numCache>
                <c:formatCode>General</c:formatCode>
                <c:ptCount val="1"/>
                <c:pt idx="0">
                  <c:v>10.081835862328369</c:v>
                </c:pt>
              </c:numCache>
            </c:numRef>
          </c:xVal>
          <c:yVal>
            <c:numRef>
              <c:f>´ÖÓÎÉÇØÍÐÉ!$V$20</c:f>
              <c:numCache>
                <c:formatCode>General</c:formatCode>
                <c:ptCount val="1"/>
                <c:pt idx="0">
                  <c:v>10.081835862328369</c:v>
                </c:pt>
              </c:numCache>
            </c:numRef>
          </c:yVal>
          <c:smooth val="1"/>
        </c:ser>
        <c:ser>
          <c:idx val="2"/>
          <c:order val="2"/>
          <c:spPr>
            <a:ln>
              <a:solidFill>
                <a:srgbClr val="C00000"/>
              </a:solidFill>
            </a:ln>
          </c:spPr>
          <c:marker>
            <c:symbol val="none"/>
          </c:marker>
          <c:xVal>
            <c:numRef>
              <c:f>(´ÖÓÎÉÇØÍÐÉ!$V$14,´ÖÓÎÉÇØÍÐÉ!$V$14)</c:f>
              <c:numCache>
                <c:formatCode>General</c:formatCode>
                <c:ptCount val="2"/>
                <c:pt idx="0">
                  <c:v>1</c:v>
                </c:pt>
                <c:pt idx="1">
                  <c:v>1</c:v>
                </c:pt>
              </c:numCache>
            </c:numRef>
          </c:xVal>
          <c:yVal>
            <c:numRef>
              <c:f>´ÖÓÎÉÇØÍÐÉ!$V$15:$V$16</c:f>
              <c:numCache>
                <c:formatCode>General</c:formatCode>
                <c:ptCount val="2"/>
                <c:pt idx="0">
                  <c:v>1.5</c:v>
                </c:pt>
                <c:pt idx="1">
                  <c:v>0</c:v>
                </c:pt>
              </c:numCache>
            </c:numRef>
          </c:yVal>
          <c:smooth val="1"/>
        </c:ser>
        <c:ser>
          <c:idx val="3"/>
          <c:order val="3"/>
          <c:spPr>
            <a:ln>
              <a:solidFill>
                <a:schemeClr val="accent1"/>
              </a:solidFill>
            </a:ln>
          </c:spPr>
          <c:marker>
            <c:symbol val="none"/>
          </c:marker>
          <c:xVal>
            <c:numRef>
              <c:f>´ÖÓÎÉÇØÍÐÉ!$AS$5:$AS$105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´ÖÓÎÉÇØÍÐÉ!$AT$5:$AT$105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dLbls>
          <c:showLegendKey val="0"/>
          <c:showVal val="0"/>
          <c:showCatName val="0"/>
          <c:showSerName val="0"/>
          <c:showPercent val="0"/>
          <c:showBubbleSize val="0"/>
        </c:dLbls>
        <c:axId val="96897664"/>
        <c:axId val="96921472"/>
      </c:scatterChart>
      <c:valAx>
        <c:axId val="96897664"/>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21472"/>
        <c:crosses val="autoZero"/>
        <c:crossBetween val="midCat"/>
      </c:valAx>
      <c:valAx>
        <c:axId val="96921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97664"/>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05300352"/>
        <c:axId val="105302272"/>
      </c:scatterChart>
      <c:valAx>
        <c:axId val="10530035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05302272"/>
        <c:crosses val="autoZero"/>
        <c:crossBetween val="midCat"/>
      </c:valAx>
      <c:valAx>
        <c:axId val="10530227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0530035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78739328"/>
        <c:axId val="78740864"/>
      </c:scatterChart>
      <c:valAx>
        <c:axId val="78739328"/>
        <c:scaling>
          <c:orientation val="minMax"/>
        </c:scaling>
        <c:delete val="1"/>
        <c:axPos val="b"/>
        <c:numFmt formatCode="General" sourceLinked="1"/>
        <c:majorTickMark val="out"/>
        <c:minorTickMark val="none"/>
        <c:tickLblPos val="nextTo"/>
        <c:crossAx val="78740864"/>
        <c:crosses val="autoZero"/>
        <c:crossBetween val="midCat"/>
      </c:valAx>
      <c:valAx>
        <c:axId val="78740864"/>
        <c:scaling>
          <c:orientation val="minMax"/>
        </c:scaling>
        <c:delete val="1"/>
        <c:axPos val="l"/>
        <c:numFmt formatCode="General" sourceLinked="1"/>
        <c:majorTickMark val="out"/>
        <c:minorTickMark val="none"/>
        <c:tickLblPos val="nextTo"/>
        <c:crossAx val="78739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7.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36865" name="Metric" hidden="1">
              <a:extLst>
                <a:ext uri="{63B3BB69-23CF-44E3-9099-C40C66FF867C}">
                  <a14:compatExt spid="_x0000_s3686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36</xdr:row>
      <xdr:rowOff>0</xdr:rowOff>
    </xdr:from>
    <xdr:to>
      <xdr:col>7</xdr:col>
      <xdr:colOff>462878</xdr:colOff>
      <xdr:row>53</xdr:row>
      <xdr:rowOff>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325" y="7115175"/>
          <a:ext cx="5263478" cy="32385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355</v>
      </c>
    </row>
    <row r="4" spans="2:5" ht="15.6" x14ac:dyDescent="0.3">
      <c r="C4" s="81" t="s">
        <v>180</v>
      </c>
    </row>
    <row r="5" spans="2:5" x14ac:dyDescent="0.25">
      <c r="D5" s="163" t="s">
        <v>211</v>
      </c>
      <c r="E5" s="164"/>
    </row>
    <row r="6" spans="2:5" ht="15" customHeight="1" x14ac:dyDescent="0.25">
      <c r="C6" s="82" t="s">
        <v>181</v>
      </c>
      <c r="D6" s="165"/>
      <c r="E6" s="166"/>
    </row>
    <row r="7" spans="2:5" ht="15" customHeight="1" x14ac:dyDescent="0.25">
      <c r="B7" s="83" t="s">
        <v>169</v>
      </c>
      <c r="C7" s="79" t="s">
        <v>182</v>
      </c>
      <c r="D7" s="165"/>
      <c r="E7" s="166"/>
    </row>
    <row r="8" spans="2:5" ht="15" customHeight="1" x14ac:dyDescent="0.25">
      <c r="B8" s="106" t="s">
        <v>169</v>
      </c>
      <c r="C8" s="79" t="s">
        <v>183</v>
      </c>
      <c r="D8" s="165"/>
      <c r="E8" s="166"/>
    </row>
    <row r="9" spans="2:5" ht="15" customHeight="1" x14ac:dyDescent="0.25">
      <c r="B9" s="107" t="s">
        <v>169</v>
      </c>
      <c r="C9" s="79" t="s">
        <v>184</v>
      </c>
      <c r="D9" s="165"/>
      <c r="E9" s="166"/>
    </row>
    <row r="10" spans="2:5" ht="15" customHeight="1" x14ac:dyDescent="0.25">
      <c r="B10" s="108" t="s">
        <v>169</v>
      </c>
      <c r="C10" s="84" t="s">
        <v>185</v>
      </c>
      <c r="D10" s="167"/>
      <c r="E10" s="168"/>
    </row>
    <row r="12" spans="2:5" ht="14.45" x14ac:dyDescent="0.3">
      <c r="C12" s="85" t="s">
        <v>187</v>
      </c>
    </row>
    <row r="13" spans="2:5" ht="60.75" customHeight="1" x14ac:dyDescent="0.3">
      <c r="C13" s="134" t="s">
        <v>202</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93" customHeight="1" x14ac:dyDescent="0.25">
      <c r="C19" s="134" t="s">
        <v>354</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331</v>
      </c>
    </row>
    <row r="26" spans="3:3" x14ac:dyDescent="0.25">
      <c r="C26" s="86"/>
    </row>
    <row r="27" spans="3:3" x14ac:dyDescent="0.25">
      <c r="C27" s="85" t="s">
        <v>188</v>
      </c>
    </row>
    <row r="28" spans="3:3" ht="90" x14ac:dyDescent="0.25">
      <c r="C28" s="134" t="s">
        <v>353</v>
      </c>
    </row>
    <row r="29" spans="3:3" x14ac:dyDescent="0.25">
      <c r="C29" s="86"/>
    </row>
    <row r="30" spans="3:3" x14ac:dyDescent="0.25">
      <c r="C30" s="85" t="s">
        <v>203</v>
      </c>
    </row>
    <row r="31" spans="3:3" ht="45" x14ac:dyDescent="0.25">
      <c r="C31" s="134" t="s">
        <v>204</v>
      </c>
    </row>
    <row r="32" spans="3:3" x14ac:dyDescent="0.25">
      <c r="C32" s="86"/>
    </row>
    <row r="33" spans="3:3" x14ac:dyDescent="0.25">
      <c r="C33" s="85" t="s">
        <v>210</v>
      </c>
    </row>
    <row r="34" spans="3:3" ht="33.75" customHeight="1" x14ac:dyDescent="0.25">
      <c r="C34" s="134" t="s">
        <v>205</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206</v>
      </c>
    </row>
    <row r="40" spans="3:3" ht="75" x14ac:dyDescent="0.25">
      <c r="C40" s="134" t="s">
        <v>207</v>
      </c>
    </row>
    <row r="41" spans="3:3" x14ac:dyDescent="0.25">
      <c r="C41" s="86"/>
    </row>
    <row r="42" spans="3:3" x14ac:dyDescent="0.25">
      <c r="C42" s="85" t="s">
        <v>320</v>
      </c>
    </row>
    <row r="43" spans="3:3" ht="47.25" customHeight="1" x14ac:dyDescent="0.25">
      <c r="C43" s="134" t="s">
        <v>352</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332</v>
      </c>
    </row>
  </sheetData>
  <sheetProtection sheet="1" objects="1" scenarios="1"/>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178" t="s">
        <v>255</v>
      </c>
      <c r="D6" s="179"/>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72" t="s">
        <v>49</v>
      </c>
      <c r="E24" s="173"/>
      <c r="F24" s="173"/>
      <c r="G24" s="173"/>
      <c r="H24" s="173"/>
      <c r="I24" s="173"/>
      <c r="J24" s="173"/>
      <c r="K24" s="173"/>
      <c r="L24" s="173"/>
      <c r="M24" s="173"/>
      <c r="N24" s="173"/>
      <c r="O24" s="174"/>
    </row>
    <row r="25" spans="3:15" ht="75" customHeight="1" x14ac:dyDescent="0.3">
      <c r="D25" s="175" t="s">
        <v>50</v>
      </c>
      <c r="E25" s="176"/>
      <c r="F25" s="176"/>
      <c r="G25" s="176"/>
      <c r="H25" s="176"/>
      <c r="I25" s="176"/>
      <c r="J25" s="176"/>
      <c r="K25" s="176"/>
      <c r="L25" s="176"/>
      <c r="M25" s="176"/>
      <c r="N25" s="176"/>
      <c r="O25" s="177"/>
    </row>
    <row r="26" spans="3:15" ht="72" customHeight="1" x14ac:dyDescent="0.3">
      <c r="D26" s="175" t="s">
        <v>51</v>
      </c>
      <c r="E26" s="176"/>
      <c r="F26" s="176"/>
      <c r="G26" s="176"/>
      <c r="H26" s="176"/>
      <c r="I26" s="176"/>
      <c r="J26" s="176"/>
      <c r="K26" s="176"/>
      <c r="L26" s="176"/>
      <c r="M26" s="176"/>
      <c r="N26" s="176"/>
      <c r="O26" s="177"/>
    </row>
    <row r="27" spans="3:15" ht="73.5" customHeight="1" thickBot="1" x14ac:dyDescent="0.35">
      <c r="D27" s="169" t="s">
        <v>52</v>
      </c>
      <c r="E27" s="170"/>
      <c r="F27" s="170"/>
      <c r="G27" s="170"/>
      <c r="H27" s="170"/>
      <c r="I27" s="170"/>
      <c r="J27" s="170"/>
      <c r="K27" s="170"/>
      <c r="L27" s="170"/>
      <c r="M27" s="170"/>
      <c r="N27" s="170"/>
      <c r="O27" s="171"/>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5" priority="26">
      <formula>LEN(TRIM(D9))=0</formula>
    </cfRule>
  </conditionalFormatting>
  <conditionalFormatting sqref="H18:I21">
    <cfRule type="expression" dxfId="84" priority="18">
      <formula>$I$17=1</formula>
    </cfRule>
  </conditionalFormatting>
  <conditionalFormatting sqref="D14">
    <cfRule type="cellIs" dxfId="83" priority="17" operator="greaterThan">
      <formula>12</formula>
    </cfRule>
  </conditionalFormatting>
  <conditionalFormatting sqref="P14">
    <cfRule type="cellIs" dxfId="82" priority="16" operator="greaterThan">
      <formula>$D$14</formula>
    </cfRule>
  </conditionalFormatting>
  <conditionalFormatting sqref="D15">
    <cfRule type="cellIs" dxfId="81" priority="15" operator="greaterThan">
      <formula>1</formula>
    </cfRule>
  </conditionalFormatting>
  <conditionalFormatting sqref="D13:D15 D17:D18 L9 M11 N12 O13 P14">
    <cfRule type="cellIs" dxfId="80" priority="14" operator="lessThanOrEqual">
      <formula>0</formula>
    </cfRule>
  </conditionalFormatting>
  <conditionalFormatting sqref="D13:D15 D17:D18 H18:I21 L9 M11 N12 O13 P14">
    <cfRule type="expression" dxfId="79" priority="8">
      <formula>ISTEXT(D9)</formula>
    </cfRule>
  </conditionalFormatting>
  <conditionalFormatting sqref="P7:P13">
    <cfRule type="expression" dxfId="78" priority="7">
      <formula>ISERROR($P$7)</formula>
    </cfRule>
  </conditionalFormatting>
  <conditionalFormatting sqref="O7:O12 O14">
    <cfRule type="expression" dxfId="77" priority="6">
      <formula>ISERROR($O$8)</formula>
    </cfRule>
  </conditionalFormatting>
  <conditionalFormatting sqref="N7:N11 N13:N14">
    <cfRule type="expression" dxfId="76" priority="4">
      <formula>$N$9&lt;0</formula>
    </cfRule>
  </conditionalFormatting>
  <conditionalFormatting sqref="M7:M10 M12:M14">
    <cfRule type="expression" dxfId="75" priority="3">
      <formula>ISERROR($M$7)</formula>
    </cfRule>
  </conditionalFormatting>
  <conditionalFormatting sqref="L7:L8 L10:L14">
    <cfRule type="expression" dxfId="74" priority="2">
      <formula>ISERROR($L$7)</formula>
    </cfRule>
  </conditionalFormatting>
  <conditionalFormatting sqref="H7:H14">
    <cfRule type="expression" dxfId="73"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180" t="s">
        <v>65</v>
      </c>
      <c r="D19" s="181"/>
      <c r="E19" s="181"/>
      <c r="F19" s="181"/>
      <c r="G19" s="181"/>
      <c r="H19" s="181"/>
      <c r="I19" s="181"/>
      <c r="J19" s="182"/>
    </row>
    <row r="20" spans="3:10" ht="14.45" x14ac:dyDescent="0.3">
      <c r="C20" s="183" t="s">
        <v>66</v>
      </c>
      <c r="D20" s="184"/>
      <c r="E20" s="184"/>
      <c r="F20" s="184"/>
      <c r="G20" s="184"/>
      <c r="H20" s="184"/>
      <c r="I20" s="184"/>
      <c r="J20" s="185"/>
    </row>
    <row r="22" spans="3:10" ht="43.5" customHeight="1" x14ac:dyDescent="0.3">
      <c r="C22" s="180" t="s">
        <v>67</v>
      </c>
      <c r="D22" s="181"/>
      <c r="E22" s="181"/>
      <c r="F22" s="181"/>
      <c r="G22" s="181"/>
      <c r="H22" s="181"/>
      <c r="I22" s="181"/>
      <c r="J22" s="182"/>
    </row>
    <row r="23" spans="3:10" ht="29.25" customHeight="1" x14ac:dyDescent="0.3">
      <c r="C23" s="183" t="s">
        <v>68</v>
      </c>
      <c r="D23" s="184"/>
      <c r="E23" s="184"/>
      <c r="F23" s="184"/>
      <c r="G23" s="184"/>
      <c r="H23" s="184"/>
      <c r="I23" s="184"/>
      <c r="J23" s="185"/>
    </row>
  </sheetData>
  <sheetProtection sheet="1" objects="1" scenarios="1" formatCells="0" formatColumns="0" formatRows="0"/>
  <mergeCells count="4">
    <mergeCell ref="C19:J19"/>
    <mergeCell ref="C20:J20"/>
    <mergeCell ref="C22:J22"/>
    <mergeCell ref="C23:J23"/>
  </mergeCells>
  <conditionalFormatting sqref="J9:J10 J12:J13">
    <cfRule type="expression" dxfId="72" priority="6">
      <formula>$J$9&lt;0</formula>
    </cfRule>
  </conditionalFormatting>
  <conditionalFormatting sqref="I9 I11:I13">
    <cfRule type="expression" dxfId="71" priority="5">
      <formula>$I$9&lt;0</formula>
    </cfRule>
  </conditionalFormatting>
  <conditionalFormatting sqref="H9 I10 I16 H15 D6:D9">
    <cfRule type="cellIs" dxfId="70" priority="4" operator="lessThan">
      <formula>0</formula>
    </cfRule>
  </conditionalFormatting>
  <conditionalFormatting sqref="J11 I10 H9 I16 H15 D6:D9 D11:D13">
    <cfRule type="containsBlanks" dxfId="69" priority="3">
      <formula>LEN(TRIM(D6))=0</formula>
    </cfRule>
  </conditionalFormatting>
  <conditionalFormatting sqref="D9">
    <cfRule type="cellIs" dxfId="68" priority="2" operator="greaterThan">
      <formula>90</formula>
    </cfRule>
  </conditionalFormatting>
  <conditionalFormatting sqref="D6:D9 H9 I10 J11 H15 I16">
    <cfRule type="expression" dxfId="67"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178" t="s">
        <v>6</v>
      </c>
      <c r="D6" s="188"/>
      <c r="E6" s="22" t="s">
        <v>30</v>
      </c>
      <c r="G6" s="88" t="s">
        <v>75</v>
      </c>
      <c r="H6" s="89" t="s">
        <v>76</v>
      </c>
      <c r="I6" s="89" t="s">
        <v>77</v>
      </c>
      <c r="J6" s="23" t="str">
        <f>"C-C dist. (" &amp; IF($B$4, "mm", "in") &amp; ")"</f>
        <v>C-C dist. (in)</v>
      </c>
      <c r="M6" s="41" t="s">
        <v>346</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347</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349</v>
      </c>
      <c r="N8" s="11">
        <v>20</v>
      </c>
    </row>
    <row r="9" spans="2:14" x14ac:dyDescent="0.25">
      <c r="C9" s="30" t="s">
        <v>3</v>
      </c>
      <c r="D9" s="33">
        <f>VLOOKUP($C$6, MotorSpecs, 4, FALSE)</f>
        <v>2.7</v>
      </c>
      <c r="E9" s="34">
        <f>D9*D13*(D14/12)</f>
        <v>10.8</v>
      </c>
      <c r="G9" s="27"/>
      <c r="H9" s="28"/>
      <c r="I9" s="28"/>
      <c r="J9" s="29" t="str">
        <f t="shared" si="0"/>
        <v/>
      </c>
      <c r="M9" s="41" t="s">
        <v>348</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350</v>
      </c>
      <c r="N11" s="43">
        <f>(N7-N6)/((N8+N9/D13)/1000)</f>
        <v>281.48148148148141</v>
      </c>
    </row>
    <row r="12" spans="2:14" ht="14.45" x14ac:dyDescent="0.3">
      <c r="G12" s="191" t="s">
        <v>78</v>
      </c>
      <c r="H12" s="192"/>
      <c r="I12" s="40">
        <f>IF(COUNTBLANK($H$7:$H$10)&lt;4, PRODUCT($H$7:$H$10), 1)/IF(COUNTBLANK($G$7:$G$10)&lt;4, PRODUCT($G$7:$G$10), 1)</f>
        <v>12.5</v>
      </c>
      <c r="M12" s="159" t="s">
        <v>351</v>
      </c>
      <c r="N12" s="40">
        <f>(E10-E9)/E8*(D19/IF($B$4,1,2.205))*9.8*D17*D21*(D20/2*IF($B$4,0.001,0.0254))/(N11-E9)</f>
        <v>9.4027671677063012</v>
      </c>
    </row>
    <row r="13" spans="2:14" ht="14.45" x14ac:dyDescent="0.3">
      <c r="C13" s="41" t="s">
        <v>80</v>
      </c>
      <c r="D13" s="11">
        <v>4</v>
      </c>
      <c r="G13" s="191" t="str">
        <f>"Adjusted Speed (" &amp; IF($B$4, "m", "ft") &amp; "/s)"</f>
        <v>Adjusted Speed (ft/s)</v>
      </c>
      <c r="H13" s="192"/>
      <c r="I13" s="42">
        <f>I14*$D$16</f>
        <v>6.6234546981483993</v>
      </c>
      <c r="M13" s="159" t="str">
        <f>"Free Speed (" &amp; IF($B$4, "m", "ft") &amp; "/s)"</f>
        <v>Free Speed (ft/s)</v>
      </c>
      <c r="N13" s="42">
        <f>($E$7/60)/N12*((D20/IF($B$4,25.4,1))*PI()/12)/IF($B$4, 3.281, 1)</f>
        <v>9.8934757685795578</v>
      </c>
    </row>
    <row r="14" spans="2:14" ht="14.45" x14ac:dyDescent="0.3">
      <c r="C14" s="41" t="s">
        <v>32</v>
      </c>
      <c r="D14" s="11">
        <v>12</v>
      </c>
      <c r="G14" s="191" t="str">
        <f>"Free Speed (" &amp; IF($B$4, "m", "ft") &amp; "/s)"</f>
        <v>Free Speed (ft/s)</v>
      </c>
      <c r="H14" s="192"/>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191" t="s">
        <v>79</v>
      </c>
      <c r="H15" s="192"/>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189" t="s">
        <v>78</v>
      </c>
      <c r="K17" s="190"/>
      <c r="L17" s="40">
        <f>IF(COUNTBLANK($H$7:$H$10)&lt;4, PRODUCT($H$7:$H$10), 1)*IF(ISBLANK(H18), 1, H18) / (IF(COUNTBLANK($G$7:$G$10)&lt;4, PRODUCT($G$7:$G$10), 1)*IF(ISBLANK(G18), 1, G18))</f>
        <v>15.625</v>
      </c>
    </row>
    <row r="18" spans="3:12" ht="14.45" x14ac:dyDescent="0.3">
      <c r="D18" s="5"/>
      <c r="E18" s="3"/>
      <c r="G18" s="46">
        <v>12</v>
      </c>
      <c r="H18" s="47">
        <v>15</v>
      </c>
      <c r="J18" s="189" t="str">
        <f>"Adjusted Speed (" &amp; IF($B$4, "m", "ft") &amp; "/s)"</f>
        <v>Adjusted Speed (ft/s)</v>
      </c>
      <c r="K18" s="190"/>
      <c r="L18" s="42">
        <f>L19*$D$16</f>
        <v>5.2987637585187191</v>
      </c>
    </row>
    <row r="19" spans="3:12" ht="14.45" x14ac:dyDescent="0.3">
      <c r="C19" s="41" t="str">
        <f>"Robot Weight  (" &amp; IF($B$4, "kg", "lbs") &amp; ")"</f>
        <v>Robot Weight  (lbs)</v>
      </c>
      <c r="D19" s="48">
        <v>154</v>
      </c>
      <c r="G19" s="49" t="s">
        <v>77</v>
      </c>
      <c r="H19" s="50"/>
      <c r="J19" s="189" t="str">
        <f>"Free Speed (" &amp; IF($B$4, "m", "ft") &amp; "/s)"</f>
        <v>Free Speed (ft/s)</v>
      </c>
      <c r="K19" s="190"/>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189" t="s">
        <v>79</v>
      </c>
      <c r="K20" s="190"/>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186" t="s">
        <v>78</v>
      </c>
      <c r="K22" s="187"/>
      <c r="L22" s="40">
        <f>IF(COUNTBLANK($H$7:$H$10)&lt;4, PRODUCT($H$7:$H$10), 1)*IF(ISBLANK(H23), 1, H23) / (IF(COUNTBLANK($G$7:$G$10)&lt;4, PRODUCT($G$7:$G$10), 1)*IF(ISBLANK(G23), 1, G23))</f>
        <v>25</v>
      </c>
    </row>
    <row r="23" spans="3:12" ht="14.45" x14ac:dyDescent="0.3">
      <c r="C23" s="54" t="s">
        <v>74</v>
      </c>
      <c r="D23" s="8" t="b">
        <v>0</v>
      </c>
      <c r="G23" s="46"/>
      <c r="H23" s="47">
        <v>2</v>
      </c>
      <c r="J23" s="186" t="str">
        <f>"Adjusted Speed (" &amp; IF($B$4, "m", "ft") &amp; "/s)"</f>
        <v>Adjusted Speed (ft/s)</v>
      </c>
      <c r="K23" s="187"/>
      <c r="L23" s="42">
        <f>L24*$D$16</f>
        <v>3.3117273490741996</v>
      </c>
    </row>
    <row r="24" spans="3:12" ht="14.45" x14ac:dyDescent="0.3">
      <c r="C24" s="54" t="s">
        <v>213</v>
      </c>
      <c r="D24" s="8" t="b">
        <v>0</v>
      </c>
      <c r="G24" s="49" t="s">
        <v>77</v>
      </c>
      <c r="H24" s="50"/>
      <c r="J24" s="186" t="str">
        <f>"Free Speed (" &amp; IF($B$4, "m", "ft") &amp; "/s)"</f>
        <v>Free Speed (ft/s)</v>
      </c>
      <c r="K24" s="187"/>
      <c r="L24" s="42">
        <f>($E$7/60)/L22*((IF(D24,D26,D20)/IF($B$4,25.4,1))*PI()/12)/IF($B$4, 3.281, 1)</f>
        <v>3.7210419652519096</v>
      </c>
    </row>
    <row r="25" spans="3:12" ht="14.45" x14ac:dyDescent="0.3">
      <c r="G25" s="52" t="str">
        <f>"C-C (" &amp; IF($B$4, "mm", "in") &amp; ")"</f>
        <v>C-C (in)</v>
      </c>
      <c r="H25" s="53" t="str">
        <f>IF(COUNTBLANK(G23:H24)&gt;0, "", ((G23+H23)/(2*H24)+0.003)*IF($B$4, 25.4, 1))</f>
        <v/>
      </c>
      <c r="J25" s="186" t="s">
        <v>79</v>
      </c>
      <c r="K25" s="187"/>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186" t="str">
        <f>"Shifting Speed (" &amp; IF($B$4, "m", "ft") &amp; "/s)"</f>
        <v>Shifting Speed (ft/s)</v>
      </c>
      <c r="K27" s="187"/>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6" priority="39" operator="greaterThan">
      <formula>12</formula>
    </cfRule>
  </conditionalFormatting>
  <conditionalFormatting sqref="D13:D17 D19:D21 N8:N9">
    <cfRule type="cellIs" dxfId="65" priority="36" operator="lessThanOrEqual">
      <formula>0</formula>
    </cfRule>
  </conditionalFormatting>
  <conditionalFormatting sqref="D15:D17">
    <cfRule type="cellIs" dxfId="64" priority="29" operator="greaterThan">
      <formula>1</formula>
    </cfRule>
  </conditionalFormatting>
  <conditionalFormatting sqref="D13:D17 D19:D21 N6:N9">
    <cfRule type="containsBlanks" dxfId="63" priority="25">
      <formula>LEN(TRIM(D6))=0</formula>
    </cfRule>
  </conditionalFormatting>
  <conditionalFormatting sqref="G7:I10 G18:H18 H19 D26:D27 G23:H23 H24">
    <cfRule type="cellIs" dxfId="62" priority="23" operator="lessThan">
      <formula>0</formula>
    </cfRule>
  </conditionalFormatting>
  <conditionalFormatting sqref="C26:D27">
    <cfRule type="expression" dxfId="61" priority="40">
      <formula>NOT($D$24)</formula>
    </cfRule>
  </conditionalFormatting>
  <conditionalFormatting sqref="G17:L27">
    <cfRule type="expression" dxfId="60" priority="41">
      <formula>NOT($D$23)</formula>
    </cfRule>
  </conditionalFormatting>
  <conditionalFormatting sqref="G12:I15">
    <cfRule type="expression" dxfId="59" priority="18">
      <formula>$D$23</formula>
    </cfRule>
  </conditionalFormatting>
  <conditionalFormatting sqref="D13:D17 D19:D21 G7:I10 G18:H18 H19 G23:H23 H24 N6:N9">
    <cfRule type="expression" dxfId="58" priority="17">
      <formula>ISTEXT(D6)</formula>
    </cfRule>
  </conditionalFormatting>
  <conditionalFormatting sqref="N11:N14">
    <cfRule type="expression" dxfId="57" priority="3">
      <formula>$N$6&gt;=$N$7</formula>
    </cfRule>
  </conditionalFormatting>
  <conditionalFormatting sqref="N6:N7">
    <cfRule type="expression" dxfId="56" priority="2">
      <formula>$N$6&gt;=$N$7</formula>
    </cfRule>
  </conditionalFormatting>
  <conditionalFormatting sqref="J27:L27">
    <cfRule type="expression" dxfId="55"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93" t="s">
        <v>86</v>
      </c>
      <c r="G6" s="193"/>
      <c r="I6" s="193" t="s">
        <v>85</v>
      </c>
      <c r="J6" s="193"/>
      <c r="L6" s="193" t="s">
        <v>87</v>
      </c>
      <c r="M6" s="193"/>
      <c r="O6" s="55" t="s">
        <v>88</v>
      </c>
      <c r="P6" s="55"/>
    </row>
    <row r="7" spans="2:16" ht="14.45" x14ac:dyDescent="0.3">
      <c r="D7" s="5"/>
    </row>
    <row r="8" spans="2:16" ht="14.45" x14ac:dyDescent="0.3">
      <c r="C8" s="88" t="s">
        <v>84</v>
      </c>
      <c r="D8" s="11" t="s">
        <v>219</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218</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194" t="s">
        <v>212</v>
      </c>
      <c r="D15" s="195"/>
    </row>
    <row r="16" spans="2:16" ht="15" customHeight="1" x14ac:dyDescent="0.25">
      <c r="C16" s="196"/>
      <c r="D16" s="197"/>
    </row>
    <row r="17" spans="3:4" ht="15" customHeight="1" x14ac:dyDescent="0.25">
      <c r="C17" s="196"/>
      <c r="D17" s="197"/>
    </row>
    <row r="18" spans="3:4" x14ac:dyDescent="0.25">
      <c r="C18" s="198"/>
      <c r="D18" s="199"/>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4" priority="4">
      <formula>NOT($D$10="Rect. Tube")</formula>
    </cfRule>
  </conditionalFormatting>
  <conditionalFormatting sqref="C12:D13">
    <cfRule type="expression" dxfId="53" priority="7">
      <formula>NOT(OR($D$10="Round Tube", $D$10="Rect. Tube"))</formula>
    </cfRule>
  </conditionalFormatting>
  <conditionalFormatting sqref="D11:D13 G8:G10 J8:J10 M8:M9 P8:P9">
    <cfRule type="cellIs" dxfId="52" priority="8" operator="lessThanOrEqual">
      <formula>0</formula>
    </cfRule>
  </conditionalFormatting>
  <conditionalFormatting sqref="G9">
    <cfRule type="cellIs" dxfId="51" priority="3" operator="greaterThanOrEqual">
      <formula>$G$10</formula>
    </cfRule>
  </conditionalFormatting>
  <conditionalFormatting sqref="D11 G8:G10 J8:J10 M8:M9 P8:P9">
    <cfRule type="expression" dxfId="50" priority="2">
      <formula>ISTEXT(D8)</formula>
    </cfRule>
  </conditionalFormatting>
  <conditionalFormatting sqref="D11">
    <cfRule type="containsBlanks" dxfId="49"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U121"/>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7" width="9.140625" style="1"/>
    <col min="18" max="18" width="9.140625" style="1" customWidth="1"/>
    <col min="19" max="20" width="9.140625" style="1"/>
    <col min="21" max="21" width="17.28515625" style="1" hidden="1" customWidth="1"/>
    <col min="22" max="46" width="9.140625" style="1" hidden="1" customWidth="1"/>
    <col min="47" max="16384" width="9.140625" style="1"/>
  </cols>
  <sheetData>
    <row r="2" spans="2:47" ht="31.5" x14ac:dyDescent="0.25">
      <c r="C2" s="2" t="s">
        <v>94</v>
      </c>
    </row>
    <row r="3" spans="2:47" x14ac:dyDescent="0.25">
      <c r="I3" s="178" t="s">
        <v>95</v>
      </c>
      <c r="J3" s="179"/>
    </row>
    <row r="4" spans="2:47" x14ac:dyDescent="0.25">
      <c r="B4" s="8" t="b">
        <v>1</v>
      </c>
      <c r="C4" s="1" t="s">
        <v>0</v>
      </c>
      <c r="U4" s="1" t="s">
        <v>356</v>
      </c>
      <c r="V4" s="1">
        <f>V6/(V7*COS(V8))/100*1.5</f>
        <v>1.253492743159957E-2</v>
      </c>
      <c r="Y4" s="1" t="s">
        <v>155</v>
      </c>
      <c r="Z4" s="1" t="s">
        <v>357</v>
      </c>
      <c r="AA4" s="1" t="s">
        <v>230</v>
      </c>
      <c r="AB4" s="1" t="s">
        <v>358</v>
      </c>
      <c r="AC4" s="1" t="s">
        <v>359</v>
      </c>
      <c r="AD4" s="1" t="s">
        <v>360</v>
      </c>
      <c r="AE4" s="1" t="s">
        <v>361</v>
      </c>
      <c r="AF4" s="1" t="s">
        <v>362</v>
      </c>
      <c r="AG4" s="1" t="s">
        <v>363</v>
      </c>
      <c r="AH4" s="1" t="s">
        <v>364</v>
      </c>
      <c r="AI4" s="1" t="s">
        <v>365</v>
      </c>
      <c r="AJ4" s="1" t="s">
        <v>366</v>
      </c>
      <c r="AK4" s="1" t="s">
        <v>367</v>
      </c>
      <c r="AL4" s="1" t="s">
        <v>368</v>
      </c>
      <c r="AM4" s="1" t="s">
        <v>369</v>
      </c>
      <c r="AP4" s="1" t="s">
        <v>357</v>
      </c>
      <c r="AQ4" s="1" t="s">
        <v>230</v>
      </c>
      <c r="AR4" s="1" t="s">
        <v>360</v>
      </c>
      <c r="AS4" s="1" t="s">
        <v>368</v>
      </c>
      <c r="AT4" s="1" t="s">
        <v>369</v>
      </c>
    </row>
    <row r="5" spans="2:47" x14ac:dyDescent="0.25">
      <c r="U5" s="1" t="s">
        <v>370</v>
      </c>
      <c r="V5" s="1">
        <f>D7/IF($B$4, 1, 3.281)</f>
        <v>1.2</v>
      </c>
      <c r="Y5" s="1">
        <v>0</v>
      </c>
      <c r="Z5" s="1">
        <v>0</v>
      </c>
      <c r="AA5" s="1">
        <f>V5</f>
        <v>1.2</v>
      </c>
      <c r="AB5" s="1">
        <f>V7*COS(V8)</f>
        <v>11.966563094881725</v>
      </c>
      <c r="AC5" s="1">
        <f>V7*SIN(V8)</f>
        <v>5.0795046703605591</v>
      </c>
      <c r="AD5" s="1">
        <f>SQRT(AB5^2+AC5^2)</f>
        <v>13</v>
      </c>
      <c r="AE5" s="1">
        <f t="shared" ref="AE5:AE68" si="0">IFERROR($V$9*($D$13*2*PI())/AD5, 0)</f>
        <v>0.21507826628422425</v>
      </c>
      <c r="AF5" s="1">
        <f>IF(AE5&gt;0.1, 0.6*AE5+0.1, 1.6*AE5)</f>
        <v>0.22904695977053455</v>
      </c>
      <c r="AG5" s="1">
        <f t="shared" ref="AG5:AG68" si="1">-$V$11*AB5*AD5 - $V$12*AF5*AC5*AD5</f>
        <v>-7.0474761410516908</v>
      </c>
      <c r="AH5" s="1">
        <f t="shared" ref="AH5:AH68" si="2">$V$12*AF5*AD5*AB5 - $V$11*AC5*AD5 - 9.8</f>
        <v>-6.382020700459119</v>
      </c>
      <c r="AI5" s="1" t="b">
        <f>FALSE</f>
        <v>0</v>
      </c>
      <c r="AJ5" s="1">
        <f>Z5*IF($B$4, 1, 3.281)</f>
        <v>0</v>
      </c>
      <c r="AK5" s="1">
        <f>AA5*IF($B$4, 1, 3.281)</f>
        <v>1.2</v>
      </c>
      <c r="AL5" s="1">
        <f>IF($I$3="Forward", AJ5, NA())</f>
        <v>0</v>
      </c>
      <c r="AM5" s="1">
        <f>IF($I$3="Forward", AK5, NA())</f>
        <v>1.2</v>
      </c>
      <c r="AP5" s="1">
        <v>0</v>
      </c>
      <c r="AQ5" s="1">
        <f>$G$7 + AP5*TAN(RADIANS($G$13)) - (IF($B$4, 9.8, 32.2)*AP5^2)/(2*($G$12*COS(RADIANS($G$13)))^2)</f>
        <v>1.2</v>
      </c>
      <c r="AR5" s="220">
        <f>G12</f>
        <v>20.067149964364841</v>
      </c>
      <c r="AS5" s="1" t="e">
        <f>IF($I$3="Forward", NA(), AP5)</f>
        <v>#N/A</v>
      </c>
      <c r="AT5" s="1" t="e">
        <f>IF($I$3="Forward", NA(), AQ5)</f>
        <v>#N/A</v>
      </c>
      <c r="AU5" s="220"/>
    </row>
    <row r="6" spans="2:47" ht="18.75" customHeight="1" x14ac:dyDescent="0.25">
      <c r="C6" s="193" t="s">
        <v>95</v>
      </c>
      <c r="D6" s="193"/>
      <c r="F6" s="193" t="s">
        <v>98</v>
      </c>
      <c r="G6" s="193"/>
      <c r="U6" s="1" t="s">
        <v>371</v>
      </c>
      <c r="V6" s="1">
        <f>D8/IF($B$4, 1, 3.281)</f>
        <v>10</v>
      </c>
      <c r="Y6" s="1">
        <f>Y5+$V$4</f>
        <v>1.253492743159957E-2</v>
      </c>
      <c r="Z6" s="1">
        <f>Z5+AB5*$V$4</f>
        <v>0.14999999999999997</v>
      </c>
      <c r="AA6" s="1">
        <f>AA5+AC5*$V$4</f>
        <v>1.2636712224314406</v>
      </c>
      <c r="AB6" s="1">
        <f>AB5+AG5*$V$4</f>
        <v>11.878223492877712</v>
      </c>
      <c r="AC6" s="1">
        <f>AC5+AH5*$V$4</f>
        <v>4.999506504013338</v>
      </c>
      <c r="AD6" s="1">
        <f t="shared" ref="AD6:AD69" si="3">SQRT(AB6^2+AC6^2)</f>
        <v>12.887484573431065</v>
      </c>
      <c r="AE6" s="1">
        <f t="shared" si="0"/>
        <v>0.21695602782401818</v>
      </c>
      <c r="AF6" s="1">
        <f t="shared" ref="AF6:AF69" si="4">IF(AE6&gt;0.1, 0.6*AE6+0.1, 1.6*AE6)</f>
        <v>0.23017361669441092</v>
      </c>
      <c r="AG6" s="1">
        <f t="shared" si="1"/>
        <v>-6.9268472513199555</v>
      </c>
      <c r="AH6" s="1">
        <f t="shared" si="2"/>
        <v>-6.3936333760332529</v>
      </c>
      <c r="AI6" s="1" t="b">
        <f>OR(AA5&lt;0, Z5&gt;$V$6)</f>
        <v>0</v>
      </c>
      <c r="AJ6" s="1">
        <f>IF(AI6,NA(),Z6)*IF($B$4,1,3.281)</f>
        <v>0.14999999999999997</v>
      </c>
      <c r="AK6" s="1">
        <f>IF(AI6, NA(), AA6)*IF($B$4, 1, 3.281)</f>
        <v>1.2636712224314406</v>
      </c>
      <c r="AL6" s="1">
        <f t="shared" ref="AL6:AM69" si="5">IF($I$3="Forward", AJ6, NA())</f>
        <v>0.14999999999999997</v>
      </c>
      <c r="AM6" s="1">
        <f t="shared" si="5"/>
        <v>1.2636712224314406</v>
      </c>
      <c r="AP6" s="1">
        <f>AP5+$G$8/100</f>
        <v>0.1</v>
      </c>
      <c r="AQ6" s="1">
        <f>$G$7 + AP6*TAN(RADIANS($G$13)) - (IF($B$4, 9.8, 32.2)*AP6^2)/(2*($G$12*COS(RADIANS($G$13)))^2)</f>
        <v>1.2258700927908637</v>
      </c>
      <c r="AR6" s="1">
        <f>SQRT(1+((AQ6-AQ5)/(AP6-AP5))^2)*($G$12*COS(RADIANS($G$13)))</f>
        <v>20.06081614086607</v>
      </c>
      <c r="AS6" s="1" t="e">
        <f t="shared" ref="AS6:AT69" si="6">IF($I$3="Forward", NA(), AP6)</f>
        <v>#N/A</v>
      </c>
      <c r="AT6" s="1" t="e">
        <f t="shared" si="6"/>
        <v>#N/A</v>
      </c>
    </row>
    <row r="7" spans="2:47" x14ac:dyDescent="0.25">
      <c r="C7" s="162" t="str">
        <f>"Release Height (" &amp; IF($B$4, "m", "ft") &amp; ")"</f>
        <v>Release Height (m)</v>
      </c>
      <c r="D7" s="51">
        <v>1.2</v>
      </c>
      <c r="F7" s="162" t="str">
        <f>"Release Height (" &amp; IF($B$4, "m", "ft") &amp; ")"</f>
        <v>Release Height (m)</v>
      </c>
      <c r="G7" s="51">
        <v>1.2</v>
      </c>
      <c r="U7" s="1" t="s">
        <v>372</v>
      </c>
      <c r="V7" s="1">
        <f>D9/IF($B$4, 1, 3.281)</f>
        <v>13</v>
      </c>
      <c r="Y7" s="1">
        <f t="shared" ref="Y7:Y70" si="7">Y6+$V$4</f>
        <v>2.506985486319914E-2</v>
      </c>
      <c r="Z7" s="1">
        <f t="shared" ref="Z7:AA22" si="8">Z6+AB6*$V$4</f>
        <v>0.2988926694995433</v>
      </c>
      <c r="AA7" s="1">
        <f t="shared" si="8"/>
        <v>1.3263396736530579</v>
      </c>
      <c r="AB7" s="1">
        <f t="shared" ref="AB7:AC22" si="9">AB6+AG6*$V$4</f>
        <v>11.791395965252642</v>
      </c>
      <c r="AC7" s="1">
        <f t="shared" si="9"/>
        <v>4.9193627736205086</v>
      </c>
      <c r="AD7" s="1">
        <f t="shared" si="3"/>
        <v>12.776429427185812</v>
      </c>
      <c r="AE7" s="1">
        <f t="shared" si="0"/>
        <v>0.21884185074004492</v>
      </c>
      <c r="AF7" s="1">
        <f t="shared" si="4"/>
        <v>0.23130511044402696</v>
      </c>
      <c r="AG7" s="1">
        <f t="shared" si="1"/>
        <v>-6.8082563915993664</v>
      </c>
      <c r="AH7" s="1">
        <f t="shared" si="2"/>
        <v>-6.4047106220728773</v>
      </c>
      <c r="AI7" s="1" t="b">
        <f t="shared" ref="AI7:AI70" si="10">OR(AA6&lt;0, Z6&gt;$V$6)</f>
        <v>0</v>
      </c>
      <c r="AJ7" s="1">
        <f t="shared" ref="AJ7:AJ70" si="11">IF(AI7,NA(),Z7)*IF($B$4,1,3.281)</f>
        <v>0.2988926694995433</v>
      </c>
      <c r="AK7" s="1">
        <f t="shared" ref="AK7:AK70" si="12">IF(AI7, NA(), AA7)*IF($B$4, 1, 3.281)</f>
        <v>1.3263396736530579</v>
      </c>
      <c r="AL7" s="1">
        <f t="shared" si="5"/>
        <v>0.2988926694995433</v>
      </c>
      <c r="AM7" s="1">
        <f t="shared" si="5"/>
        <v>1.3263396736530579</v>
      </c>
      <c r="AP7" s="1">
        <f t="shared" ref="AP7:AP70" si="13">AP6+$G$8/100</f>
        <v>0.2</v>
      </c>
      <c r="AQ7" s="1">
        <f t="shared" ref="AQ7:AQ70" si="14">$G$7 + AP7*TAN(RADIANS($G$13)) - (IF($B$4, 9.8, 32.2)*AP7^2)/(2*($G$12*COS(RADIANS($G$13)))^2)</f>
        <v>1.2514803711634548</v>
      </c>
      <c r="AR7" s="1">
        <f t="shared" ref="AR7:AR70" si="15">SQRT(1+((AQ7-AQ6)/(AP7-AP6))^2)*($G$12*COS(RADIANS($G$13)))</f>
        <v>20.048237743009505</v>
      </c>
      <c r="AS7" s="1" t="e">
        <f t="shared" si="6"/>
        <v>#N/A</v>
      </c>
      <c r="AT7" s="1" t="e">
        <f t="shared" si="6"/>
        <v>#N/A</v>
      </c>
    </row>
    <row r="8" spans="2:47" x14ac:dyDescent="0.25">
      <c r="C8" s="162" t="str">
        <f>"Distance to Target (" &amp; IF($B$4, "m", "ft") &amp; ")"</f>
        <v>Distance to Target (m)</v>
      </c>
      <c r="D8" s="51">
        <v>10</v>
      </c>
      <c r="F8" s="162" t="str">
        <f>"Distance to Target (" &amp; IF($B$4, "m", "ft") &amp; ")"</f>
        <v>Distance to Target (m)</v>
      </c>
      <c r="G8" s="51">
        <v>10</v>
      </c>
      <c r="I8" s="57"/>
      <c r="J8" s="57">
        <v>0</v>
      </c>
      <c r="L8" s="57"/>
      <c r="M8" s="57"/>
      <c r="O8" s="57"/>
      <c r="P8" s="57"/>
      <c r="U8" s="1" t="s">
        <v>373</v>
      </c>
      <c r="V8" s="1">
        <f>RADIANS(D10)</f>
        <v>0.4014257279586958</v>
      </c>
      <c r="Y8" s="1">
        <f t="shared" si="7"/>
        <v>3.760478229479871E-2</v>
      </c>
      <c r="Z8" s="1">
        <f t="shared" si="8"/>
        <v>0.44669696224124111</v>
      </c>
      <c r="AA8" s="1">
        <f t="shared" si="8"/>
        <v>1.3880035290301034</v>
      </c>
      <c r="AB8" s="1">
        <f t="shared" si="9"/>
        <v>11.706054965448219</v>
      </c>
      <c r="AC8" s="1">
        <f t="shared" si="9"/>
        <v>4.8390801907524299</v>
      </c>
      <c r="AD8" s="1">
        <f t="shared" si="3"/>
        <v>12.666823593412339</v>
      </c>
      <c r="AE8" s="1">
        <f t="shared" si="0"/>
        <v>0.22073548597842996</v>
      </c>
      <c r="AF8" s="1">
        <f t="shared" si="4"/>
        <v>0.23244129158705798</v>
      </c>
      <c r="AG8" s="1">
        <f t="shared" si="1"/>
        <v>-6.6916604225691652</v>
      </c>
      <c r="AH8" s="1">
        <f t="shared" si="2"/>
        <v>-6.41527108514898</v>
      </c>
      <c r="AI8" s="1" t="b">
        <f t="shared" si="10"/>
        <v>0</v>
      </c>
      <c r="AJ8" s="1">
        <f t="shared" si="11"/>
        <v>0.44669696224124111</v>
      </c>
      <c r="AK8" s="1">
        <f t="shared" si="12"/>
        <v>1.3880035290301034</v>
      </c>
      <c r="AL8" s="1">
        <f t="shared" si="5"/>
        <v>0.44669696224124111</v>
      </c>
      <c r="AM8" s="1">
        <f t="shared" si="5"/>
        <v>1.3880035290301034</v>
      </c>
      <c r="AP8" s="1">
        <f t="shared" si="13"/>
        <v>0.30000000000000004</v>
      </c>
      <c r="AQ8" s="1">
        <f t="shared" si="14"/>
        <v>1.2768308351177731</v>
      </c>
      <c r="AR8" s="1">
        <f t="shared" si="15"/>
        <v>20.035778530554452</v>
      </c>
      <c r="AS8" s="1" t="e">
        <f t="shared" si="6"/>
        <v>#N/A</v>
      </c>
      <c r="AT8" s="1" t="e">
        <f t="shared" si="6"/>
        <v>#N/A</v>
      </c>
    </row>
    <row r="9" spans="2:47" x14ac:dyDescent="0.25">
      <c r="C9" s="162" t="str">
        <f>"Release Velocity (" &amp; IF($B$4, "m", "ft") &amp; "/s)"</f>
        <v>Release Velocity (m/s)</v>
      </c>
      <c r="D9" s="51">
        <v>13</v>
      </c>
      <c r="F9" s="162" t="str">
        <f>"Target Height (" &amp; IF($B$4, "m", "ft") &amp; ")"</f>
        <v>Target Height (m)</v>
      </c>
      <c r="G9" s="51">
        <v>2.5</v>
      </c>
      <c r="I9" s="57"/>
      <c r="J9" s="57">
        <v>0</v>
      </c>
      <c r="O9" s="57"/>
      <c r="P9" s="57"/>
      <c r="U9" s="1" t="s">
        <v>374</v>
      </c>
      <c r="V9" s="1">
        <f>$D$14/IF($B$4, 1000, 39.37)/2</f>
        <v>8.8999999999999982E-2</v>
      </c>
      <c r="Y9" s="1">
        <f t="shared" si="7"/>
        <v>5.0139709726398279E-2</v>
      </c>
      <c r="Z9" s="1">
        <f t="shared" si="8"/>
        <v>0.59343151174345032</v>
      </c>
      <c r="AA9" s="1">
        <f t="shared" si="8"/>
        <v>1.448661048056876</v>
      </c>
      <c r="AB9" s="1">
        <f t="shared" si="9"/>
        <v>11.622175487654408</v>
      </c>
      <c r="AC9" s="1">
        <f t="shared" si="9"/>
        <v>4.7586652332460488</v>
      </c>
      <c r="AD9" s="1">
        <f t="shared" si="3"/>
        <v>12.558656690424325</v>
      </c>
      <c r="AE9" s="1">
        <f t="shared" si="0"/>
        <v>0.22263666653351641</v>
      </c>
      <c r="AF9" s="1">
        <f t="shared" si="4"/>
        <v>0.23358199992010983</v>
      </c>
      <c r="AG9" s="1">
        <f t="shared" si="1"/>
        <v>-6.5770174005626227</v>
      </c>
      <c r="AH9" s="1">
        <f t="shared" si="2"/>
        <v>-6.4253326155044999</v>
      </c>
      <c r="AI9" s="1" t="b">
        <f t="shared" si="10"/>
        <v>0</v>
      </c>
      <c r="AJ9" s="1">
        <f t="shared" si="11"/>
        <v>0.59343151174345032</v>
      </c>
      <c r="AK9" s="1">
        <f t="shared" si="12"/>
        <v>1.448661048056876</v>
      </c>
      <c r="AL9" s="1">
        <f t="shared" si="5"/>
        <v>0.59343151174345032</v>
      </c>
      <c r="AM9" s="1">
        <f t="shared" si="5"/>
        <v>1.448661048056876</v>
      </c>
      <c r="AP9" s="1">
        <f t="shared" si="13"/>
        <v>0.4</v>
      </c>
      <c r="AQ9" s="1">
        <f t="shared" si="14"/>
        <v>1.3019214846538187</v>
      </c>
      <c r="AR9" s="1">
        <f t="shared" si="15"/>
        <v>20.023438725983642</v>
      </c>
      <c r="AS9" s="1" t="e">
        <f t="shared" si="6"/>
        <v>#N/A</v>
      </c>
      <c r="AT9" s="1" t="e">
        <f t="shared" si="6"/>
        <v>#N/A</v>
      </c>
    </row>
    <row r="10" spans="2:47" x14ac:dyDescent="0.25">
      <c r="C10" s="162" t="s">
        <v>96</v>
      </c>
      <c r="D10" s="72">
        <v>23</v>
      </c>
      <c r="F10" s="162" t="s">
        <v>99</v>
      </c>
      <c r="G10" s="72">
        <v>0</v>
      </c>
      <c r="I10" s="221"/>
      <c r="J10" s="57">
        <v>0</v>
      </c>
      <c r="U10" s="1" t="s">
        <v>375</v>
      </c>
      <c r="V10" s="1">
        <f>$D$15/IF($B$4, 1, 2.2)</f>
        <v>0.1</v>
      </c>
      <c r="Y10" s="1">
        <f t="shared" si="7"/>
        <v>6.2674637157997842E-2</v>
      </c>
      <c r="Z10" s="1">
        <f t="shared" si="8"/>
        <v>0.73911463807851363</v>
      </c>
      <c r="AA10" s="1">
        <f t="shared" si="8"/>
        <v>1.5083105714268912</v>
      </c>
      <c r="AB10" s="1">
        <f t="shared" si="9"/>
        <v>11.539733051821988</v>
      </c>
      <c r="AC10" s="1">
        <f t="shared" si="9"/>
        <v>4.6781241551868105</v>
      </c>
      <c r="AD10" s="1">
        <f t="shared" si="3"/>
        <v>12.451918909094097</v>
      </c>
      <c r="AE10" s="1">
        <f t="shared" si="0"/>
        <v>0.224545106831115</v>
      </c>
      <c r="AF10" s="1">
        <f t="shared" si="4"/>
        <v>0.234727064098669</v>
      </c>
      <c r="AG10" s="1">
        <f t="shared" si="1"/>
        <v>-6.4642865382408843</v>
      </c>
      <c r="AH10" s="1">
        <f t="shared" si="2"/>
        <v>-6.4349122941538344</v>
      </c>
      <c r="AI10" s="1" t="b">
        <f t="shared" si="10"/>
        <v>0</v>
      </c>
      <c r="AJ10" s="1">
        <f t="shared" si="11"/>
        <v>0.73911463807851363</v>
      </c>
      <c r="AK10" s="1">
        <f t="shared" si="12"/>
        <v>1.5083105714268912</v>
      </c>
      <c r="AL10" s="1">
        <f t="shared" si="5"/>
        <v>0.73911463807851363</v>
      </c>
      <c r="AM10" s="1">
        <f t="shared" si="5"/>
        <v>1.5083105714268912</v>
      </c>
      <c r="AP10" s="1">
        <f t="shared" si="13"/>
        <v>0.5</v>
      </c>
      <c r="AQ10" s="1">
        <f t="shared" si="14"/>
        <v>1.3267523197715918</v>
      </c>
      <c r="AR10" s="1">
        <f t="shared" si="15"/>
        <v>20.011218550193639</v>
      </c>
      <c r="AS10" s="1" t="e">
        <f t="shared" si="6"/>
        <v>#N/A</v>
      </c>
      <c r="AT10" s="1" t="e">
        <f t="shared" si="6"/>
        <v>#N/A</v>
      </c>
    </row>
    <row r="11" spans="2:47" x14ac:dyDescent="0.25">
      <c r="D11" s="57"/>
      <c r="G11" s="57"/>
      <c r="U11" s="1" t="s">
        <v>376</v>
      </c>
      <c r="V11" s="1">
        <f>0.5*1.225*(PI()*$V$9^2)*$D$12/$V$10</f>
        <v>3.0483580376128815E-2</v>
      </c>
      <c r="Y11" s="1">
        <f t="shared" si="7"/>
        <v>7.5209564589597405E-2</v>
      </c>
      <c r="Z11" s="1">
        <f t="shared" si="8"/>
        <v>0.88376435446313328</v>
      </c>
      <c r="AA11" s="1">
        <f t="shared" si="8"/>
        <v>1.5669505182281709</v>
      </c>
      <c r="AB11" s="1">
        <f t="shared" si="9"/>
        <v>11.458703689168074</v>
      </c>
      <c r="AC11" s="1">
        <f t="shared" si="9"/>
        <v>4.5974629965508846</v>
      </c>
      <c r="AD11" s="1">
        <f t="shared" si="3"/>
        <v>12.346600999498147</v>
      </c>
      <c r="AE11" s="1">
        <f t="shared" si="0"/>
        <v>0.2264605021097357</v>
      </c>
      <c r="AF11" s="1">
        <f t="shared" si="4"/>
        <v>0.23587630126584141</v>
      </c>
      <c r="AG11" s="1">
        <f t="shared" si="1"/>
        <v>-6.3534281666876176</v>
      </c>
      <c r="AH11" s="1">
        <f t="shared" si="2"/>
        <v>-6.4440264587119103</v>
      </c>
      <c r="AI11" s="1" t="b">
        <f t="shared" si="10"/>
        <v>0</v>
      </c>
      <c r="AJ11" s="1">
        <f t="shared" si="11"/>
        <v>0.88376435446313328</v>
      </c>
      <c r="AK11" s="1">
        <f t="shared" si="12"/>
        <v>1.5669505182281709</v>
      </c>
      <c r="AL11" s="1">
        <f t="shared" si="5"/>
        <v>0.88376435446313328</v>
      </c>
      <c r="AM11" s="1">
        <f t="shared" si="5"/>
        <v>1.5669505182281709</v>
      </c>
      <c r="AP11" s="1">
        <f t="shared" si="13"/>
        <v>0.6</v>
      </c>
      <c r="AQ11" s="1">
        <f t="shared" si="14"/>
        <v>1.351323340471092</v>
      </c>
      <c r="AR11" s="1">
        <f t="shared" si="15"/>
        <v>19.999118222476824</v>
      </c>
      <c r="AS11" s="1" t="e">
        <f t="shared" si="6"/>
        <v>#N/A</v>
      </c>
      <c r="AT11" s="1" t="e">
        <f t="shared" si="6"/>
        <v>#N/A</v>
      </c>
    </row>
    <row r="12" spans="2:47" x14ac:dyDescent="0.25">
      <c r="C12" s="162" t="s">
        <v>377</v>
      </c>
      <c r="D12" s="16">
        <v>0.2</v>
      </c>
      <c r="F12" s="162" t="str">
        <f>"Release Velocity (" &amp; IF($B$4, "m", "ft") &amp; "/s)"</f>
        <v>Release Velocity (m/s)</v>
      </c>
      <c r="G12" s="43">
        <f>SQRT((IF($B$4, 9.807, 32.174)*G8)/(ABS(TAN(RADIANS(G13))-TAN(RADIANS(G10)))))/COS(RADIANS(G13))</f>
        <v>20.067149964364841</v>
      </c>
      <c r="U12" s="1" t="s">
        <v>378</v>
      </c>
      <c r="V12" s="1">
        <f>0.5*1.225*(PI()*$V$9^2)/$V$10</f>
        <v>0.15241790188064408</v>
      </c>
      <c r="Y12" s="1">
        <f t="shared" si="7"/>
        <v>8.7744492021196968E-2</v>
      </c>
      <c r="Z12" s="1">
        <f t="shared" si="8"/>
        <v>1.0273983736670573</v>
      </c>
      <c r="AA12" s="1">
        <f t="shared" si="8"/>
        <v>1.6245793832594004</v>
      </c>
      <c r="AB12" s="1">
        <f t="shared" si="9"/>
        <v>11.379063928156764</v>
      </c>
      <c r="AC12" s="1">
        <f t="shared" si="9"/>
        <v>4.5166875925236232</v>
      </c>
      <c r="AD12" s="1">
        <f t="shared" si="3"/>
        <v>12.242694257782283</v>
      </c>
      <c r="AE12" s="1">
        <f t="shared" si="0"/>
        <v>0.22838252780163792</v>
      </c>
      <c r="AF12" s="1">
        <f t="shared" si="4"/>
        <v>0.23702951668098277</v>
      </c>
      <c r="AG12" s="1">
        <f t="shared" si="1"/>
        <v>-6.2444036988591618</v>
      </c>
      <c r="AH12" s="1">
        <f t="shared" si="2"/>
        <v>-6.4526907280182426</v>
      </c>
      <c r="AI12" s="1" t="b">
        <f t="shared" si="10"/>
        <v>0</v>
      </c>
      <c r="AJ12" s="1">
        <f t="shared" si="11"/>
        <v>1.0273983736670573</v>
      </c>
      <c r="AK12" s="1">
        <f t="shared" si="12"/>
        <v>1.6245793832594004</v>
      </c>
      <c r="AL12" s="1">
        <f t="shared" si="5"/>
        <v>1.0273983736670573</v>
      </c>
      <c r="AM12" s="1">
        <f t="shared" si="5"/>
        <v>1.6245793832594004</v>
      </c>
      <c r="AP12" s="1">
        <f t="shared" si="13"/>
        <v>0.7</v>
      </c>
      <c r="AQ12" s="1">
        <f t="shared" si="14"/>
        <v>1.3756345467523197</v>
      </c>
      <c r="AR12" s="1">
        <f t="shared" si="15"/>
        <v>19.987137960503336</v>
      </c>
      <c r="AS12" s="1" t="e">
        <f t="shared" si="6"/>
        <v>#N/A</v>
      </c>
      <c r="AT12" s="1" t="e">
        <f t="shared" si="6"/>
        <v>#N/A</v>
      </c>
    </row>
    <row r="13" spans="2:47" x14ac:dyDescent="0.25">
      <c r="C13" s="162" t="s">
        <v>379</v>
      </c>
      <c r="D13" s="51">
        <v>5</v>
      </c>
      <c r="F13" s="162" t="s">
        <v>96</v>
      </c>
      <c r="G13" s="60">
        <f>DEGREES(ATAN(2*(G9-G7)/G8-TAN(RADIANS(G10))))</f>
        <v>14.574216198038739</v>
      </c>
      <c r="Y13" s="1">
        <f t="shared" si="7"/>
        <v>0.10027941945279653</v>
      </c>
      <c r="Z13" s="1">
        <f t="shared" si="8"/>
        <v>1.1700341142460347</v>
      </c>
      <c r="AA13" s="1">
        <f t="shared" si="8"/>
        <v>1.6811957344628903</v>
      </c>
      <c r="AB13" s="1">
        <f t="shared" si="9"/>
        <v>11.300790780937954</v>
      </c>
      <c r="AC13" s="1">
        <f t="shared" si="9"/>
        <v>4.4358035825093589</v>
      </c>
      <c r="AD13" s="1">
        <f t="shared" si="3"/>
        <v>12.14019051321416</v>
      </c>
      <c r="AE13" s="1">
        <f t="shared" si="0"/>
        <v>0.2303108389157115</v>
      </c>
      <c r="AF13" s="1">
        <f t="shared" si="4"/>
        <v>0.2381865033494269</v>
      </c>
      <c r="AG13" s="1">
        <f t="shared" si="1"/>
        <v>-6.1371755943280473</v>
      </c>
      <c r="AH13" s="1">
        <f t="shared" si="2"/>
        <v>-6.4609200256183428</v>
      </c>
      <c r="AI13" s="1" t="b">
        <f t="shared" si="10"/>
        <v>0</v>
      </c>
      <c r="AJ13" s="1">
        <f t="shared" si="11"/>
        <v>1.1700341142460347</v>
      </c>
      <c r="AK13" s="1">
        <f t="shared" si="12"/>
        <v>1.6811957344628903</v>
      </c>
      <c r="AL13" s="1">
        <f t="shared" si="5"/>
        <v>1.1700341142460347</v>
      </c>
      <c r="AM13" s="1">
        <f t="shared" si="5"/>
        <v>1.6811957344628903</v>
      </c>
      <c r="AP13" s="1">
        <f t="shared" si="13"/>
        <v>0.79999999999999993</v>
      </c>
      <c r="AQ13" s="1">
        <f t="shared" si="14"/>
        <v>1.3996859386152747</v>
      </c>
      <c r="AR13" s="1">
        <f t="shared" si="15"/>
        <v>19.975277980303069</v>
      </c>
      <c r="AS13" s="1" t="e">
        <f t="shared" si="6"/>
        <v>#N/A</v>
      </c>
      <c r="AT13" s="1" t="e">
        <f t="shared" si="6"/>
        <v>#N/A</v>
      </c>
    </row>
    <row r="14" spans="2:47" x14ac:dyDescent="0.25">
      <c r="C14" s="162" t="str">
        <f>"Ball Diameter (" &amp; IF($B$4, "mm", "in") &amp; ")"</f>
        <v>Ball Diameter (mm)</v>
      </c>
      <c r="D14" s="48">
        <v>177.99999999999997</v>
      </c>
      <c r="F14" s="162" t="str">
        <f>"Avg. Velocity (" &amp; IF($B$4, "m", "ft") &amp; ")"</f>
        <v>Avg. Velocity (m)</v>
      </c>
      <c r="G14" s="43">
        <f>AVERAGE(AR5:AR105)</f>
        <v>19.642483482834649</v>
      </c>
      <c r="N14" s="56"/>
      <c r="U14" s="1" t="s">
        <v>380</v>
      </c>
      <c r="V14" s="1">
        <f>IF($I$3="Forward", D21, G16)</f>
        <v>1</v>
      </c>
      <c r="Y14" s="1">
        <f t="shared" si="7"/>
        <v>0.11281434688439609</v>
      </c>
      <c r="Z14" s="1">
        <f t="shared" si="8"/>
        <v>1.3116887066047813</v>
      </c>
      <c r="AA14" s="1">
        <f t="shared" si="8"/>
        <v>1.7367982104704744</v>
      </c>
      <c r="AB14" s="1">
        <f t="shared" si="9"/>
        <v>11.223861730228068</v>
      </c>
      <c r="AC14" s="1">
        <f t="shared" si="9"/>
        <v>4.3548164188468643</v>
      </c>
      <c r="AD14" s="1">
        <f t="shared" si="3"/>
        <v>12.039082115391373</v>
      </c>
      <c r="AE14" s="1">
        <f t="shared" si="0"/>
        <v>0.23224506942438283</v>
      </c>
      <c r="AF14" s="1">
        <f t="shared" si="4"/>
        <v>0.23934704165462969</v>
      </c>
      <c r="AG14" s="1">
        <f t="shared" si="1"/>
        <v>-6.0317073252607472</v>
      </c>
      <c r="AH14" s="1">
        <f t="shared" si="2"/>
        <v>-6.4687286021618799</v>
      </c>
      <c r="AI14" s="1" t="b">
        <f t="shared" si="10"/>
        <v>0</v>
      </c>
      <c r="AJ14" s="1">
        <f t="shared" si="11"/>
        <v>1.3116887066047813</v>
      </c>
      <c r="AK14" s="1">
        <f t="shared" si="12"/>
        <v>1.7367982104704744</v>
      </c>
      <c r="AL14" s="1">
        <f t="shared" si="5"/>
        <v>1.3116887066047813</v>
      </c>
      <c r="AM14" s="1">
        <f t="shared" si="5"/>
        <v>1.7367982104704744</v>
      </c>
      <c r="AP14" s="1">
        <f t="shared" si="13"/>
        <v>0.89999999999999991</v>
      </c>
      <c r="AQ14" s="1">
        <f t="shared" si="14"/>
        <v>1.4234775160599571</v>
      </c>
      <c r="AR14" s="1">
        <f t="shared" si="15"/>
        <v>19.96353849624775</v>
      </c>
      <c r="AS14" s="1" t="e">
        <f t="shared" si="6"/>
        <v>#N/A</v>
      </c>
      <c r="AT14" s="1" t="e">
        <f t="shared" si="6"/>
        <v>#N/A</v>
      </c>
    </row>
    <row r="15" spans="2:47" ht="14.45" customHeight="1" x14ac:dyDescent="0.25">
      <c r="C15" s="162" t="str">
        <f>"Ball Mass (" &amp; IF($B$4, "kg", "lbs") &amp; ")"</f>
        <v>Ball Mass (kg)</v>
      </c>
      <c r="D15" s="16">
        <v>0.1</v>
      </c>
      <c r="N15" s="56"/>
      <c r="U15" s="1" t="s">
        <v>381</v>
      </c>
      <c r="V15" s="4">
        <f>IF($I$3="Forward", D22, G17)</f>
        <v>1.5</v>
      </c>
      <c r="Y15" s="1">
        <f t="shared" si="7"/>
        <v>0.12534927431599566</v>
      </c>
      <c r="Z15" s="1">
        <f t="shared" si="8"/>
        <v>1.4523789988954978</v>
      </c>
      <c r="AA15" s="1">
        <f t="shared" si="8"/>
        <v>1.7913855182586582</v>
      </c>
      <c r="AB15" s="1">
        <f t="shared" si="9"/>
        <v>11.148254716617277</v>
      </c>
      <c r="AC15" s="1">
        <f t="shared" si="9"/>
        <v>4.2737313752440524</v>
      </c>
      <c r="AD15" s="1">
        <f t="shared" si="3"/>
        <v>11.939361921573733</v>
      </c>
      <c r="AE15" s="1">
        <f t="shared" si="0"/>
        <v>0.23418483165693085</v>
      </c>
      <c r="AF15" s="1">
        <f t="shared" si="4"/>
        <v>0.24051089899415851</v>
      </c>
      <c r="AG15" s="1">
        <f t="shared" si="1"/>
        <v>-5.9279633435733796</v>
      </c>
      <c r="AH15" s="1">
        <f t="shared" si="2"/>
        <v>-6.4761300567743332</v>
      </c>
      <c r="AI15" s="1" t="b">
        <f t="shared" si="10"/>
        <v>0</v>
      </c>
      <c r="AJ15" s="1">
        <f t="shared" si="11"/>
        <v>1.4523789988954978</v>
      </c>
      <c r="AK15" s="1">
        <f t="shared" si="12"/>
        <v>1.7913855182586582</v>
      </c>
      <c r="AL15" s="1">
        <f t="shared" si="5"/>
        <v>1.4523789988954978</v>
      </c>
      <c r="AM15" s="1">
        <f t="shared" si="5"/>
        <v>1.7913855182586582</v>
      </c>
      <c r="AP15" s="1">
        <f t="shared" si="13"/>
        <v>0.99999999999999989</v>
      </c>
      <c r="AQ15" s="1">
        <f t="shared" si="14"/>
        <v>1.4470092790863669</v>
      </c>
      <c r="AR15" s="1">
        <f t="shared" si="15"/>
        <v>19.951919721033093</v>
      </c>
      <c r="AS15" s="1" t="e">
        <f t="shared" si="6"/>
        <v>#N/A</v>
      </c>
      <c r="AT15" s="1" t="e">
        <f t="shared" si="6"/>
        <v>#N/A</v>
      </c>
    </row>
    <row r="16" spans="2:47" x14ac:dyDescent="0.25">
      <c r="C16" s="3"/>
      <c r="D16" s="3"/>
      <c r="F16" s="162" t="str">
        <f>"Obstacle Distance (" &amp; IF($B$4, "m", "ft") &amp; ")"</f>
        <v>Obstacle Distance (m)</v>
      </c>
      <c r="G16" s="51">
        <v>1</v>
      </c>
      <c r="V16" s="4">
        <v>0</v>
      </c>
      <c r="Y16" s="1">
        <f t="shared" si="7"/>
        <v>0.13788420174759522</v>
      </c>
      <c r="Z16" s="1">
        <f t="shared" si="8"/>
        <v>1.5921215627572831</v>
      </c>
      <c r="AA16" s="1">
        <f t="shared" si="8"/>
        <v>1.8449564309094926</v>
      </c>
      <c r="AB16" s="1">
        <f t="shared" si="9"/>
        <v>11.073948126288403</v>
      </c>
      <c r="AC16" s="1">
        <f t="shared" si="9"/>
        <v>4.1925535549447854</v>
      </c>
      <c r="AD16" s="1">
        <f t="shared" si="3"/>
        <v>11.841023284108795</v>
      </c>
      <c r="AE16" s="1">
        <f t="shared" si="0"/>
        <v>0.2361297157017925</v>
      </c>
      <c r="AF16" s="1">
        <f t="shared" si="4"/>
        <v>0.24167782942107549</v>
      </c>
      <c r="AG16" s="1">
        <f t="shared" si="1"/>
        <v>-5.8259090492117256</v>
      </c>
      <c r="AH16" s="1">
        <f t="shared" si="2"/>
        <v>-6.4831373574563589</v>
      </c>
      <c r="AI16" s="1" t="b">
        <f t="shared" si="10"/>
        <v>0</v>
      </c>
      <c r="AJ16" s="1">
        <f t="shared" si="11"/>
        <v>1.5921215627572831</v>
      </c>
      <c r="AK16" s="1">
        <f t="shared" si="12"/>
        <v>1.8449564309094926</v>
      </c>
      <c r="AL16" s="1">
        <f t="shared" si="5"/>
        <v>1.5921215627572831</v>
      </c>
      <c r="AM16" s="1">
        <f t="shared" si="5"/>
        <v>1.8449564309094926</v>
      </c>
      <c r="AP16" s="1">
        <f t="shared" si="13"/>
        <v>1.0999999999999999</v>
      </c>
      <c r="AQ16" s="1">
        <f t="shared" si="14"/>
        <v>1.4702812276945039</v>
      </c>
      <c r="AR16" s="1">
        <f t="shared" si="15"/>
        <v>19.940421865660976</v>
      </c>
      <c r="AS16" s="1" t="e">
        <f t="shared" si="6"/>
        <v>#N/A</v>
      </c>
      <c r="AT16" s="1" t="e">
        <f t="shared" si="6"/>
        <v>#N/A</v>
      </c>
    </row>
    <row r="17" spans="3:46" s="3" customFormat="1" x14ac:dyDescent="0.25">
      <c r="C17" s="162" t="str">
        <f>"Final Height (" &amp; IF($B$4, "m", "ft") &amp; ")"</f>
        <v>Final Height (m)</v>
      </c>
      <c r="D17" s="43">
        <f>MAX(INDEX($AK$5:$AK$105, $V$18), 0)</f>
        <v>2.9881574263415285</v>
      </c>
      <c r="E17" s="1"/>
      <c r="F17" s="162" t="str">
        <f>"Obstacle Height (" &amp; IF($B$4, "m", "ft") &amp; ")"</f>
        <v>Obstacle Height (m)</v>
      </c>
      <c r="G17" s="51">
        <v>1.5</v>
      </c>
      <c r="H17" s="1"/>
      <c r="I17" s="1"/>
      <c r="J17" s="1"/>
      <c r="K17" s="1"/>
      <c r="L17" s="1"/>
      <c r="M17" s="1"/>
      <c r="N17" s="1"/>
      <c r="O17" s="1"/>
      <c r="P17" s="1"/>
      <c r="Q17" s="1"/>
      <c r="R17" s="1"/>
      <c r="S17" s="1"/>
      <c r="U17" s="1"/>
      <c r="Y17" s="1">
        <f t="shared" si="7"/>
        <v>0.15041912917919478</v>
      </c>
      <c r="Z17" s="1">
        <f t="shared" si="8"/>
        <v>1.7309326989016063</v>
      </c>
      <c r="AA17" s="1">
        <f t="shared" si="8"/>
        <v>1.8975097854738203</v>
      </c>
      <c r="AB17" s="1">
        <f t="shared" si="9"/>
        <v>11.000920779133436</v>
      </c>
      <c r="AC17" s="1">
        <f t="shared" si="9"/>
        <v>4.1112878986399775</v>
      </c>
      <c r="AD17" s="1">
        <f t="shared" si="3"/>
        <v>11.744060037920162</v>
      </c>
      <c r="AE17" s="1">
        <f t="shared" si="0"/>
        <v>0.23807928882063867</v>
      </c>
      <c r="AF17" s="1">
        <f t="shared" si="4"/>
        <v>0.24284757329238321</v>
      </c>
      <c r="AG17" s="1">
        <f t="shared" si="1"/>
        <v>-5.72551075950458</v>
      </c>
      <c r="AH17" s="1">
        <f t="shared" si="2"/>
        <v>-6.4897628605626991</v>
      </c>
      <c r="AI17" s="1" t="b">
        <f t="shared" si="10"/>
        <v>0</v>
      </c>
      <c r="AJ17" s="1">
        <f t="shared" si="11"/>
        <v>1.7309326989016063</v>
      </c>
      <c r="AK17" s="1">
        <f t="shared" si="12"/>
        <v>1.8975097854738203</v>
      </c>
      <c r="AL17" s="1">
        <f t="shared" si="5"/>
        <v>1.7309326989016063</v>
      </c>
      <c r="AM17" s="1">
        <f t="shared" si="5"/>
        <v>1.8975097854738203</v>
      </c>
      <c r="AN17" s="1"/>
      <c r="AP17" s="1">
        <f t="shared" si="13"/>
        <v>1.2</v>
      </c>
      <c r="AQ17" s="1">
        <f t="shared" si="14"/>
        <v>1.4932933618843682</v>
      </c>
      <c r="AR17" s="1">
        <f t="shared" si="15"/>
        <v>19.929045139421756</v>
      </c>
      <c r="AS17" s="1" t="e">
        <f t="shared" si="6"/>
        <v>#N/A</v>
      </c>
      <c r="AT17" s="1" t="e">
        <f t="shared" si="6"/>
        <v>#N/A</v>
      </c>
    </row>
    <row r="18" spans="3:46" s="3" customFormat="1" ht="15" customHeight="1" x14ac:dyDescent="0.25">
      <c r="C18" s="162" t="s">
        <v>97</v>
      </c>
      <c r="D18" s="60">
        <f>DEGREES(ATAN(INDEX($AC$5:$AC$105, $V$18) / INDEX($AB$5:$AB$105, $V$18)))</f>
        <v>-12.134173007295527</v>
      </c>
      <c r="E18" s="1"/>
      <c r="H18" s="1"/>
      <c r="I18" s="1"/>
      <c r="J18" s="1"/>
      <c r="K18" s="1"/>
      <c r="L18" s="1"/>
      <c r="M18" s="1"/>
      <c r="N18" s="1"/>
      <c r="O18" s="1"/>
      <c r="P18" s="1"/>
      <c r="Q18" s="1"/>
      <c r="R18" s="1"/>
      <c r="S18" s="1"/>
      <c r="V18" s="4">
        <f t="array" ref="V18">MAX(IF(NOT($AI$5:$AI$105),ROW($AI$5:$AI$105)-MIN(ROW($AI$5:$AI$105))+1))</f>
        <v>85</v>
      </c>
      <c r="Y18" s="1">
        <f t="shared" si="7"/>
        <v>0.16295405661079435</v>
      </c>
      <c r="Z18" s="1">
        <f t="shared" si="8"/>
        <v>1.8688284425488197</v>
      </c>
      <c r="AA18" s="1">
        <f t="shared" si="8"/>
        <v>1.949044480933686</v>
      </c>
      <c r="AB18" s="1">
        <f t="shared" si="9"/>
        <v>10.929151917254204</v>
      </c>
      <c r="AC18" s="1">
        <f t="shared" si="9"/>
        <v>4.0299391921345338</v>
      </c>
      <c r="AD18" s="1">
        <f t="shared" si="3"/>
        <v>11.648466488028507</v>
      </c>
      <c r="AE18" s="1">
        <f t="shared" si="0"/>
        <v>0.2400330948772072</v>
      </c>
      <c r="AF18" s="1">
        <f t="shared" si="4"/>
        <v>0.24401985692632433</v>
      </c>
      <c r="AG18" s="1">
        <f t="shared" si="1"/>
        <v>-5.6267356795418522</v>
      </c>
      <c r="AH18" s="1">
        <f t="shared" si="2"/>
        <v>-6.4960183294103579</v>
      </c>
      <c r="AI18" s="1" t="b">
        <f t="shared" si="10"/>
        <v>0</v>
      </c>
      <c r="AJ18" s="1">
        <f t="shared" si="11"/>
        <v>1.8688284425488197</v>
      </c>
      <c r="AK18" s="1">
        <f t="shared" si="12"/>
        <v>1.949044480933686</v>
      </c>
      <c r="AL18" s="1">
        <f t="shared" si="5"/>
        <v>1.8688284425488197</v>
      </c>
      <c r="AM18" s="1">
        <f t="shared" si="5"/>
        <v>1.949044480933686</v>
      </c>
      <c r="AN18" s="1"/>
      <c r="AP18" s="1">
        <f t="shared" si="13"/>
        <v>1.3</v>
      </c>
      <c r="AQ18" s="1">
        <f t="shared" si="14"/>
        <v>1.51604568165596</v>
      </c>
      <c r="AR18" s="1">
        <f t="shared" si="15"/>
        <v>19.917789749876562</v>
      </c>
      <c r="AS18" s="1" t="e">
        <f t="shared" si="6"/>
        <v>#N/A</v>
      </c>
      <c r="AT18" s="1" t="e">
        <f t="shared" si="6"/>
        <v>#N/A</v>
      </c>
    </row>
    <row r="19" spans="3:46" s="3" customFormat="1" x14ac:dyDescent="0.25">
      <c r="C19" s="162" t="str">
        <f>"Avg. Velocity (" &amp; IF($B$4, "m", "ft") &amp; ")"</f>
        <v>Avg. Velocity (m)</v>
      </c>
      <c r="D19" s="43">
        <f>AVERAGEIF(AI5:AI105, "=FALSE", AD5:AD105)</f>
        <v>9.8657167675070649</v>
      </c>
      <c r="F19" s="222" t="s">
        <v>382</v>
      </c>
      <c r="G19" s="223"/>
      <c r="H19" s="1"/>
      <c r="I19" s="1"/>
      <c r="J19" s="1"/>
      <c r="K19" s="1"/>
      <c r="L19" s="1"/>
      <c r="M19" s="1"/>
      <c r="N19" s="1"/>
      <c r="O19" s="1"/>
      <c r="P19" s="1"/>
      <c r="Q19" s="1"/>
      <c r="R19" s="1"/>
      <c r="S19" s="1"/>
      <c r="Y19" s="1">
        <f t="shared" si="7"/>
        <v>0.17548898404239391</v>
      </c>
      <c r="Z19" s="1">
        <f t="shared" si="8"/>
        <v>2.0058245687205285</v>
      </c>
      <c r="AA19" s="1">
        <f t="shared" si="8"/>
        <v>1.9995594762608513</v>
      </c>
      <c r="AB19" s="1">
        <f t="shared" si="9"/>
        <v>10.858621193834354</v>
      </c>
      <c r="AC19" s="1">
        <f t="shared" si="9"/>
        <v>3.9485120737810342</v>
      </c>
      <c r="AD19" s="1">
        <f t="shared" si="3"/>
        <v>11.554237397075724</v>
      </c>
      <c r="AE19" s="1">
        <f t="shared" si="0"/>
        <v>0.24199065378408813</v>
      </c>
      <c r="AF19" s="1">
        <f t="shared" si="4"/>
        <v>0.24519439227045287</v>
      </c>
      <c r="AG19" s="1">
        <f t="shared" si="1"/>
        <v>-5.5295518735312328</v>
      </c>
      <c r="AH19" s="1">
        <f t="shared" si="2"/>
        <v>-6.5019149520636335</v>
      </c>
      <c r="AI19" s="1" t="b">
        <f t="shared" si="10"/>
        <v>0</v>
      </c>
      <c r="AJ19" s="1">
        <f t="shared" si="11"/>
        <v>2.0058245687205285</v>
      </c>
      <c r="AK19" s="1">
        <f t="shared" si="12"/>
        <v>1.9995594762608513</v>
      </c>
      <c r="AL19" s="1">
        <f t="shared" si="5"/>
        <v>2.0058245687205285</v>
      </c>
      <c r="AM19" s="1">
        <f t="shared" si="5"/>
        <v>1.9995594762608513</v>
      </c>
      <c r="AN19" s="1"/>
      <c r="AP19" s="1">
        <f t="shared" si="13"/>
        <v>1.4000000000000001</v>
      </c>
      <c r="AQ19" s="1">
        <f t="shared" si="14"/>
        <v>1.5385381870092791</v>
      </c>
      <c r="AR19" s="1">
        <f t="shared" si="15"/>
        <v>19.906655902839727</v>
      </c>
      <c r="AS19" s="1" t="e">
        <f t="shared" si="6"/>
        <v>#N/A</v>
      </c>
      <c r="AT19" s="1" t="e">
        <f t="shared" si="6"/>
        <v>#N/A</v>
      </c>
    </row>
    <row r="20" spans="3:46" s="3" customFormat="1" x14ac:dyDescent="0.25">
      <c r="E20" s="1"/>
      <c r="F20" s="224"/>
      <c r="G20" s="225"/>
      <c r="H20" s="1"/>
      <c r="I20" s="1"/>
      <c r="J20" s="1"/>
      <c r="K20" s="1"/>
      <c r="L20" s="1"/>
      <c r="M20" s="1"/>
      <c r="N20" s="1"/>
      <c r="O20" s="1"/>
      <c r="P20" s="1"/>
      <c r="Q20" s="1"/>
      <c r="R20" s="1"/>
      <c r="S20" s="1"/>
      <c r="V20" s="4">
        <f>IF($I$3="Forward", _xlfn.AGGREGATE(4, 6, $AJ$5:$AJ$105,$AK$5:$AK$105), MAX(AP5:AP105,AQ5:AQ105))</f>
        <v>10.081835862328369</v>
      </c>
      <c r="Y20" s="1">
        <f t="shared" si="7"/>
        <v>0.18802391147399347</v>
      </c>
      <c r="Z20" s="1">
        <f t="shared" si="8"/>
        <v>2.1419365973924713</v>
      </c>
      <c r="AA20" s="1">
        <f t="shared" si="8"/>
        <v>2.0490537885684912</v>
      </c>
      <c r="AB20" s="1">
        <f t="shared" si="9"/>
        <v>10.789308662370376</v>
      </c>
      <c r="AC20" s="1">
        <f t="shared" si="9"/>
        <v>3.8670110416904842</v>
      </c>
      <c r="AD20" s="1">
        <f t="shared" si="3"/>
        <v>11.461367972823163</v>
      </c>
      <c r="AE20" s="1">
        <f t="shared" si="0"/>
        <v>0.24395146097086701</v>
      </c>
      <c r="AF20" s="1">
        <f t="shared" si="4"/>
        <v>0.24637087658252022</v>
      </c>
      <c r="AG20" s="1">
        <f t="shared" si="1"/>
        <v>-5.4339282370894813</v>
      </c>
      <c r="AH20" s="1">
        <f t="shared" si="2"/>
        <v>-6.5074633583417869</v>
      </c>
      <c r="AI20" s="1" t="b">
        <f t="shared" si="10"/>
        <v>0</v>
      </c>
      <c r="AJ20" s="1">
        <f t="shared" si="11"/>
        <v>2.1419365973924713</v>
      </c>
      <c r="AK20" s="1">
        <f t="shared" si="12"/>
        <v>2.0490537885684912</v>
      </c>
      <c r="AL20" s="1">
        <f t="shared" si="5"/>
        <v>2.1419365973924713</v>
      </c>
      <c r="AM20" s="1">
        <f t="shared" si="5"/>
        <v>2.0490537885684912</v>
      </c>
      <c r="AN20" s="1"/>
      <c r="AP20" s="1">
        <f t="shared" si="13"/>
        <v>1.5000000000000002</v>
      </c>
      <c r="AQ20" s="1">
        <f t="shared" si="14"/>
        <v>1.5607708779443255</v>
      </c>
      <c r="AR20" s="1">
        <f t="shared" si="15"/>
        <v>19.895643802361299</v>
      </c>
      <c r="AS20" s="1" t="e">
        <f t="shared" si="6"/>
        <v>#N/A</v>
      </c>
      <c r="AT20" s="1" t="e">
        <f t="shared" si="6"/>
        <v>#N/A</v>
      </c>
    </row>
    <row r="21" spans="3:46" s="3" customFormat="1" x14ac:dyDescent="0.25">
      <c r="C21" s="162" t="str">
        <f>"Obstacle Distance (" &amp; IF($B$4, "m", "ft") &amp; ")"</f>
        <v>Obstacle Distance (m)</v>
      </c>
      <c r="D21" s="51">
        <v>1</v>
      </c>
      <c r="E21" s="1"/>
      <c r="F21" s="224"/>
      <c r="G21" s="225"/>
      <c r="H21" s="1"/>
      <c r="I21" s="1"/>
      <c r="J21" s="1"/>
      <c r="K21" s="1"/>
      <c r="L21" s="1"/>
      <c r="M21" s="1"/>
      <c r="N21" s="1"/>
      <c r="O21" s="1"/>
      <c r="P21" s="1"/>
      <c r="Q21" s="1"/>
      <c r="R21" s="1"/>
      <c r="S21" s="1"/>
      <c r="Y21" s="1">
        <f t="shared" si="7"/>
        <v>0.20055883890559303</v>
      </c>
      <c r="Z21" s="1">
        <f t="shared" si="8"/>
        <v>2.2771797985124125</v>
      </c>
      <c r="AA21" s="1">
        <f t="shared" si="8"/>
        <v>2.0975264913532756</v>
      </c>
      <c r="AB21" s="1">
        <f t="shared" si="9"/>
        <v>10.721194766249939</v>
      </c>
      <c r="AC21" s="1">
        <f t="shared" si="9"/>
        <v>3.7854404607298768</v>
      </c>
      <c r="AD21" s="1">
        <f t="shared" si="3"/>
        <v>11.369853855595325</v>
      </c>
      <c r="AE21" s="1">
        <f t="shared" si="0"/>
        <v>0.24591498687724475</v>
      </c>
      <c r="AF21" s="1">
        <f t="shared" si="4"/>
        <v>0.24754899212634685</v>
      </c>
      <c r="AG21" s="1">
        <f t="shared" si="1"/>
        <v>-5.3398344704265321</v>
      </c>
      <c r="AH21" s="1">
        <f t="shared" si="2"/>
        <v>-6.5126736360933277</v>
      </c>
      <c r="AI21" s="1" t="b">
        <f t="shared" si="10"/>
        <v>0</v>
      </c>
      <c r="AJ21" s="1">
        <f t="shared" si="11"/>
        <v>2.2771797985124125</v>
      </c>
      <c r="AK21" s="1">
        <f t="shared" si="12"/>
        <v>2.0975264913532756</v>
      </c>
      <c r="AL21" s="1">
        <f t="shared" si="5"/>
        <v>2.2771797985124125</v>
      </c>
      <c r="AM21" s="1">
        <f t="shared" si="5"/>
        <v>2.0975264913532756</v>
      </c>
      <c r="AN21" s="1"/>
      <c r="AP21" s="1">
        <f t="shared" si="13"/>
        <v>1.6000000000000003</v>
      </c>
      <c r="AQ21" s="1">
        <f t="shared" si="14"/>
        <v>1.5827437544610994</v>
      </c>
      <c r="AR21" s="1">
        <f t="shared" si="15"/>
        <v>19.884753650709634</v>
      </c>
      <c r="AS21" s="1" t="e">
        <f t="shared" si="6"/>
        <v>#N/A</v>
      </c>
      <c r="AT21" s="1" t="e">
        <f t="shared" si="6"/>
        <v>#N/A</v>
      </c>
    </row>
    <row r="22" spans="3:46" s="3" customFormat="1" ht="15" customHeight="1" x14ac:dyDescent="0.25">
      <c r="C22" s="162" t="str">
        <f>"Obstacle Height (" &amp; IF($B$4, "m", "ft") &amp; ")"</f>
        <v>Obstacle Height (m)</v>
      </c>
      <c r="D22" s="51">
        <v>1.5</v>
      </c>
      <c r="E22" s="1"/>
      <c r="F22" s="226"/>
      <c r="G22" s="227"/>
      <c r="H22" s="1"/>
      <c r="I22" s="1"/>
      <c r="J22" s="1"/>
      <c r="K22" s="1"/>
      <c r="L22" s="1"/>
      <c r="M22" s="1"/>
      <c r="N22" s="1"/>
      <c r="O22" s="1"/>
      <c r="P22" s="1"/>
      <c r="Q22" s="1"/>
      <c r="R22" s="1"/>
      <c r="S22" s="1"/>
      <c r="Y22" s="1">
        <f t="shared" si="7"/>
        <v>0.2130937663371926</v>
      </c>
      <c r="Z22" s="1">
        <f t="shared" si="8"/>
        <v>2.4115691968874007</v>
      </c>
      <c r="AA22" s="1">
        <f t="shared" si="8"/>
        <v>2.1449767128251653</v>
      </c>
      <c r="AB22" s="1">
        <f t="shared" si="9"/>
        <v>10.654260328666389</v>
      </c>
      <c r="AC22" s="1">
        <f t="shared" si="9"/>
        <v>3.7038045693157553</v>
      </c>
      <c r="AD22" s="1">
        <f t="shared" si="3"/>
        <v>11.279691105641088</v>
      </c>
      <c r="AE22" s="1">
        <f t="shared" si="0"/>
        <v>0.24788067647496112</v>
      </c>
      <c r="AF22" s="1">
        <f t="shared" si="4"/>
        <v>0.24872840588497666</v>
      </c>
      <c r="AG22" s="1">
        <f t="shared" si="1"/>
        <v>-5.2472410523827548</v>
      </c>
      <c r="AH22" s="1">
        <f t="shared" si="2"/>
        <v>-6.5175553467792131</v>
      </c>
      <c r="AI22" s="1" t="b">
        <f t="shared" si="10"/>
        <v>0</v>
      </c>
      <c r="AJ22" s="1">
        <f t="shared" si="11"/>
        <v>2.4115691968874007</v>
      </c>
      <c r="AK22" s="1">
        <f t="shared" si="12"/>
        <v>2.1449767128251653</v>
      </c>
      <c r="AL22" s="1">
        <f t="shared" si="5"/>
        <v>2.4115691968874007</v>
      </c>
      <c r="AM22" s="1">
        <f t="shared" si="5"/>
        <v>2.1449767128251653</v>
      </c>
      <c r="AN22" s="1"/>
      <c r="AP22" s="1">
        <f t="shared" si="13"/>
        <v>1.7000000000000004</v>
      </c>
      <c r="AQ22" s="1">
        <f t="shared" si="14"/>
        <v>1.6044568165596005</v>
      </c>
      <c r="AR22" s="1">
        <f t="shared" si="15"/>
        <v>19.873985648353983</v>
      </c>
      <c r="AS22" s="1" t="e">
        <f t="shared" si="6"/>
        <v>#N/A</v>
      </c>
      <c r="AT22" s="1" t="e">
        <f t="shared" si="6"/>
        <v>#N/A</v>
      </c>
    </row>
    <row r="23" spans="3:46" s="3" customFormat="1" ht="15" customHeight="1" x14ac:dyDescent="0.25">
      <c r="C23" s="4"/>
      <c r="D23" s="4"/>
      <c r="H23" s="1"/>
      <c r="I23" s="1"/>
      <c r="J23" s="1"/>
      <c r="K23" s="1"/>
      <c r="L23" s="1"/>
      <c r="M23" s="1"/>
      <c r="N23" s="1"/>
      <c r="O23" s="1"/>
      <c r="P23" s="1"/>
      <c r="Q23" s="1"/>
      <c r="R23" s="1"/>
      <c r="S23" s="1"/>
      <c r="V23" s="4"/>
      <c r="Y23" s="1">
        <f t="shared" si="7"/>
        <v>0.22562869376879216</v>
      </c>
      <c r="Z23" s="1">
        <f t="shared" ref="Z23:AA38" si="16">Z22+AB22*$V$4</f>
        <v>2.5451195769446042</v>
      </c>
      <c r="AA23" s="1">
        <f t="shared" si="16"/>
        <v>2.1914036343223651</v>
      </c>
      <c r="AB23" s="1">
        <f t="shared" ref="AB23:AC38" si="17">AB22+AG22*$V$4</f>
        <v>10.588486542858661</v>
      </c>
      <c r="AC23" s="1">
        <f t="shared" si="17"/>
        <v>3.6221074860124443</v>
      </c>
      <c r="AD23" s="1">
        <f t="shared" si="3"/>
        <v>11.190876190385021</v>
      </c>
      <c r="AE23" s="1">
        <f t="shared" si="0"/>
        <v>0.2498479488225594</v>
      </c>
      <c r="AF23" s="1">
        <f t="shared" si="4"/>
        <v>0.24990876929353564</v>
      </c>
      <c r="AG23" s="1">
        <f t="shared" si="1"/>
        <v>-5.1561192152816364</v>
      </c>
      <c r="AH23" s="1">
        <f t="shared" si="2"/>
        <v>-6.5221175404058132</v>
      </c>
      <c r="AI23" s="1" t="b">
        <f t="shared" si="10"/>
        <v>0</v>
      </c>
      <c r="AJ23" s="1">
        <f t="shared" si="11"/>
        <v>2.5451195769446042</v>
      </c>
      <c r="AK23" s="1">
        <f t="shared" si="12"/>
        <v>2.1914036343223651</v>
      </c>
      <c r="AL23" s="1">
        <f t="shared" si="5"/>
        <v>2.5451195769446042</v>
      </c>
      <c r="AM23" s="1">
        <f t="shared" si="5"/>
        <v>2.1914036343223651</v>
      </c>
      <c r="AN23" s="1"/>
      <c r="AP23" s="1">
        <f t="shared" si="13"/>
        <v>1.8000000000000005</v>
      </c>
      <c r="AQ23" s="1">
        <f t="shared" si="14"/>
        <v>1.6259100642398288</v>
      </c>
      <c r="AR23" s="1">
        <f t="shared" si="15"/>
        <v>19.863339993947349</v>
      </c>
      <c r="AS23" s="1" t="e">
        <f t="shared" si="6"/>
        <v>#N/A</v>
      </c>
      <c r="AT23" s="1" t="e">
        <f t="shared" si="6"/>
        <v>#N/A</v>
      </c>
    </row>
    <row r="24" spans="3:46" s="3" customFormat="1" ht="15" customHeight="1" x14ac:dyDescent="0.25">
      <c r="C24" s="222" t="s">
        <v>383</v>
      </c>
      <c r="D24" s="223"/>
      <c r="H24" s="1"/>
      <c r="I24" s="1"/>
      <c r="J24" s="1"/>
      <c r="K24" s="1"/>
      <c r="L24" s="1"/>
      <c r="M24" s="1"/>
      <c r="N24" s="1"/>
      <c r="O24" s="1"/>
      <c r="P24" s="1"/>
      <c r="Q24" s="1"/>
      <c r="R24" s="1"/>
      <c r="S24" s="1"/>
      <c r="V24" s="4"/>
      <c r="Y24" s="1">
        <f t="shared" si="7"/>
        <v>0.23816362120039172</v>
      </c>
      <c r="Z24" s="1">
        <f t="shared" si="16"/>
        <v>2.6778454873698063</v>
      </c>
      <c r="AA24" s="1">
        <f t="shared" si="16"/>
        <v>2.2368064888089845</v>
      </c>
      <c r="AB24" s="1">
        <f t="shared" si="17"/>
        <v>10.52385496266643</v>
      </c>
      <c r="AC24" s="1">
        <f t="shared" si="17"/>
        <v>3.5403532159430946</v>
      </c>
      <c r="AD24" s="1">
        <f t="shared" si="3"/>
        <v>11.103405971542131</v>
      </c>
      <c r="AE24" s="1">
        <f t="shared" si="0"/>
        <v>0.25181619665722998</v>
      </c>
      <c r="AF24" s="1">
        <f t="shared" si="4"/>
        <v>0.25108971799433799</v>
      </c>
      <c r="AG24" s="1">
        <f t="shared" si="1"/>
        <v>-5.066440920562119</v>
      </c>
      <c r="AH24" s="1">
        <f t="shared" si="2"/>
        <v>-6.5263687698469717</v>
      </c>
      <c r="AI24" s="1" t="b">
        <f t="shared" si="10"/>
        <v>0</v>
      </c>
      <c r="AJ24" s="1">
        <f t="shared" si="11"/>
        <v>2.6778454873698063</v>
      </c>
      <c r="AK24" s="1">
        <f t="shared" si="12"/>
        <v>2.2368064888089845</v>
      </c>
      <c r="AL24" s="1">
        <f t="shared" si="5"/>
        <v>2.6778454873698063</v>
      </c>
      <c r="AM24" s="1">
        <f t="shared" si="5"/>
        <v>2.2368064888089845</v>
      </c>
      <c r="AN24" s="1"/>
      <c r="AP24" s="1">
        <f t="shared" si="13"/>
        <v>1.9000000000000006</v>
      </c>
      <c r="AQ24" s="1">
        <f t="shared" si="14"/>
        <v>1.6471034975017846</v>
      </c>
      <c r="AR24" s="1">
        <f t="shared" si="15"/>
        <v>19.852816884309274</v>
      </c>
      <c r="AS24" s="1" t="e">
        <f t="shared" si="6"/>
        <v>#N/A</v>
      </c>
      <c r="AT24" s="1" t="e">
        <f t="shared" si="6"/>
        <v>#N/A</v>
      </c>
    </row>
    <row r="25" spans="3:46" s="3" customFormat="1" ht="14.45" customHeight="1" x14ac:dyDescent="0.25">
      <c r="C25" s="224"/>
      <c r="D25" s="225"/>
      <c r="H25" s="1"/>
      <c r="I25" s="1"/>
      <c r="J25" s="1"/>
      <c r="K25" s="1"/>
      <c r="L25" s="1"/>
      <c r="M25" s="1"/>
      <c r="N25" s="1"/>
      <c r="O25" s="1"/>
      <c r="P25" s="1"/>
      <c r="Q25" s="1"/>
      <c r="R25" s="1"/>
      <c r="S25" s="1"/>
      <c r="V25" s="4"/>
      <c r="Y25" s="1">
        <f t="shared" si="7"/>
        <v>0.25069854863199131</v>
      </c>
      <c r="Z25" s="1">
        <f t="shared" si="16"/>
        <v>2.809761245627509</v>
      </c>
      <c r="AA25" s="1">
        <f t="shared" si="16"/>
        <v>2.2811845594530613</v>
      </c>
      <c r="AB25" s="1">
        <f t="shared" si="17"/>
        <v>10.460347493390698</v>
      </c>
      <c r="AC25" s="1">
        <f t="shared" si="17"/>
        <v>3.458545657021205</v>
      </c>
      <c r="AD25" s="1">
        <f t="shared" si="3"/>
        <v>11.017277692070092</v>
      </c>
      <c r="AE25" s="1">
        <f t="shared" si="0"/>
        <v>0.25378478602816784</v>
      </c>
      <c r="AF25" s="1">
        <f t="shared" si="4"/>
        <v>0.2522708716169007</v>
      </c>
      <c r="AG25" s="1">
        <f t="shared" si="1"/>
        <v>-4.9781788351567071</v>
      </c>
      <c r="AH25" s="1">
        <f t="shared" si="2"/>
        <v>-6.5303171045932107</v>
      </c>
      <c r="AI25" s="1" t="b">
        <f t="shared" si="10"/>
        <v>0</v>
      </c>
      <c r="AJ25" s="1">
        <f t="shared" si="11"/>
        <v>2.809761245627509</v>
      </c>
      <c r="AK25" s="1">
        <f t="shared" si="12"/>
        <v>2.2811845594530613</v>
      </c>
      <c r="AL25" s="1">
        <f t="shared" si="5"/>
        <v>2.809761245627509</v>
      </c>
      <c r="AM25" s="1">
        <f t="shared" si="5"/>
        <v>2.2811845594530613</v>
      </c>
      <c r="AN25" s="1"/>
      <c r="AP25" s="1">
        <f t="shared" si="13"/>
        <v>2.0000000000000004</v>
      </c>
      <c r="AQ25" s="1">
        <f t="shared" si="14"/>
        <v>1.6680371163454677</v>
      </c>
      <c r="AR25" s="1">
        <f t="shared" si="15"/>
        <v>19.842416514408722</v>
      </c>
      <c r="AS25" s="1" t="e">
        <f t="shared" si="6"/>
        <v>#N/A</v>
      </c>
      <c r="AT25" s="1" t="e">
        <f t="shared" si="6"/>
        <v>#N/A</v>
      </c>
    </row>
    <row r="26" spans="3:46" s="3" customFormat="1" ht="14.45" customHeight="1" x14ac:dyDescent="0.25">
      <c r="C26" s="224"/>
      <c r="D26" s="225"/>
      <c r="H26" s="1"/>
      <c r="I26" s="1"/>
      <c r="J26" s="1"/>
      <c r="K26" s="1"/>
      <c r="L26" s="1"/>
      <c r="M26" s="1"/>
      <c r="N26" s="1"/>
      <c r="O26" s="1"/>
      <c r="P26" s="1"/>
      <c r="Q26" s="1"/>
      <c r="R26" s="1"/>
      <c r="S26" s="1"/>
      <c r="V26" s="4"/>
      <c r="Y26" s="1">
        <f t="shared" si="7"/>
        <v>0.26323347606359088</v>
      </c>
      <c r="Z26" s="1">
        <f t="shared" si="16"/>
        <v>2.9408809423664759</v>
      </c>
      <c r="AA26" s="1">
        <f t="shared" si="16"/>
        <v>2.324537178282696</v>
      </c>
      <c r="AB26" s="1">
        <f t="shared" si="17"/>
        <v>10.397946382950483</v>
      </c>
      <c r="AC26" s="1">
        <f t="shared" si="17"/>
        <v>3.3766886060097958</v>
      </c>
      <c r="AD26" s="1">
        <f t="shared" si="3"/>
        <v>10.932488962933803</v>
      </c>
      <c r="AE26" s="1">
        <f t="shared" si="0"/>
        <v>0.2557530559760644</v>
      </c>
      <c r="AF26" s="1">
        <f t="shared" si="4"/>
        <v>0.25345183358563861</v>
      </c>
      <c r="AG26" s="1">
        <f t="shared" si="1"/>
        <v>-4.8913063085832142</v>
      </c>
      <c r="AH26" s="1">
        <f t="shared" si="2"/>
        <v>-6.5339701439648596</v>
      </c>
      <c r="AI26" s="1" t="b">
        <f t="shared" si="10"/>
        <v>0</v>
      </c>
      <c r="AJ26" s="1">
        <f t="shared" si="11"/>
        <v>2.9408809423664759</v>
      </c>
      <c r="AK26" s="1">
        <f t="shared" si="12"/>
        <v>2.324537178282696</v>
      </c>
      <c r="AL26" s="1">
        <f t="shared" si="5"/>
        <v>2.9408809423664759</v>
      </c>
      <c r="AM26" s="1">
        <f t="shared" si="5"/>
        <v>2.324537178282696</v>
      </c>
      <c r="AN26" s="1"/>
      <c r="AP26" s="1">
        <f t="shared" si="13"/>
        <v>2.1000000000000005</v>
      </c>
      <c r="AQ26" s="1">
        <f t="shared" si="14"/>
        <v>1.6887109207708779</v>
      </c>
      <c r="AR26" s="1">
        <f t="shared" si="15"/>
        <v>19.832139077347215</v>
      </c>
      <c r="AS26" s="1" t="e">
        <f t="shared" si="6"/>
        <v>#N/A</v>
      </c>
      <c r="AT26" s="1" t="e">
        <f t="shared" si="6"/>
        <v>#N/A</v>
      </c>
    </row>
    <row r="27" spans="3:46" s="3" customFormat="1" ht="15" customHeight="1" x14ac:dyDescent="0.25">
      <c r="C27" s="224"/>
      <c r="D27" s="225"/>
      <c r="H27" s="1"/>
      <c r="I27" s="1"/>
      <c r="J27" s="1"/>
      <c r="K27" s="1"/>
      <c r="L27" s="1"/>
      <c r="M27" s="1"/>
      <c r="N27" s="1"/>
      <c r="O27" s="1"/>
      <c r="P27" s="1"/>
      <c r="Q27" s="1"/>
      <c r="R27" s="1"/>
      <c r="S27" s="1"/>
      <c r="V27" s="4"/>
      <c r="Y27" s="1">
        <f t="shared" si="7"/>
        <v>0.27576840349519044</v>
      </c>
      <c r="Z27" s="1">
        <f t="shared" si="16"/>
        <v>3.0712184457144236</v>
      </c>
      <c r="AA27" s="1">
        <f t="shared" si="16"/>
        <v>2.3668637249181379</v>
      </c>
      <c r="AB27" s="1">
        <f t="shared" si="17"/>
        <v>10.336634213326667</v>
      </c>
      <c r="AC27" s="1">
        <f t="shared" si="17"/>
        <v>3.2947857644149581</v>
      </c>
      <c r="AD27" s="1">
        <f t="shared" si="3"/>
        <v>10.849037749658116</v>
      </c>
      <c r="AE27" s="1">
        <f t="shared" si="0"/>
        <v>0.25772031826352759</v>
      </c>
      <c r="AF27" s="1">
        <f t="shared" si="4"/>
        <v>0.25463219095811657</v>
      </c>
      <c r="AG27" s="1">
        <f t="shared" si="1"/>
        <v>-4.8057973507198071</v>
      </c>
      <c r="AH27" s="1">
        <f t="shared" si="2"/>
        <v>-6.5373350298247281</v>
      </c>
      <c r="AI27" s="1" t="b">
        <f t="shared" si="10"/>
        <v>0</v>
      </c>
      <c r="AJ27" s="1">
        <f t="shared" si="11"/>
        <v>3.0712184457144236</v>
      </c>
      <c r="AK27" s="1">
        <f t="shared" si="12"/>
        <v>2.3668637249181379</v>
      </c>
      <c r="AL27" s="1">
        <f t="shared" si="5"/>
        <v>3.0712184457144236</v>
      </c>
      <c r="AM27" s="1">
        <f t="shared" si="5"/>
        <v>2.3668637249181379</v>
      </c>
      <c r="AN27" s="1"/>
      <c r="AP27" s="1">
        <f t="shared" si="13"/>
        <v>2.2000000000000006</v>
      </c>
      <c r="AQ27" s="1">
        <f t="shared" si="14"/>
        <v>1.709124910778016</v>
      </c>
      <c r="AR27" s="1">
        <f t="shared" si="15"/>
        <v>19.821984764341945</v>
      </c>
      <c r="AS27" s="1" t="e">
        <f t="shared" si="6"/>
        <v>#N/A</v>
      </c>
      <c r="AT27" s="1" t="e">
        <f t="shared" si="6"/>
        <v>#N/A</v>
      </c>
    </row>
    <row r="28" spans="3:46" s="3" customFormat="1" ht="15" customHeight="1" x14ac:dyDescent="0.25">
      <c r="C28" s="226"/>
      <c r="D28" s="227"/>
      <c r="H28" s="1"/>
      <c r="I28" s="1"/>
      <c r="J28" s="1"/>
      <c r="K28" s="1"/>
      <c r="L28" s="1"/>
      <c r="M28" s="1"/>
      <c r="N28" s="1"/>
      <c r="O28" s="1"/>
      <c r="P28" s="1"/>
      <c r="Q28" s="1"/>
      <c r="R28" s="1"/>
      <c r="S28" s="1"/>
      <c r="V28" s="4"/>
      <c r="Y28" s="1">
        <f t="shared" si="7"/>
        <v>0.28830333092679</v>
      </c>
      <c r="Z28" s="1">
        <f t="shared" si="16"/>
        <v>3.2007874054654626</v>
      </c>
      <c r="AA28" s="1">
        <f t="shared" si="16"/>
        <v>2.4081636253777465</v>
      </c>
      <c r="AB28" s="1">
        <f t="shared" si="17"/>
        <v>10.276393892284421</v>
      </c>
      <c r="AC28" s="1">
        <f t="shared" si="17"/>
        <v>3.2128407442200513</v>
      </c>
      <c r="AD28" s="1">
        <f t="shared" si="3"/>
        <v>10.76692235864553</v>
      </c>
      <c r="AE28" s="1">
        <f t="shared" si="0"/>
        <v>0.25968585716138215</v>
      </c>
      <c r="AF28" s="1">
        <f t="shared" si="4"/>
        <v>0.2558115142968293</v>
      </c>
      <c r="AG28" s="1">
        <f t="shared" si="1"/>
        <v>-4.7216266102346935</v>
      </c>
      <c r="AH28" s="1">
        <f t="shared" si="2"/>
        <v>-6.5404184588248011</v>
      </c>
      <c r="AI28" s="1" t="b">
        <f t="shared" si="10"/>
        <v>0</v>
      </c>
      <c r="AJ28" s="1">
        <f t="shared" si="11"/>
        <v>3.2007874054654626</v>
      </c>
      <c r="AK28" s="1">
        <f t="shared" si="12"/>
        <v>2.4081636253777465</v>
      </c>
      <c r="AL28" s="1">
        <f t="shared" si="5"/>
        <v>3.2007874054654626</v>
      </c>
      <c r="AM28" s="1">
        <f t="shared" si="5"/>
        <v>2.4081636253777465</v>
      </c>
      <c r="AN28" s="1"/>
      <c r="AP28" s="1">
        <f t="shared" si="13"/>
        <v>2.3000000000000007</v>
      </c>
      <c r="AQ28" s="1">
        <f t="shared" si="14"/>
        <v>1.7292790863668808</v>
      </c>
      <c r="AR28" s="1">
        <f t="shared" si="15"/>
        <v>19.811953764708885</v>
      </c>
      <c r="AS28" s="1" t="e">
        <f t="shared" si="6"/>
        <v>#N/A</v>
      </c>
      <c r="AT28" s="1" t="e">
        <f t="shared" si="6"/>
        <v>#N/A</v>
      </c>
    </row>
    <row r="29" spans="3:46" s="3" customFormat="1" ht="15" customHeight="1" x14ac:dyDescent="0.25">
      <c r="H29" s="1"/>
      <c r="I29" s="1"/>
      <c r="J29" s="1"/>
      <c r="K29" s="1"/>
      <c r="L29" s="1"/>
      <c r="M29" s="1"/>
      <c r="N29" s="1"/>
      <c r="O29" s="1"/>
      <c r="P29" s="1"/>
      <c r="Q29" s="1"/>
      <c r="R29" s="1"/>
      <c r="S29" s="1"/>
      <c r="V29" s="4"/>
      <c r="Y29" s="1">
        <f t="shared" si="7"/>
        <v>0.30083825835838957</v>
      </c>
      <c r="Z29" s="1">
        <f t="shared" si="16"/>
        <v>3.3296012571637807</v>
      </c>
      <c r="AA29" s="1">
        <f t="shared" si="16"/>
        <v>2.4484363509558311</v>
      </c>
      <c r="AB29" s="1">
        <f t="shared" si="17"/>
        <v>10.21720864536602</v>
      </c>
      <c r="AC29" s="1">
        <f t="shared" si="17"/>
        <v>3.1308570734663883</v>
      </c>
      <c r="AD29" s="1">
        <f t="shared" si="3"/>
        <v>10.686141423236764</v>
      </c>
      <c r="AE29" s="1">
        <f t="shared" si="0"/>
        <v>0.26164892929594219</v>
      </c>
      <c r="AF29" s="1">
        <f t="shared" si="4"/>
        <v>0.2569893575775653</v>
      </c>
      <c r="AG29" s="1">
        <f t="shared" si="1"/>
        <v>-4.6387693536434318</v>
      </c>
      <c r="AH29" s="1">
        <f t="shared" si="2"/>
        <v>-6.543226694220456</v>
      </c>
      <c r="AI29" s="1" t="b">
        <f t="shared" si="10"/>
        <v>0</v>
      </c>
      <c r="AJ29" s="1">
        <f t="shared" si="11"/>
        <v>3.3296012571637807</v>
      </c>
      <c r="AK29" s="1">
        <f t="shared" si="12"/>
        <v>2.4484363509558311</v>
      </c>
      <c r="AL29" s="1">
        <f t="shared" si="5"/>
        <v>3.3296012571637807</v>
      </c>
      <c r="AM29" s="1">
        <f t="shared" si="5"/>
        <v>2.4484363509558311</v>
      </c>
      <c r="AN29" s="1"/>
      <c r="AP29" s="1">
        <f t="shared" si="13"/>
        <v>2.4000000000000008</v>
      </c>
      <c r="AQ29" s="1">
        <f t="shared" si="14"/>
        <v>1.7491734475374734</v>
      </c>
      <c r="AR29" s="1">
        <f t="shared" si="15"/>
        <v>19.802046265846382</v>
      </c>
      <c r="AS29" s="1" t="e">
        <f t="shared" si="6"/>
        <v>#N/A</v>
      </c>
      <c r="AT29" s="1" t="e">
        <f t="shared" si="6"/>
        <v>#N/A</v>
      </c>
    </row>
    <row r="30" spans="3:46" s="3" customFormat="1" ht="14.45" customHeight="1" x14ac:dyDescent="0.25">
      <c r="H30" s="1"/>
      <c r="I30" s="1"/>
      <c r="J30" s="1"/>
      <c r="K30" s="1"/>
      <c r="L30" s="1"/>
      <c r="M30" s="1"/>
      <c r="N30" s="1"/>
      <c r="O30" s="1"/>
      <c r="P30" s="1"/>
      <c r="Q30" s="1"/>
      <c r="R30" s="1"/>
      <c r="S30" s="1"/>
      <c r="V30" s="4"/>
      <c r="Y30" s="1">
        <f t="shared" si="7"/>
        <v>0.31337318578998913</v>
      </c>
      <c r="Z30" s="1">
        <f t="shared" si="16"/>
        <v>3.4576732260869556</v>
      </c>
      <c r="AA30" s="1">
        <f t="shared" si="16"/>
        <v>2.4876814171704424</v>
      </c>
      <c r="AB30" s="1">
        <f t="shared" si="17"/>
        <v>10.15906200814617</v>
      </c>
      <c r="AC30" s="1">
        <f t="shared" si="17"/>
        <v>3.0488382016858298</v>
      </c>
      <c r="AD30" s="1">
        <f t="shared" si="3"/>
        <v>10.606693889493455</v>
      </c>
      <c r="AE30" s="1">
        <f t="shared" si="0"/>
        <v>0.26360876356246432</v>
      </c>
      <c r="AF30" s="1">
        <f t="shared" si="4"/>
        <v>0.25816525813747859</v>
      </c>
      <c r="AG30" s="1">
        <f t="shared" si="1"/>
        <v>-4.5572014449684932</v>
      </c>
      <c r="AH30" s="1">
        <f t="shared" si="2"/>
        <v>-6.5457655772846337</v>
      </c>
      <c r="AI30" s="1" t="b">
        <f t="shared" si="10"/>
        <v>0</v>
      </c>
      <c r="AJ30" s="1">
        <f t="shared" si="11"/>
        <v>3.4576732260869556</v>
      </c>
      <c r="AK30" s="1">
        <f t="shared" si="12"/>
        <v>2.4876814171704424</v>
      </c>
      <c r="AL30" s="1">
        <f t="shared" si="5"/>
        <v>3.4576732260869556</v>
      </c>
      <c r="AM30" s="1">
        <f t="shared" si="5"/>
        <v>2.4876814171704424</v>
      </c>
      <c r="AN30" s="1"/>
      <c r="AP30" s="1">
        <f t="shared" si="13"/>
        <v>2.5000000000000009</v>
      </c>
      <c r="AQ30" s="1">
        <f t="shared" si="14"/>
        <v>1.768807994289793</v>
      </c>
      <c r="AR30" s="1">
        <f t="shared" si="15"/>
        <v>19.792262453218314</v>
      </c>
      <c r="AS30" s="1" t="e">
        <f t="shared" si="6"/>
        <v>#N/A</v>
      </c>
      <c r="AT30" s="1" t="e">
        <f t="shared" si="6"/>
        <v>#N/A</v>
      </c>
    </row>
    <row r="31" spans="3:46" s="3" customFormat="1" ht="18.75" customHeight="1" x14ac:dyDescent="0.25">
      <c r="C31" s="228" t="s">
        <v>384</v>
      </c>
      <c r="D31" s="228"/>
      <c r="H31" s="1"/>
      <c r="I31" s="1"/>
      <c r="J31" s="1"/>
      <c r="K31" s="1"/>
      <c r="L31" s="1"/>
      <c r="M31" s="1"/>
      <c r="N31" s="1"/>
      <c r="O31" s="1"/>
      <c r="P31" s="1"/>
      <c r="Q31" s="1"/>
      <c r="R31" s="1"/>
      <c r="S31" s="1"/>
      <c r="V31" s="4"/>
      <c r="Y31" s="1">
        <f t="shared" si="7"/>
        <v>0.32590811322158869</v>
      </c>
      <c r="Z31" s="1">
        <f t="shared" si="16"/>
        <v>3.5850163311321879</v>
      </c>
      <c r="AA31" s="1">
        <f t="shared" si="16"/>
        <v>2.5258983827792627</v>
      </c>
      <c r="AB31" s="1">
        <f t="shared" si="17"/>
        <v>10.101937818742309</v>
      </c>
      <c r="AC31" s="1">
        <f t="shared" si="17"/>
        <v>2.9667875051903043</v>
      </c>
      <c r="AD31" s="1">
        <f t="shared" si="3"/>
        <v>10.528579001683438</v>
      </c>
      <c r="AE31" s="1">
        <f t="shared" si="0"/>
        <v>0.26556456111008464</v>
      </c>
      <c r="AF31" s="1">
        <f t="shared" si="4"/>
        <v>0.25933873666605078</v>
      </c>
      <c r="AG31" s="1">
        <f t="shared" si="1"/>
        <v>-4.4768993259772216</v>
      </c>
      <c r="AH31" s="1">
        <f t="shared" si="2"/>
        <v>-6.5480405383535443</v>
      </c>
      <c r="AI31" s="1" t="b">
        <f t="shared" si="10"/>
        <v>0</v>
      </c>
      <c r="AJ31" s="1">
        <f t="shared" si="11"/>
        <v>3.5850163311321879</v>
      </c>
      <c r="AK31" s="1">
        <f t="shared" si="12"/>
        <v>2.5258983827792627</v>
      </c>
      <c r="AL31" s="1">
        <f t="shared" si="5"/>
        <v>3.5850163311321879</v>
      </c>
      <c r="AM31" s="1">
        <f t="shared" si="5"/>
        <v>2.5258983827792627</v>
      </c>
      <c r="AN31" s="1"/>
      <c r="AP31" s="1">
        <f t="shared" si="13"/>
        <v>2.600000000000001</v>
      </c>
      <c r="AQ31" s="1">
        <f t="shared" si="14"/>
        <v>1.7881827266238404</v>
      </c>
      <c r="AR31" s="1">
        <f t="shared" si="15"/>
        <v>19.782602510337963</v>
      </c>
      <c r="AS31" s="1" t="e">
        <f t="shared" si="6"/>
        <v>#N/A</v>
      </c>
      <c r="AT31" s="1" t="e">
        <f t="shared" si="6"/>
        <v>#N/A</v>
      </c>
    </row>
    <row r="32" spans="3:46" s="3" customFormat="1" ht="14.45" customHeight="1" x14ac:dyDescent="0.25">
      <c r="C32" s="162" t="str">
        <f>"Ball Diameter (" &amp; IF($B$4, "mm", "in") &amp; ")"</f>
        <v>Ball Diameter (mm)</v>
      </c>
      <c r="D32" s="48">
        <v>177.99999999999997</v>
      </c>
      <c r="F32" s="229" t="s">
        <v>385</v>
      </c>
      <c r="G32" s="230"/>
      <c r="H32" s="1"/>
      <c r="I32" s="1"/>
      <c r="J32" s="1"/>
      <c r="K32" s="1"/>
      <c r="L32" s="1"/>
      <c r="M32" s="1"/>
      <c r="N32" s="1"/>
      <c r="O32" s="1"/>
      <c r="P32" s="1"/>
      <c r="Q32" s="1"/>
      <c r="R32" s="1"/>
      <c r="S32" s="1"/>
      <c r="Y32" s="1">
        <f t="shared" si="7"/>
        <v>0.33844304065318825</v>
      </c>
      <c r="Z32" s="1">
        <f t="shared" si="16"/>
        <v>3.7116433886086542</v>
      </c>
      <c r="AA32" s="1">
        <f t="shared" si="16"/>
        <v>2.5630868488617997</v>
      </c>
      <c r="AB32" s="1">
        <f t="shared" si="17"/>
        <v>10.045820210572607</v>
      </c>
      <c r="AC32" s="1">
        <f t="shared" si="17"/>
        <v>2.8847082922228706</v>
      </c>
      <c r="AD32" s="1">
        <f t="shared" si="3"/>
        <v>10.45179628745071</v>
      </c>
      <c r="AE32" s="1">
        <f t="shared" si="0"/>
        <v>0.26751549540360298</v>
      </c>
      <c r="AF32" s="1">
        <f t="shared" si="4"/>
        <v>0.26050929724216176</v>
      </c>
      <c r="AG32" s="1">
        <f t="shared" si="1"/>
        <v>-4.3978399969759341</v>
      </c>
      <c r="AH32" s="1">
        <f t="shared" si="2"/>
        <v>-6.550056607534497</v>
      </c>
      <c r="AI32" s="1" t="b">
        <f t="shared" si="10"/>
        <v>0</v>
      </c>
      <c r="AJ32" s="1">
        <f t="shared" si="11"/>
        <v>3.7116433886086542</v>
      </c>
      <c r="AK32" s="1">
        <f t="shared" si="12"/>
        <v>2.5630868488617997</v>
      </c>
      <c r="AL32" s="1">
        <f t="shared" si="5"/>
        <v>3.7116433886086542</v>
      </c>
      <c r="AM32" s="1">
        <f t="shared" si="5"/>
        <v>2.5630868488617997</v>
      </c>
      <c r="AN32" s="1"/>
      <c r="AP32" s="1">
        <f t="shared" si="13"/>
        <v>2.7000000000000011</v>
      </c>
      <c r="AQ32" s="1">
        <f t="shared" si="14"/>
        <v>1.8072976445396147</v>
      </c>
      <c r="AR32" s="1">
        <f t="shared" si="15"/>
        <v>19.7730666187514</v>
      </c>
      <c r="AS32" s="1" t="e">
        <f t="shared" si="6"/>
        <v>#N/A</v>
      </c>
      <c r="AT32" s="1" t="e">
        <f t="shared" si="6"/>
        <v>#N/A</v>
      </c>
    </row>
    <row r="33" spans="3:46" s="3" customFormat="1" ht="15" customHeight="1" x14ac:dyDescent="0.25">
      <c r="C33" s="162" t="str">
        <f>"Approx. Velocity (" &amp; IF($B$4, "m", "ft") &amp; "/s)"</f>
        <v>Approx. Velocity (m/s)</v>
      </c>
      <c r="D33" s="51">
        <v>20</v>
      </c>
      <c r="F33" s="231"/>
      <c r="G33" s="232"/>
      <c r="Y33" s="1">
        <f t="shared" si="7"/>
        <v>0.35097796808478782</v>
      </c>
      <c r="Z33" s="1">
        <f t="shared" si="16"/>
        <v>3.837567015939078</v>
      </c>
      <c r="AA33" s="1">
        <f t="shared" si="16"/>
        <v>2.5992464579661467</v>
      </c>
      <c r="AB33" s="1">
        <f t="shared" si="17"/>
        <v>9.9906936053547284</v>
      </c>
      <c r="AC33" s="1">
        <f t="shared" si="17"/>
        <v>2.8026038079745565</v>
      </c>
      <c r="AD33" s="1">
        <f t="shared" si="3"/>
        <v>10.376345542653702</v>
      </c>
      <c r="AE33" s="1">
        <f t="shared" si="0"/>
        <v>0.26946071236751112</v>
      </c>
      <c r="AF33" s="1">
        <f t="shared" si="4"/>
        <v>0.26167642742050667</v>
      </c>
      <c r="AG33" s="1">
        <f t="shared" si="1"/>
        <v>-4.3200009981393324</v>
      </c>
      <c r="AH33" s="1">
        <f t="shared" si="2"/>
        <v>-6.5518184251056288</v>
      </c>
      <c r="AI33" s="1" t="b">
        <f t="shared" si="10"/>
        <v>0</v>
      </c>
      <c r="AJ33" s="1">
        <f t="shared" si="11"/>
        <v>3.837567015939078</v>
      </c>
      <c r="AK33" s="1">
        <f t="shared" si="12"/>
        <v>2.5992464579661467</v>
      </c>
      <c r="AL33" s="1">
        <f t="shared" si="5"/>
        <v>3.837567015939078</v>
      </c>
      <c r="AM33" s="1">
        <f t="shared" si="5"/>
        <v>2.5992464579661467</v>
      </c>
      <c r="AN33" s="1"/>
      <c r="AP33" s="1">
        <f t="shared" si="13"/>
        <v>2.8000000000000012</v>
      </c>
      <c r="AQ33" s="1">
        <f t="shared" si="14"/>
        <v>1.8261527480371167</v>
      </c>
      <c r="AR33" s="1">
        <f t="shared" si="15"/>
        <v>19.763654958021586</v>
      </c>
      <c r="AS33" s="1" t="e">
        <f t="shared" si="6"/>
        <v>#N/A</v>
      </c>
      <c r="AT33" s="1" t="e">
        <f t="shared" si="6"/>
        <v>#N/A</v>
      </c>
    </row>
    <row r="34" spans="3:46" s="3" customFormat="1" ht="15" customHeight="1" x14ac:dyDescent="0.25">
      <c r="F34" s="231"/>
      <c r="G34" s="232"/>
      <c r="Y34" s="1">
        <f t="shared" si="7"/>
        <v>0.36351289551638738</v>
      </c>
      <c r="Z34" s="1">
        <f t="shared" si="16"/>
        <v>3.9627996352735453</v>
      </c>
      <c r="AA34" s="1">
        <f t="shared" si="16"/>
        <v>2.6343768933186325</v>
      </c>
      <c r="AB34" s="1">
        <f t="shared" si="17"/>
        <v>9.9365427063386136</v>
      </c>
      <c r="AC34" s="1">
        <f t="shared" si="17"/>
        <v>2.7204772394708403</v>
      </c>
      <c r="AD34" s="1">
        <f t="shared" si="3"/>
        <v>10.302226815857336</v>
      </c>
      <c r="AE34" s="1">
        <f t="shared" si="0"/>
        <v>0.27139933061765292</v>
      </c>
      <c r="AF34" s="1">
        <f t="shared" si="4"/>
        <v>0.26283959837059179</v>
      </c>
      <c r="AG34" s="1">
        <f t="shared" si="1"/>
        <v>-4.2433603913559423</v>
      </c>
      <c r="AH34" s="1">
        <f t="shared" si="2"/>
        <v>-6.5533302516364493</v>
      </c>
      <c r="AI34" s="1" t="b">
        <f t="shared" si="10"/>
        <v>0</v>
      </c>
      <c r="AJ34" s="1">
        <f t="shared" si="11"/>
        <v>3.9627996352735453</v>
      </c>
      <c r="AK34" s="1">
        <f t="shared" si="12"/>
        <v>2.6343768933186325</v>
      </c>
      <c r="AL34" s="1">
        <f t="shared" si="5"/>
        <v>3.9627996352735453</v>
      </c>
      <c r="AM34" s="1">
        <f t="shared" si="5"/>
        <v>2.6343768933186325</v>
      </c>
      <c r="AN34" s="1"/>
      <c r="AP34" s="1">
        <f t="shared" si="13"/>
        <v>2.9000000000000012</v>
      </c>
      <c r="AQ34" s="1">
        <f t="shared" si="14"/>
        <v>1.8447480371163456</v>
      </c>
      <c r="AR34" s="1">
        <f t="shared" si="15"/>
        <v>19.754367705712042</v>
      </c>
      <c r="AS34" s="1" t="e">
        <f t="shared" si="6"/>
        <v>#N/A</v>
      </c>
      <c r="AT34" s="1" t="e">
        <f t="shared" si="6"/>
        <v>#N/A</v>
      </c>
    </row>
    <row r="35" spans="3:46" s="3" customFormat="1" ht="15" customHeight="1" x14ac:dyDescent="0.25">
      <c r="C35" s="162" t="s">
        <v>386</v>
      </c>
      <c r="D35" s="233">
        <f>1.225*D33*(D32/IF($B$4, 1000, 39.37))/0.0000185</f>
        <v>235729.72972972968</v>
      </c>
      <c r="F35" s="234"/>
      <c r="G35" s="235"/>
      <c r="Y35" s="1">
        <f t="shared" si="7"/>
        <v>0.37604782294798694</v>
      </c>
      <c r="Z35" s="1">
        <f t="shared" si="16"/>
        <v>4.0873534770184898</v>
      </c>
      <c r="AA35" s="1">
        <f t="shared" si="16"/>
        <v>2.6684778780947176</v>
      </c>
      <c r="AB35" s="1">
        <f t="shared" si="17"/>
        <v>9.8833524917668427</v>
      </c>
      <c r="AC35" s="1">
        <f t="shared" si="17"/>
        <v>2.6383317203312711</v>
      </c>
      <c r="AD35" s="1">
        <f t="shared" si="3"/>
        <v>10.229440392466248</v>
      </c>
      <c r="AE35" s="1">
        <f t="shared" si="0"/>
        <v>0.27333044178585947</v>
      </c>
      <c r="AF35" s="1">
        <f t="shared" si="4"/>
        <v>0.26399826507151569</v>
      </c>
      <c r="AG35" s="1">
        <f t="shared" si="1"/>
        <v>-4.167896742571692</v>
      </c>
      <c r="AH35" s="1">
        <f t="shared" si="2"/>
        <v>-6.5545959778572431</v>
      </c>
      <c r="AI35" s="1" t="b">
        <f t="shared" si="10"/>
        <v>0</v>
      </c>
      <c r="AJ35" s="1">
        <f t="shared" si="11"/>
        <v>4.0873534770184898</v>
      </c>
      <c r="AK35" s="1">
        <f t="shared" si="12"/>
        <v>2.6684778780947176</v>
      </c>
      <c r="AL35" s="1">
        <f t="shared" si="5"/>
        <v>4.0873534770184898</v>
      </c>
      <c r="AM35" s="1">
        <f t="shared" si="5"/>
        <v>2.6684778780947176</v>
      </c>
      <c r="AN35" s="1"/>
      <c r="AP35" s="1">
        <f t="shared" si="13"/>
        <v>3.0000000000000013</v>
      </c>
      <c r="AQ35" s="1">
        <f t="shared" si="14"/>
        <v>1.8630835117773024</v>
      </c>
      <c r="AR35" s="1">
        <f t="shared" si="15"/>
        <v>19.745205037371115</v>
      </c>
      <c r="AS35" s="1" t="e">
        <f t="shared" si="6"/>
        <v>#N/A</v>
      </c>
      <c r="AT35" s="1" t="e">
        <f t="shared" si="6"/>
        <v>#N/A</v>
      </c>
    </row>
    <row r="36" spans="3:46" s="3" customFormat="1" x14ac:dyDescent="0.25">
      <c r="Y36" s="1">
        <f t="shared" si="7"/>
        <v>0.38858275037958651</v>
      </c>
      <c r="Z36" s="1">
        <f t="shared" si="16"/>
        <v>4.2112405832837059</v>
      </c>
      <c r="AA36" s="1">
        <f t="shared" si="16"/>
        <v>2.7015491747495575</v>
      </c>
      <c r="AB36" s="1">
        <f t="shared" si="17"/>
        <v>9.8311082085563068</v>
      </c>
      <c r="AC36" s="1">
        <f t="shared" si="17"/>
        <v>2.5561703354053762</v>
      </c>
      <c r="AD36" s="1">
        <f t="shared" si="3"/>
        <v>10.15798677848862</v>
      </c>
      <c r="AE36" s="1">
        <f t="shared" si="0"/>
        <v>0.27525311094280902</v>
      </c>
      <c r="AF36" s="1">
        <f t="shared" si="4"/>
        <v>0.2651518665656854</v>
      </c>
      <c r="AG36" s="1">
        <f t="shared" si="1"/>
        <v>-4.0935891046151447</v>
      </c>
      <c r="AH36" s="1">
        <f t="shared" si="2"/>
        <v>-6.5556191343046208</v>
      </c>
      <c r="AI36" s="1" t="b">
        <f t="shared" si="10"/>
        <v>0</v>
      </c>
      <c r="AJ36" s="1">
        <f t="shared" si="11"/>
        <v>4.2112405832837059</v>
      </c>
      <c r="AK36" s="1">
        <f t="shared" si="12"/>
        <v>2.7015491747495575</v>
      </c>
      <c r="AL36" s="1">
        <f t="shared" si="5"/>
        <v>4.2112405832837059</v>
      </c>
      <c r="AM36" s="1">
        <f t="shared" si="5"/>
        <v>2.7015491747495575</v>
      </c>
      <c r="AN36" s="1"/>
      <c r="AP36" s="1">
        <f t="shared" si="13"/>
        <v>3.1000000000000014</v>
      </c>
      <c r="AQ36" s="1">
        <f t="shared" si="14"/>
        <v>1.8811591720199858</v>
      </c>
      <c r="AR36" s="1">
        <f t="shared" si="15"/>
        <v>19.736167126515959</v>
      </c>
      <c r="AS36" s="1" t="e">
        <f t="shared" si="6"/>
        <v>#N/A</v>
      </c>
      <c r="AT36" s="1" t="e">
        <f t="shared" si="6"/>
        <v>#N/A</v>
      </c>
    </row>
    <row r="37" spans="3:46" s="3" customFormat="1" x14ac:dyDescent="0.25">
      <c r="Y37" s="1">
        <f t="shared" si="7"/>
        <v>0.40111767781118607</v>
      </c>
      <c r="Z37" s="1">
        <f t="shared" si="16"/>
        <v>4.334472811250162</v>
      </c>
      <c r="AA37" s="1">
        <f t="shared" si="16"/>
        <v>2.7335905844066715</v>
      </c>
      <c r="AB37" s="1">
        <f t="shared" si="17"/>
        <v>9.7797953661951702</v>
      </c>
      <c r="AC37" s="1">
        <f t="shared" si="17"/>
        <v>2.4739961252876621</v>
      </c>
      <c r="AD37" s="1">
        <f t="shared" si="3"/>
        <v>10.087866683922369</v>
      </c>
      <c r="AE37" s="1">
        <f t="shared" si="0"/>
        <v>0.27716637712422326</v>
      </c>
      <c r="AF37" s="1">
        <f t="shared" si="4"/>
        <v>0.26629982627453397</v>
      </c>
      <c r="AG37" s="1">
        <f t="shared" si="1"/>
        <v>-4.020417000489318</v>
      </c>
      <c r="AH37" s="1">
        <f t="shared" si="2"/>
        <v>-6.5564029007696121</v>
      </c>
      <c r="AI37" s="1" t="b">
        <f t="shared" si="10"/>
        <v>0</v>
      </c>
      <c r="AJ37" s="1">
        <f t="shared" si="11"/>
        <v>4.334472811250162</v>
      </c>
      <c r="AK37" s="1">
        <f t="shared" si="12"/>
        <v>2.7335905844066715</v>
      </c>
      <c r="AL37" s="1">
        <f t="shared" si="5"/>
        <v>4.334472811250162</v>
      </c>
      <c r="AM37" s="1">
        <f t="shared" si="5"/>
        <v>2.7335905844066715</v>
      </c>
      <c r="AN37" s="1"/>
      <c r="AP37" s="1">
        <f t="shared" si="13"/>
        <v>3.2000000000000015</v>
      </c>
      <c r="AQ37" s="1">
        <f t="shared" si="14"/>
        <v>1.8989750178443972</v>
      </c>
      <c r="AR37" s="1">
        <f t="shared" si="15"/>
        <v>19.727254144617092</v>
      </c>
      <c r="AS37" s="1" t="e">
        <f t="shared" si="6"/>
        <v>#N/A</v>
      </c>
      <c r="AT37" s="1" t="e">
        <f t="shared" si="6"/>
        <v>#N/A</v>
      </c>
    </row>
    <row r="38" spans="3:46" s="3" customFormat="1" x14ac:dyDescent="0.25">
      <c r="Y38" s="1">
        <f t="shared" si="7"/>
        <v>0.41365260524278563</v>
      </c>
      <c r="Z38" s="1">
        <f t="shared" si="16"/>
        <v>4.4570618364613122</v>
      </c>
      <c r="AA38" s="1">
        <f t="shared" si="16"/>
        <v>2.7646019463032108</v>
      </c>
      <c r="AB38" s="1">
        <f t="shared" si="17"/>
        <v>9.7293997308492681</v>
      </c>
      <c r="AC38" s="1">
        <f t="shared" si="17"/>
        <v>2.3918120907141862</v>
      </c>
      <c r="AD38" s="1">
        <f t="shared" si="3"/>
        <v>10.019081005757783</v>
      </c>
      <c r="AE38" s="1">
        <f t="shared" si="0"/>
        <v>0.27906925396531823</v>
      </c>
      <c r="AF38" s="1">
        <f t="shared" si="4"/>
        <v>0.26744155237919093</v>
      </c>
      <c r="AG38" s="1">
        <f t="shared" si="1"/>
        <v>-3.9483604071163483</v>
      </c>
      <c r="AH38" s="1">
        <f t="shared" si="2"/>
        <v>-6.5569501155739136</v>
      </c>
      <c r="AI38" s="1" t="b">
        <f t="shared" si="10"/>
        <v>0</v>
      </c>
      <c r="AJ38" s="1">
        <f t="shared" si="11"/>
        <v>4.4570618364613122</v>
      </c>
      <c r="AK38" s="1">
        <f t="shared" si="12"/>
        <v>2.7646019463032108</v>
      </c>
      <c r="AL38" s="1">
        <f t="shared" si="5"/>
        <v>4.4570618364613122</v>
      </c>
      <c r="AM38" s="1">
        <f t="shared" si="5"/>
        <v>2.7646019463032108</v>
      </c>
      <c r="AN38" s="1"/>
      <c r="AP38" s="1">
        <f t="shared" si="13"/>
        <v>3.3000000000000016</v>
      </c>
      <c r="AQ38" s="1">
        <f t="shared" si="14"/>
        <v>1.9165310492505354</v>
      </c>
      <c r="AR38" s="1">
        <f t="shared" si="15"/>
        <v>19.71846626108259</v>
      </c>
      <c r="AS38" s="1" t="e">
        <f t="shared" si="6"/>
        <v>#N/A</v>
      </c>
      <c r="AT38" s="1" t="e">
        <f t="shared" si="6"/>
        <v>#N/A</v>
      </c>
    </row>
    <row r="39" spans="3:46" s="3" customFormat="1" x14ac:dyDescent="0.25">
      <c r="Y39" s="1">
        <f t="shared" si="7"/>
        <v>0.42618753267438519</v>
      </c>
      <c r="Z39" s="1">
        <f t="shared" ref="Z39:AA54" si="18">Z38+AB38*$V$4</f>
        <v>4.5790191560405322</v>
      </c>
      <c r="AA39" s="1">
        <f t="shared" si="18"/>
        <v>2.7945831372903354</v>
      </c>
      <c r="AB39" s="1">
        <f t="shared" ref="AB39:AC54" si="19">AB38+AG38*$V$4</f>
        <v>9.6799073196722638</v>
      </c>
      <c r="AC39" s="1">
        <f t="shared" si="19"/>
        <v>2.3096211968428486</v>
      </c>
      <c r="AD39" s="1">
        <f t="shared" si="3"/>
        <v>9.9516308105933309</v>
      </c>
      <c r="AE39" s="1">
        <f t="shared" si="0"/>
        <v>0.28096073044817993</v>
      </c>
      <c r="AF39" s="1">
        <f t="shared" si="4"/>
        <v>0.26857643826890798</v>
      </c>
      <c r="AG39" s="1">
        <f t="shared" si="1"/>
        <v>-3.8773997395226041</v>
      </c>
      <c r="AH39" s="1">
        <f t="shared" si="2"/>
        <v>-6.5572632846990535</v>
      </c>
      <c r="AI39" s="1" t="b">
        <f t="shared" si="10"/>
        <v>0</v>
      </c>
      <c r="AJ39" s="1">
        <f t="shared" si="11"/>
        <v>4.5790191560405322</v>
      </c>
      <c r="AK39" s="1">
        <f t="shared" si="12"/>
        <v>2.7945831372903354</v>
      </c>
      <c r="AL39" s="1">
        <f t="shared" si="5"/>
        <v>4.5790191560405322</v>
      </c>
      <c r="AM39" s="1">
        <f t="shared" si="5"/>
        <v>2.7945831372903354</v>
      </c>
      <c r="AN39" s="1"/>
      <c r="AP39" s="1">
        <f t="shared" si="13"/>
        <v>3.4000000000000017</v>
      </c>
      <c r="AQ39" s="1">
        <f t="shared" si="14"/>
        <v>1.9338272662384015</v>
      </c>
      <c r="AR39" s="1">
        <f t="shared" si="15"/>
        <v>19.709803643242918</v>
      </c>
      <c r="AS39" s="1" t="e">
        <f t="shared" si="6"/>
        <v>#N/A</v>
      </c>
      <c r="AT39" s="1" t="e">
        <f t="shared" si="6"/>
        <v>#N/A</v>
      </c>
    </row>
    <row r="40" spans="3:46" s="3" customFormat="1" x14ac:dyDescent="0.25">
      <c r="Y40" s="1">
        <f t="shared" si="7"/>
        <v>0.43872246010598476</v>
      </c>
      <c r="Z40" s="1">
        <f t="shared" si="18"/>
        <v>4.7003560918372331</v>
      </c>
      <c r="AA40" s="1">
        <f t="shared" si="18"/>
        <v>2.8235340713872445</v>
      </c>
      <c r="AB40" s="1">
        <f t="shared" si="19"/>
        <v>9.6313043953140447</v>
      </c>
      <c r="AC40" s="1">
        <f t="shared" si="19"/>
        <v>2.2274263774192535</v>
      </c>
      <c r="AD40" s="1">
        <f t="shared" si="3"/>
        <v>9.8855173168640338</v>
      </c>
      <c r="AE40" s="1">
        <f t="shared" si="0"/>
        <v>0.28283977176643005</v>
      </c>
      <c r="AF40" s="1">
        <f t="shared" si="4"/>
        <v>0.26970386305985805</v>
      </c>
      <c r="AG40" s="1">
        <f t="shared" si="1"/>
        <v>-3.8075158354531276</v>
      </c>
      <c r="AH40" s="1">
        <f t="shared" si="2"/>
        <v>-6.5573445907923498</v>
      </c>
      <c r="AI40" s="1" t="b">
        <f t="shared" si="10"/>
        <v>0</v>
      </c>
      <c r="AJ40" s="1">
        <f t="shared" si="11"/>
        <v>4.7003560918372331</v>
      </c>
      <c r="AK40" s="1">
        <f t="shared" si="12"/>
        <v>2.8235340713872445</v>
      </c>
      <c r="AL40" s="1">
        <f t="shared" si="5"/>
        <v>4.7003560918372331</v>
      </c>
      <c r="AM40" s="1">
        <f t="shared" si="5"/>
        <v>2.8235340713872445</v>
      </c>
      <c r="AN40" s="1"/>
      <c r="AP40" s="1">
        <f t="shared" si="13"/>
        <v>3.5000000000000018</v>
      </c>
      <c r="AQ40" s="1">
        <f t="shared" si="14"/>
        <v>1.9508636688079946</v>
      </c>
      <c r="AR40" s="1">
        <f t="shared" si="15"/>
        <v>19.701266456335443</v>
      </c>
      <c r="AS40" s="1" t="e">
        <f t="shared" si="6"/>
        <v>#N/A</v>
      </c>
      <c r="AT40" s="1" t="e">
        <f t="shared" si="6"/>
        <v>#N/A</v>
      </c>
    </row>
    <row r="41" spans="3:46" s="3" customFormat="1" x14ac:dyDescent="0.25">
      <c r="Y41" s="1">
        <f t="shared" si="7"/>
        <v>0.45125738753758432</v>
      </c>
      <c r="Z41" s="1">
        <f t="shared" si="18"/>
        <v>4.8210837935041404</v>
      </c>
      <c r="AA41" s="1">
        <f t="shared" si="18"/>
        <v>2.8514546993874257</v>
      </c>
      <c r="AB41" s="1">
        <f t="shared" si="19"/>
        <v>9.5835774606219744</v>
      </c>
      <c r="AC41" s="1">
        <f t="shared" si="19"/>
        <v>2.1452305388296793</v>
      </c>
      <c r="AD41" s="1">
        <f t="shared" si="3"/>
        <v>9.8207418766847248</v>
      </c>
      <c r="AE41" s="1">
        <f t="shared" si="0"/>
        <v>0.28470532031117712</v>
      </c>
      <c r="AF41" s="1">
        <f t="shared" si="4"/>
        <v>0.27082319218670625</v>
      </c>
      <c r="AG41" s="1">
        <f t="shared" si="1"/>
        <v>-3.7386899404055685</v>
      </c>
      <c r="AH41" s="1">
        <f t="shared" si="2"/>
        <v>-6.5571959020726993</v>
      </c>
      <c r="AI41" s="1" t="b">
        <f t="shared" si="10"/>
        <v>0</v>
      </c>
      <c r="AJ41" s="1">
        <f t="shared" si="11"/>
        <v>4.8210837935041404</v>
      </c>
      <c r="AK41" s="1">
        <f t="shared" si="12"/>
        <v>2.8514546993874257</v>
      </c>
      <c r="AL41" s="1">
        <f t="shared" si="5"/>
        <v>4.8210837935041404</v>
      </c>
      <c r="AM41" s="1">
        <f t="shared" si="5"/>
        <v>2.8514546993874257</v>
      </c>
      <c r="AN41" s="1"/>
      <c r="AP41" s="1">
        <f t="shared" si="13"/>
        <v>3.6000000000000019</v>
      </c>
      <c r="AQ41" s="1">
        <f t="shared" si="14"/>
        <v>1.9676402569593152</v>
      </c>
      <c r="AR41" s="1">
        <f t="shared" si="15"/>
        <v>19.69285486348954</v>
      </c>
      <c r="AS41" s="1" t="e">
        <f t="shared" si="6"/>
        <v>#N/A</v>
      </c>
      <c r="AT41" s="1" t="e">
        <f t="shared" si="6"/>
        <v>#N/A</v>
      </c>
    </row>
    <row r="42" spans="3:46" s="3" customFormat="1" x14ac:dyDescent="0.25">
      <c r="Y42" s="1">
        <f t="shared" si="7"/>
        <v>0.46379231496918388</v>
      </c>
      <c r="Z42" s="1">
        <f t="shared" si="18"/>
        <v>4.9412132415081498</v>
      </c>
      <c r="AA42" s="1">
        <f t="shared" si="18"/>
        <v>2.8783450085157067</v>
      </c>
      <c r="AB42" s="1">
        <f t="shared" si="19"/>
        <v>9.5367132535297401</v>
      </c>
      <c r="AC42" s="1">
        <f t="shared" si="19"/>
        <v>2.0630365640424158</v>
      </c>
      <c r="AD42" s="1">
        <f t="shared" si="3"/>
        <v>9.7573059573135108</v>
      </c>
      <c r="AE42" s="1">
        <f t="shared" si="0"/>
        <v>0.28655629678181638</v>
      </c>
      <c r="AF42" s="1">
        <f t="shared" si="4"/>
        <v>0.2719337780690898</v>
      </c>
      <c r="AG42" s="1">
        <f t="shared" si="1"/>
        <v>-3.6709036930749788</v>
      </c>
      <c r="AH42" s="1">
        <f t="shared" si="2"/>
        <v>-6.5568187811582774</v>
      </c>
      <c r="AI42" s="1" t="b">
        <f t="shared" si="10"/>
        <v>0</v>
      </c>
      <c r="AJ42" s="1">
        <f t="shared" si="11"/>
        <v>4.9412132415081498</v>
      </c>
      <c r="AK42" s="1">
        <f t="shared" si="12"/>
        <v>2.8783450085157067</v>
      </c>
      <c r="AL42" s="1">
        <f t="shared" si="5"/>
        <v>4.9412132415081498</v>
      </c>
      <c r="AM42" s="1">
        <f t="shared" si="5"/>
        <v>2.8783450085157067</v>
      </c>
      <c r="AN42" s="1"/>
      <c r="AP42" s="1">
        <f t="shared" si="13"/>
        <v>3.700000000000002</v>
      </c>
      <c r="AQ42" s="1">
        <f t="shared" si="14"/>
        <v>1.9841570306923628</v>
      </c>
      <c r="AR42" s="1">
        <f t="shared" si="15"/>
        <v>19.684569025711387</v>
      </c>
      <c r="AS42" s="1" t="e">
        <f t="shared" si="6"/>
        <v>#N/A</v>
      </c>
      <c r="AT42" s="1" t="e">
        <f t="shared" si="6"/>
        <v>#N/A</v>
      </c>
    </row>
    <row r="43" spans="3:46" s="3" customFormat="1" x14ac:dyDescent="0.25">
      <c r="Y43" s="1">
        <f t="shared" si="7"/>
        <v>0.47632724240078345</v>
      </c>
      <c r="Z43" s="1">
        <f t="shared" si="18"/>
        <v>5.0607552500771185</v>
      </c>
      <c r="AA43" s="1">
        <f t="shared" si="18"/>
        <v>2.9042050221347151</v>
      </c>
      <c r="AB43" s="1">
        <f t="shared" si="19"/>
        <v>9.4906987421286537</v>
      </c>
      <c r="AC43" s="1">
        <f t="shared" si="19"/>
        <v>1.9808473164384477</v>
      </c>
      <c r="AD43" s="1">
        <f t="shared" si="3"/>
        <v>9.6952111222440021</v>
      </c>
      <c r="AE43" s="1">
        <f t="shared" si="0"/>
        <v>0.28839160142474174</v>
      </c>
      <c r="AF43" s="1">
        <f t="shared" si="4"/>
        <v>0.27303496085484502</v>
      </c>
      <c r="AG43" s="1">
        <f t="shared" si="1"/>
        <v>-3.6041391112020786</v>
      </c>
      <c r="AH43" s="1">
        <f t="shared" si="2"/>
        <v>-6.5562144938372908</v>
      </c>
      <c r="AI43" s="1" t="b">
        <f t="shared" si="10"/>
        <v>0</v>
      </c>
      <c r="AJ43" s="1">
        <f t="shared" si="11"/>
        <v>5.0607552500771185</v>
      </c>
      <c r="AK43" s="1">
        <f t="shared" si="12"/>
        <v>2.9042050221347151</v>
      </c>
      <c r="AL43" s="1">
        <f t="shared" si="5"/>
        <v>5.0607552500771185</v>
      </c>
      <c r="AM43" s="1">
        <f t="shared" si="5"/>
        <v>2.9042050221347151</v>
      </c>
      <c r="AN43" s="1"/>
      <c r="AP43" s="1">
        <f t="shared" si="13"/>
        <v>3.800000000000002</v>
      </c>
      <c r="AQ43" s="1">
        <f t="shared" si="14"/>
        <v>2.000413990007138</v>
      </c>
      <c r="AR43" s="1">
        <f t="shared" si="15"/>
        <v>19.676409101869375</v>
      </c>
      <c r="AS43" s="1" t="e">
        <f t="shared" si="6"/>
        <v>#N/A</v>
      </c>
      <c r="AT43" s="1" t="e">
        <f t="shared" si="6"/>
        <v>#N/A</v>
      </c>
    </row>
    <row r="44" spans="3:46" s="3" customFormat="1" ht="15" customHeight="1" x14ac:dyDescent="0.25">
      <c r="Y44" s="1">
        <f>Y43+$V$4</f>
        <v>0.48886216983238301</v>
      </c>
      <c r="Z44" s="1">
        <f t="shared" si="18"/>
        <v>5.1797204700848747</v>
      </c>
      <c r="AA44" s="1">
        <f t="shared" si="18"/>
        <v>2.92903479949935</v>
      </c>
      <c r="AB44" s="1">
        <f t="shared" si="19"/>
        <v>9.4455211199163465</v>
      </c>
      <c r="AC44" s="1">
        <f t="shared" si="19"/>
        <v>1.898665643532196</v>
      </c>
      <c r="AD44" s="1">
        <f t="shared" si="3"/>
        <v>9.6344590119380999</v>
      </c>
      <c r="AE44" s="1">
        <f t="shared" si="0"/>
        <v>0.29021011540246916</v>
      </c>
      <c r="AF44" s="1">
        <f t="shared" si="4"/>
        <v>0.27412606924148153</v>
      </c>
      <c r="AG44" s="1">
        <f t="shared" si="1"/>
        <v>-3.5383785778186994</v>
      </c>
      <c r="AH44" s="1">
        <f t="shared" si="2"/>
        <v>-6.5553840178019405</v>
      </c>
      <c r="AI44" s="1" t="b">
        <f>OR(AA43&lt;0, Z43&gt;$V$6)</f>
        <v>0</v>
      </c>
      <c r="AJ44" s="1">
        <f t="shared" si="11"/>
        <v>5.1797204700848747</v>
      </c>
      <c r="AK44" s="1">
        <f t="shared" si="12"/>
        <v>2.92903479949935</v>
      </c>
      <c r="AL44" s="1">
        <f t="shared" si="5"/>
        <v>5.1797204700848747</v>
      </c>
      <c r="AM44" s="1">
        <f t="shared" si="5"/>
        <v>2.92903479949935</v>
      </c>
      <c r="AN44" s="1"/>
      <c r="AP44" s="1">
        <f t="shared" si="13"/>
        <v>3.9000000000000021</v>
      </c>
      <c r="AQ44" s="1">
        <f t="shared" si="14"/>
        <v>2.0164111349036404</v>
      </c>
      <c r="AR44" s="1">
        <f t="shared" si="15"/>
        <v>19.668375248679215</v>
      </c>
      <c r="AS44" s="1" t="e">
        <f t="shared" si="6"/>
        <v>#N/A</v>
      </c>
      <c r="AT44" s="1" t="e">
        <f t="shared" si="6"/>
        <v>#N/A</v>
      </c>
    </row>
    <row r="45" spans="3:46" s="3" customFormat="1" ht="15" customHeight="1" x14ac:dyDescent="0.25">
      <c r="Y45" s="1">
        <f t="shared" si="7"/>
        <v>0.50139709726398263</v>
      </c>
      <c r="Z45" s="1">
        <f t="shared" si="18"/>
        <v>5.2981193918766669</v>
      </c>
      <c r="AA45" s="1">
        <f t="shared" si="18"/>
        <v>2.9528344355578975</v>
      </c>
      <c r="AB45" s="1">
        <f t="shared" si="19"/>
        <v>9.4011678012178628</v>
      </c>
      <c r="AC45" s="1">
        <f t="shared" si="19"/>
        <v>1.8164943805827811</v>
      </c>
      <c r="AD45" s="1">
        <f t="shared" si="3"/>
        <v>9.5750513242146287</v>
      </c>
      <c r="AE45" s="1">
        <f t="shared" si="0"/>
        <v>0.29201070229503462</v>
      </c>
      <c r="AF45" s="1">
        <f t="shared" si="4"/>
        <v>0.27520642137702078</v>
      </c>
      <c r="AG45" s="1">
        <f t="shared" si="1"/>
        <v>-3.4736048278852665</v>
      </c>
      <c r="AH45" s="1">
        <f t="shared" si="2"/>
        <v>-6.5543280513647026</v>
      </c>
      <c r="AI45" s="1" t="b">
        <f t="shared" si="10"/>
        <v>0</v>
      </c>
      <c r="AJ45" s="1">
        <f t="shared" si="11"/>
        <v>5.2981193918766669</v>
      </c>
      <c r="AK45" s="1">
        <f t="shared" si="12"/>
        <v>2.9528344355578975</v>
      </c>
      <c r="AL45" s="1">
        <f t="shared" si="5"/>
        <v>5.2981193918766669</v>
      </c>
      <c r="AM45" s="1">
        <f t="shared" si="5"/>
        <v>2.9528344355578975</v>
      </c>
      <c r="AN45" s="1"/>
      <c r="AP45" s="1">
        <f t="shared" si="13"/>
        <v>4.0000000000000018</v>
      </c>
      <c r="AQ45" s="1">
        <f t="shared" si="14"/>
        <v>2.0321484653818702</v>
      </c>
      <c r="AR45" s="1">
        <f t="shared" si="15"/>
        <v>19.660467620689619</v>
      </c>
      <c r="AS45" s="1" t="e">
        <f t="shared" si="6"/>
        <v>#N/A</v>
      </c>
      <c r="AT45" s="1" t="e">
        <f t="shared" si="6"/>
        <v>#N/A</v>
      </c>
    </row>
    <row r="46" spans="3:46" s="3" customFormat="1" ht="15" customHeight="1" x14ac:dyDescent="0.25">
      <c r="Y46" s="1">
        <f t="shared" si="7"/>
        <v>0.51393202469558219</v>
      </c>
      <c r="Z46" s="1">
        <f t="shared" si="18"/>
        <v>5.4159623480372234</v>
      </c>
      <c r="AA46" s="1">
        <f t="shared" si="18"/>
        <v>2.9756040607984109</v>
      </c>
      <c r="AB46" s="1">
        <f t="shared" si="19"/>
        <v>9.3576264167742664</v>
      </c>
      <c r="AC46" s="1">
        <f t="shared" si="19"/>
        <v>1.734336354096027</v>
      </c>
      <c r="AD46" s="1">
        <f t="shared" si="3"/>
        <v>9.5169897943126269</v>
      </c>
      <c r="AE46" s="1">
        <f t="shared" si="0"/>
        <v>0.29379220973482822</v>
      </c>
      <c r="AF46" s="1">
        <f t="shared" si="4"/>
        <v>0.27627532584089692</v>
      </c>
      <c r="AG46" s="1">
        <f t="shared" si="1"/>
        <v>-3.4098009353162455</v>
      </c>
      <c r="AH46" s="1">
        <f t="shared" si="2"/>
        <v>-6.5530470221749146</v>
      </c>
      <c r="AI46" s="1" t="b">
        <f t="shared" si="10"/>
        <v>0</v>
      </c>
      <c r="AJ46" s="1">
        <f t="shared" si="11"/>
        <v>5.4159623480372234</v>
      </c>
      <c r="AK46" s="1">
        <f t="shared" si="12"/>
        <v>2.9756040607984109</v>
      </c>
      <c r="AL46" s="1">
        <f t="shared" si="5"/>
        <v>5.4159623480372234</v>
      </c>
      <c r="AM46" s="1">
        <f t="shared" si="5"/>
        <v>2.9756040607984109</v>
      </c>
      <c r="AN46" s="1"/>
      <c r="AP46" s="1">
        <f t="shared" si="13"/>
        <v>4.1000000000000014</v>
      </c>
      <c r="AQ46" s="1">
        <f t="shared" si="14"/>
        <v>2.0476259814418274</v>
      </c>
      <c r="AR46" s="1">
        <f t="shared" si="15"/>
        <v>19.65268637026783</v>
      </c>
      <c r="AS46" s="1" t="e">
        <f t="shared" si="6"/>
        <v>#N/A</v>
      </c>
      <c r="AT46" s="1" t="e">
        <f t="shared" si="6"/>
        <v>#N/A</v>
      </c>
    </row>
    <row r="47" spans="3:46" s="3" customFormat="1" ht="15" customHeight="1" x14ac:dyDescent="0.25">
      <c r="Y47" s="1">
        <f t="shared" si="7"/>
        <v>0.52646695212718175</v>
      </c>
      <c r="Z47" s="1">
        <f t="shared" si="18"/>
        <v>5.5332595161035076</v>
      </c>
      <c r="AA47" s="1">
        <f t="shared" si="18"/>
        <v>2.9973438411389894</v>
      </c>
      <c r="AB47" s="1">
        <f t="shared" si="19"/>
        <v>9.3148848094938774</v>
      </c>
      <c r="AC47" s="1">
        <f t="shared" si="19"/>
        <v>1.6521943852172047</v>
      </c>
      <c r="AD47" s="1">
        <f t="shared" si="3"/>
        <v>9.4602761746517245</v>
      </c>
      <c r="AE47" s="1">
        <f t="shared" si="0"/>
        <v>0.29555347117525871</v>
      </c>
      <c r="AF47" s="1">
        <f t="shared" si="4"/>
        <v>0.27733208270515519</v>
      </c>
      <c r="AG47" s="1">
        <f t="shared" si="1"/>
        <v>-3.3469503003904713</v>
      </c>
      <c r="AH47" s="1">
        <f t="shared" si="2"/>
        <v>-6.5515410959525724</v>
      </c>
      <c r="AI47" s="1" t="b">
        <f t="shared" si="10"/>
        <v>0</v>
      </c>
      <c r="AJ47" s="1">
        <f t="shared" si="11"/>
        <v>5.5332595161035076</v>
      </c>
      <c r="AK47" s="1">
        <f t="shared" si="12"/>
        <v>2.9973438411389894</v>
      </c>
      <c r="AL47" s="1">
        <f t="shared" si="5"/>
        <v>5.5332595161035076</v>
      </c>
      <c r="AM47" s="1">
        <f t="shared" si="5"/>
        <v>2.9973438411389894</v>
      </c>
      <c r="AN47" s="1"/>
      <c r="AP47" s="1">
        <f t="shared" si="13"/>
        <v>4.2000000000000011</v>
      </c>
      <c r="AQ47" s="1">
        <f t="shared" si="14"/>
        <v>2.062843683083512</v>
      </c>
      <c r="AR47" s="1">
        <f t="shared" si="15"/>
        <v>19.645031647585473</v>
      </c>
      <c r="AS47" s="1" t="e">
        <f t="shared" si="6"/>
        <v>#N/A</v>
      </c>
      <c r="AT47" s="1" t="e">
        <f t="shared" si="6"/>
        <v>#N/A</v>
      </c>
    </row>
    <row r="48" spans="3:46" s="3" customFormat="1" x14ac:dyDescent="0.25">
      <c r="Y48" s="1">
        <f>Y47+$V$4</f>
        <v>0.53900187955878132</v>
      </c>
      <c r="Z48" s="1">
        <f t="shared" si="18"/>
        <v>5.6500209212242227</v>
      </c>
      <c r="AA48" s="1">
        <f t="shared" si="18"/>
        <v>3.0180539778605833</v>
      </c>
      <c r="AB48" s="1">
        <f t="shared" si="19"/>
        <v>9.2729310303613133</v>
      </c>
      <c r="AC48" s="1">
        <f t="shared" si="19"/>
        <v>1.5700712930142968</v>
      </c>
      <c r="AD48" s="1">
        <f t="shared" si="3"/>
        <v>9.4049122143157362</v>
      </c>
      <c r="AE48" s="1">
        <f t="shared" si="0"/>
        <v>0.29729330779280883</v>
      </c>
      <c r="AF48" s="1">
        <f t="shared" si="4"/>
        <v>0.27837598467568531</v>
      </c>
      <c r="AG48" s="1">
        <f t="shared" si="1"/>
        <v>-3.2850366375442497</v>
      </c>
      <c r="AH48" s="1">
        <f t="shared" si="2"/>
        <v>-6.5498101852549722</v>
      </c>
      <c r="AI48" s="1" t="b">
        <f>OR(AA47&lt;0, Z47&gt;$V$6)</f>
        <v>0</v>
      </c>
      <c r="AJ48" s="1">
        <f t="shared" si="11"/>
        <v>5.6500209212242227</v>
      </c>
      <c r="AK48" s="1">
        <f t="shared" si="12"/>
        <v>3.0180539778605833</v>
      </c>
      <c r="AL48" s="1">
        <f t="shared" si="5"/>
        <v>5.6500209212242227</v>
      </c>
      <c r="AM48" s="1">
        <f t="shared" si="5"/>
        <v>3.0180539778605833</v>
      </c>
      <c r="AN48" s="1"/>
      <c r="AP48" s="1">
        <f t="shared" si="13"/>
        <v>4.3000000000000007</v>
      </c>
      <c r="AQ48" s="1">
        <f t="shared" si="14"/>
        <v>2.0778015703069239</v>
      </c>
      <c r="AR48" s="1">
        <f t="shared" si="15"/>
        <v>19.637503600604557</v>
      </c>
      <c r="AS48" s="1" t="e">
        <f t="shared" si="6"/>
        <v>#N/A</v>
      </c>
      <c r="AT48" s="1" t="e">
        <f t="shared" si="6"/>
        <v>#N/A</v>
      </c>
    </row>
    <row r="49" spans="25:46" s="3" customFormat="1" x14ac:dyDescent="0.25">
      <c r="Y49" s="1">
        <f t="shared" si="7"/>
        <v>0.55153680699038088</v>
      </c>
      <c r="Z49" s="1">
        <f t="shared" si="18"/>
        <v>5.7662564387680293</v>
      </c>
      <c r="AA49" s="1">
        <f t="shared" si="18"/>
        <v>3.0377347075809551</v>
      </c>
      <c r="AB49" s="1">
        <f t="shared" si="19"/>
        <v>9.231753334499551</v>
      </c>
      <c r="AC49" s="1">
        <f t="shared" si="19"/>
        <v>1.487969897651374</v>
      </c>
      <c r="AD49" s="1">
        <f t="shared" si="3"/>
        <v>9.3508996382893681</v>
      </c>
      <c r="AE49" s="1">
        <f t="shared" si="0"/>
        <v>0.29901053052114801</v>
      </c>
      <c r="AF49" s="1">
        <f t="shared" si="4"/>
        <v>0.27940631831268881</v>
      </c>
      <c r="AG49" s="1">
        <f t="shared" si="1"/>
        <v>-3.2240439635460367</v>
      </c>
      <c r="AH49" s="1">
        <f t="shared" si="2"/>
        <v>-6.5478539582906254</v>
      </c>
      <c r="AI49" s="1" t="b">
        <f t="shared" si="10"/>
        <v>0</v>
      </c>
      <c r="AJ49" s="1">
        <f t="shared" si="11"/>
        <v>5.7662564387680293</v>
      </c>
      <c r="AK49" s="1">
        <f t="shared" si="12"/>
        <v>3.0377347075809551</v>
      </c>
      <c r="AL49" s="1">
        <f t="shared" si="5"/>
        <v>5.7662564387680293</v>
      </c>
      <c r="AM49" s="1">
        <f t="shared" si="5"/>
        <v>3.0377347075809551</v>
      </c>
      <c r="AN49" s="1"/>
      <c r="AP49" s="1">
        <f t="shared" si="13"/>
        <v>4.4000000000000004</v>
      </c>
      <c r="AQ49" s="1">
        <f t="shared" si="14"/>
        <v>2.0924996431120633</v>
      </c>
      <c r="AR49" s="1">
        <f t="shared" si="15"/>
        <v>19.63010237506359</v>
      </c>
      <c r="AS49" s="1" t="e">
        <f t="shared" si="6"/>
        <v>#N/A</v>
      </c>
      <c r="AT49" s="1" t="e">
        <f t="shared" si="6"/>
        <v>#N/A</v>
      </c>
    </row>
    <row r="50" spans="25:46" s="3" customFormat="1" x14ac:dyDescent="0.25">
      <c r="Y50" s="1">
        <f t="shared" si="7"/>
        <v>0.56407173442198044</v>
      </c>
      <c r="Z50" s="1">
        <f t="shared" si="18"/>
        <v>5.8819757968824087</v>
      </c>
      <c r="AA50" s="1">
        <f t="shared" si="18"/>
        <v>3.0563863022684199</v>
      </c>
      <c r="AB50" s="1">
        <f t="shared" si="19"/>
        <v>9.1913401773802157</v>
      </c>
      <c r="AC50" s="1">
        <f t="shared" si="19"/>
        <v>1.405893023451489</v>
      </c>
      <c r="AD50" s="1">
        <f t="shared" si="3"/>
        <v>9.298240126481641</v>
      </c>
      <c r="AE50" s="1">
        <f t="shared" si="0"/>
        <v>0.30070394221501995</v>
      </c>
      <c r="AF50" s="1">
        <f t="shared" si="4"/>
        <v>0.28042236532901199</v>
      </c>
      <c r="AG50" s="1">
        <f t="shared" si="1"/>
        <v>-3.1639565860523033</v>
      </c>
      <c r="AH50" s="1">
        <f t="shared" si="2"/>
        <v>-6.5456718477934963</v>
      </c>
      <c r="AI50" s="1" t="b">
        <f t="shared" si="10"/>
        <v>0</v>
      </c>
      <c r="AJ50" s="1">
        <f t="shared" si="11"/>
        <v>5.8819757968824087</v>
      </c>
      <c r="AK50" s="1">
        <f t="shared" si="12"/>
        <v>3.0563863022684199</v>
      </c>
      <c r="AL50" s="1">
        <f t="shared" si="5"/>
        <v>5.8819757968824087</v>
      </c>
      <c r="AM50" s="1">
        <f t="shared" si="5"/>
        <v>3.0563863022684199</v>
      </c>
      <c r="AN50" s="1"/>
      <c r="AP50" s="1">
        <f t="shared" si="13"/>
        <v>4.5</v>
      </c>
      <c r="AQ50" s="1">
        <f t="shared" si="14"/>
        <v>2.1069379014989296</v>
      </c>
      <c r="AR50" s="1">
        <f t="shared" si="15"/>
        <v>19.622828114463907</v>
      </c>
      <c r="AS50" s="1" t="e">
        <f t="shared" si="6"/>
        <v>#N/A</v>
      </c>
      <c r="AT50" s="1" t="e">
        <f t="shared" si="6"/>
        <v>#N/A</v>
      </c>
    </row>
    <row r="51" spans="25:46" s="3" customFormat="1" x14ac:dyDescent="0.25">
      <c r="Y51" s="1">
        <f t="shared" si="7"/>
        <v>0.57660666185358</v>
      </c>
      <c r="Z51" s="1">
        <f t="shared" si="18"/>
        <v>5.997188579005015</v>
      </c>
      <c r="AA51" s="1">
        <f t="shared" si="18"/>
        <v>3.0740090692939765</v>
      </c>
      <c r="AB51" s="1">
        <f t="shared" si="19"/>
        <v>9.1516802111773181</v>
      </c>
      <c r="AC51" s="1">
        <f t="shared" si="19"/>
        <v>1.3238435018483332</v>
      </c>
      <c r="AD51" s="1">
        <f t="shared" si="3"/>
        <v>9.2469352925734594</v>
      </c>
      <c r="AE51" s="1">
        <f t="shared" si="0"/>
        <v>0.30237233994061746</v>
      </c>
      <c r="AF51" s="1">
        <f t="shared" si="4"/>
        <v>0.28142340396437049</v>
      </c>
      <c r="AG51" s="1">
        <f t="shared" si="1"/>
        <v>-3.1047590925449677</v>
      </c>
      <c r="AH51" s="1">
        <f t="shared" si="2"/>
        <v>-6.5432630599692931</v>
      </c>
      <c r="AI51" s="1" t="b">
        <f t="shared" si="10"/>
        <v>0</v>
      </c>
      <c r="AJ51" s="1">
        <f t="shared" si="11"/>
        <v>5.997188579005015</v>
      </c>
      <c r="AK51" s="1">
        <f t="shared" si="12"/>
        <v>3.0740090692939765</v>
      </c>
      <c r="AL51" s="1">
        <f t="shared" si="5"/>
        <v>5.997188579005015</v>
      </c>
      <c r="AM51" s="1">
        <f t="shared" si="5"/>
        <v>3.0740090692939765</v>
      </c>
      <c r="AN51" s="1"/>
      <c r="AP51" s="1">
        <f t="shared" si="13"/>
        <v>4.5999999999999996</v>
      </c>
      <c r="AQ51" s="1">
        <f t="shared" si="14"/>
        <v>2.1211163454675233</v>
      </c>
      <c r="AR51" s="1">
        <f t="shared" si="15"/>
        <v>19.615680960056206</v>
      </c>
      <c r="AS51" s="1" t="e">
        <f t="shared" si="6"/>
        <v>#N/A</v>
      </c>
      <c r="AT51" s="1" t="e">
        <f t="shared" si="6"/>
        <v>#N/A</v>
      </c>
    </row>
    <row r="52" spans="25:46" s="3" customFormat="1" x14ac:dyDescent="0.25">
      <c r="Y52" s="1">
        <f t="shared" si="7"/>
        <v>0.58914158928517957</v>
      </c>
      <c r="Z52" s="1">
        <f t="shared" si="18"/>
        <v>6.1119042263293286</v>
      </c>
      <c r="AA52" s="1">
        <f t="shared" si="18"/>
        <v>3.0906033515204401</v>
      </c>
      <c r="AB52" s="1">
        <f t="shared" si="19"/>
        <v>9.112762281259668</v>
      </c>
      <c r="AC52" s="1">
        <f t="shared" si="19"/>
        <v>1.2418241742257519</v>
      </c>
      <c r="AD52" s="1">
        <f t="shared" si="3"/>
        <v>9.1969866627303745</v>
      </c>
      <c r="AE52" s="1">
        <f t="shared" si="0"/>
        <v>0.30401451738811608</v>
      </c>
      <c r="AF52" s="1">
        <f t="shared" si="4"/>
        <v>0.28240871043286964</v>
      </c>
      <c r="AG52" s="1">
        <f t="shared" si="1"/>
        <v>-3.0464363396514682</v>
      </c>
      <c r="AH52" s="1">
        <f t="shared" si="2"/>
        <v>-6.5406265835240633</v>
      </c>
      <c r="AI52" s="1" t="b">
        <f t="shared" si="10"/>
        <v>0</v>
      </c>
      <c r="AJ52" s="1">
        <f t="shared" si="11"/>
        <v>6.1119042263293286</v>
      </c>
      <c r="AK52" s="1">
        <f t="shared" si="12"/>
        <v>3.0906033515204401</v>
      </c>
      <c r="AL52" s="1">
        <f t="shared" si="5"/>
        <v>6.1119042263293286</v>
      </c>
      <c r="AM52" s="1">
        <f t="shared" si="5"/>
        <v>3.0906033515204401</v>
      </c>
      <c r="AN52" s="1"/>
      <c r="AP52" s="1">
        <f t="shared" si="13"/>
        <v>4.6999999999999993</v>
      </c>
      <c r="AQ52" s="1">
        <f t="shared" si="14"/>
        <v>2.1350349750178443</v>
      </c>
      <c r="AR52" s="1">
        <f t="shared" si="15"/>
        <v>19.60866105082717</v>
      </c>
      <c r="AS52" s="1" t="e">
        <f t="shared" si="6"/>
        <v>#N/A</v>
      </c>
      <c r="AT52" s="1" t="e">
        <f t="shared" si="6"/>
        <v>#N/A</v>
      </c>
    </row>
    <row r="53" spans="25:46" s="3" customFormat="1" x14ac:dyDescent="0.25">
      <c r="Y53" s="1">
        <f t="shared" si="7"/>
        <v>0.60167651671677913</v>
      </c>
      <c r="Z53" s="1">
        <f t="shared" si="18"/>
        <v>6.2261320402263367</v>
      </c>
      <c r="AA53" s="1">
        <f t="shared" si="18"/>
        <v>3.1061695274271659</v>
      </c>
      <c r="AB53" s="1">
        <f t="shared" si="19"/>
        <v>9.0745754228171496</v>
      </c>
      <c r="AC53" s="1">
        <f t="shared" si="19"/>
        <v>1.1598378946440868</v>
      </c>
      <c r="AD53" s="1">
        <f t="shared" si="3"/>
        <v>9.1483956542253608</v>
      </c>
      <c r="AE53" s="1">
        <f t="shared" si="0"/>
        <v>0.3056292674009482</v>
      </c>
      <c r="AF53" s="1">
        <f t="shared" si="4"/>
        <v>0.28337756044056894</v>
      </c>
      <c r="AG53" s="1">
        <f t="shared" si="1"/>
        <v>-2.9889734428491437</v>
      </c>
      <c r="AH53" s="1">
        <f t="shared" si="2"/>
        <v>-6.5377611987838629</v>
      </c>
      <c r="AI53" s="1" t="b">
        <f t="shared" si="10"/>
        <v>0</v>
      </c>
      <c r="AJ53" s="1">
        <f t="shared" si="11"/>
        <v>6.2261320402263367</v>
      </c>
      <c r="AK53" s="1">
        <f t="shared" si="12"/>
        <v>3.1061695274271659</v>
      </c>
      <c r="AL53" s="1">
        <f t="shared" si="5"/>
        <v>6.2261320402263367</v>
      </c>
      <c r="AM53" s="1">
        <f t="shared" si="5"/>
        <v>3.1061695274271659</v>
      </c>
      <c r="AN53" s="1"/>
      <c r="AP53" s="1">
        <f t="shared" si="13"/>
        <v>4.7999999999999989</v>
      </c>
      <c r="AQ53" s="1">
        <f t="shared" si="14"/>
        <v>2.1486937901498928</v>
      </c>
      <c r="AR53" s="1">
        <f t="shared" si="15"/>
        <v>19.601768523486324</v>
      </c>
      <c r="AS53" s="1" t="e">
        <f t="shared" si="6"/>
        <v>#N/A</v>
      </c>
      <c r="AT53" s="1" t="e">
        <f t="shared" si="6"/>
        <v>#N/A</v>
      </c>
    </row>
    <row r="54" spans="25:46" s="3" customFormat="1" x14ac:dyDescent="0.25">
      <c r="Y54" s="1">
        <f t="shared" si="7"/>
        <v>0.61421144414837869</v>
      </c>
      <c r="Z54" s="1">
        <f t="shared" si="18"/>
        <v>6.3398811846239269</v>
      </c>
      <c r="AA54" s="1">
        <f t="shared" si="18"/>
        <v>3.1207080112689489</v>
      </c>
      <c r="AB54" s="1">
        <f t="shared" si="19"/>
        <v>9.0371088576160581</v>
      </c>
      <c r="AC54" s="1">
        <f t="shared" si="19"/>
        <v>1.0778875324522037</v>
      </c>
      <c r="AD54" s="1">
        <f t="shared" si="3"/>
        <v>9.101163554019811</v>
      </c>
      <c r="AE54" s="1">
        <f t="shared" si="0"/>
        <v>0.30721538461529652</v>
      </c>
      <c r="AF54" s="1">
        <f t="shared" si="4"/>
        <v>0.28432923076917793</v>
      </c>
      <c r="AG54" s="1">
        <f t="shared" si="1"/>
        <v>-2.9323557665560749</v>
      </c>
      <c r="AH54" s="1">
        <f t="shared" si="2"/>
        <v>-6.534665486912715</v>
      </c>
      <c r="AI54" s="1" t="b">
        <f t="shared" si="10"/>
        <v>0</v>
      </c>
      <c r="AJ54" s="1">
        <f t="shared" si="11"/>
        <v>6.3398811846239269</v>
      </c>
      <c r="AK54" s="1">
        <f t="shared" si="12"/>
        <v>3.1207080112689489</v>
      </c>
      <c r="AL54" s="1">
        <f t="shared" si="5"/>
        <v>6.3398811846239269</v>
      </c>
      <c r="AM54" s="1">
        <f t="shared" si="5"/>
        <v>3.1207080112689489</v>
      </c>
      <c r="AN54" s="1"/>
      <c r="AP54" s="1">
        <f t="shared" si="13"/>
        <v>4.8999999999999986</v>
      </c>
      <c r="AQ54" s="1">
        <f t="shared" si="14"/>
        <v>2.1620927908636682</v>
      </c>
      <c r="AR54" s="1">
        <f t="shared" si="15"/>
        <v>19.595003512453108</v>
      </c>
      <c r="AS54" s="1" t="e">
        <f t="shared" si="6"/>
        <v>#N/A</v>
      </c>
      <c r="AT54" s="1" t="e">
        <f t="shared" si="6"/>
        <v>#N/A</v>
      </c>
    </row>
    <row r="55" spans="25:46" s="3" customFormat="1" x14ac:dyDescent="0.25">
      <c r="Y55" s="1">
        <f t="shared" si="7"/>
        <v>0.62674637157997826</v>
      </c>
      <c r="Z55" s="1">
        <f t="shared" ref="Z55:AA70" si="20">Z54+AB54*$V$4</f>
        <v>6.4531606883456103</v>
      </c>
      <c r="AA55" s="1">
        <f t="shared" si="20"/>
        <v>3.1342192532676632</v>
      </c>
      <c r="AB55" s="1">
        <f t="shared" ref="AB55:AC70" si="21">AB54+AG54*$V$4</f>
        <v>9.0003519908786451</v>
      </c>
      <c r="AC55" s="1">
        <f t="shared" si="21"/>
        <v>0.99597597478397459</v>
      </c>
      <c r="AD55" s="1">
        <f t="shared" si="3"/>
        <v>9.0552914973544656</v>
      </c>
      <c r="AE55" s="1">
        <f t="shared" si="0"/>
        <v>0.30877166820215352</v>
      </c>
      <c r="AF55" s="1">
        <f t="shared" si="4"/>
        <v>0.28526300092129209</v>
      </c>
      <c r="AG55" s="1">
        <f t="shared" si="1"/>
        <v>-2.8765689146110165</v>
      </c>
      <c r="AH55" s="1">
        <f t="shared" si="2"/>
        <v>-6.5313378392344763</v>
      </c>
      <c r="AI55" s="1" t="b">
        <f t="shared" si="10"/>
        <v>0</v>
      </c>
      <c r="AJ55" s="1">
        <f t="shared" si="11"/>
        <v>6.4531606883456103</v>
      </c>
      <c r="AK55" s="1">
        <f t="shared" si="12"/>
        <v>3.1342192532676632</v>
      </c>
      <c r="AL55" s="1">
        <f t="shared" si="5"/>
        <v>6.4531606883456103</v>
      </c>
      <c r="AM55" s="1">
        <f t="shared" si="5"/>
        <v>3.1342192532676632</v>
      </c>
      <c r="AN55" s="1"/>
      <c r="AP55" s="1">
        <f t="shared" si="13"/>
        <v>4.9999999999999982</v>
      </c>
      <c r="AQ55" s="1">
        <f t="shared" si="14"/>
        <v>2.1752319771591719</v>
      </c>
      <c r="AR55" s="1">
        <f t="shared" si="15"/>
        <v>19.588366149844138</v>
      </c>
      <c r="AS55" s="1" t="e">
        <f t="shared" si="6"/>
        <v>#N/A</v>
      </c>
      <c r="AT55" s="1" t="e">
        <f t="shared" si="6"/>
        <v>#N/A</v>
      </c>
    </row>
    <row r="56" spans="25:46" s="3" customFormat="1" x14ac:dyDescent="0.25">
      <c r="Y56" s="1">
        <f t="shared" si="7"/>
        <v>0.63928129901157782</v>
      </c>
      <c r="Z56" s="1">
        <f t="shared" si="20"/>
        <v>6.5659794474101272</v>
      </c>
      <c r="AA56" s="1">
        <f t="shared" si="20"/>
        <v>3.1467037398351971</v>
      </c>
      <c r="AB56" s="1">
        <f t="shared" si="21"/>
        <v>8.9642944082820009</v>
      </c>
      <c r="AC56" s="1">
        <f t="shared" si="21"/>
        <v>0.9141061289379101</v>
      </c>
      <c r="AD56" s="1">
        <f t="shared" si="3"/>
        <v>9.0107804464051728</v>
      </c>
      <c r="AE56" s="1">
        <f t="shared" si="0"/>
        <v>0.3102969247031625</v>
      </c>
      <c r="AF56" s="1">
        <f t="shared" si="4"/>
        <v>0.28617815482189751</v>
      </c>
      <c r="AG56" s="1">
        <f t="shared" si="1"/>
        <v>-2.8215987211453069</v>
      </c>
      <c r="AH56" s="1">
        <f t="shared" si="2"/>
        <v>-6.5277764666626013</v>
      </c>
      <c r="AI56" s="1" t="b">
        <f t="shared" si="10"/>
        <v>0</v>
      </c>
      <c r="AJ56" s="1">
        <f t="shared" si="11"/>
        <v>6.5659794474101272</v>
      </c>
      <c r="AK56" s="1">
        <f t="shared" si="12"/>
        <v>3.1467037398351971</v>
      </c>
      <c r="AL56" s="1">
        <f t="shared" si="5"/>
        <v>6.5659794474101272</v>
      </c>
      <c r="AM56" s="1">
        <f t="shared" si="5"/>
        <v>3.1467037398351971</v>
      </c>
      <c r="AN56" s="1"/>
      <c r="AP56" s="1">
        <f t="shared" si="13"/>
        <v>5.0999999999999979</v>
      </c>
      <c r="AQ56" s="1">
        <f t="shared" si="14"/>
        <v>2.1881113490364021</v>
      </c>
      <c r="AR56" s="1">
        <f t="shared" si="15"/>
        <v>19.581856565460438</v>
      </c>
      <c r="AS56" s="1" t="e">
        <f t="shared" si="6"/>
        <v>#N/A</v>
      </c>
      <c r="AT56" s="1" t="e">
        <f t="shared" si="6"/>
        <v>#N/A</v>
      </c>
    </row>
    <row r="57" spans="25:46" s="3" customFormat="1" x14ac:dyDescent="0.25">
      <c r="Y57" s="1">
        <f t="shared" si="7"/>
        <v>0.65181622644317738</v>
      </c>
      <c r="Z57" s="1">
        <f t="shared" si="20"/>
        <v>6.678346227293436</v>
      </c>
      <c r="AA57" s="1">
        <f t="shared" si="20"/>
        <v>3.1581619938262144</v>
      </c>
      <c r="AB57" s="1">
        <f t="shared" si="21"/>
        <v>8.9289258730713499</v>
      </c>
      <c r="AC57" s="1">
        <f t="shared" si="21"/>
        <v>0.83228092463859094</v>
      </c>
      <c r="AD57" s="1">
        <f t="shared" si="3"/>
        <v>8.9676311690613275</v>
      </c>
      <c r="AE57" s="1">
        <f t="shared" si="0"/>
        <v>0.31178997095033112</v>
      </c>
      <c r="AF57" s="1">
        <f t="shared" si="4"/>
        <v>0.28707398257019867</v>
      </c>
      <c r="AG57" s="1">
        <f t="shared" si="1"/>
        <v>-2.7674312418498914</v>
      </c>
      <c r="AH57" s="1">
        <f t="shared" si="2"/>
        <v>-6.5239794092400949</v>
      </c>
      <c r="AI57" s="1" t="b">
        <f t="shared" si="10"/>
        <v>0</v>
      </c>
      <c r="AJ57" s="1">
        <f t="shared" si="11"/>
        <v>6.678346227293436</v>
      </c>
      <c r="AK57" s="1">
        <f t="shared" si="12"/>
        <v>3.1581619938262144</v>
      </c>
      <c r="AL57" s="1">
        <f t="shared" si="5"/>
        <v>6.678346227293436</v>
      </c>
      <c r="AM57" s="1">
        <f t="shared" si="5"/>
        <v>3.1581619938262144</v>
      </c>
      <c r="AN57" s="1"/>
      <c r="AP57" s="1">
        <f t="shared" si="13"/>
        <v>5.1999999999999975</v>
      </c>
      <c r="AQ57" s="1">
        <f t="shared" si="14"/>
        <v>2.2007309064953602</v>
      </c>
      <c r="AR57" s="1">
        <f t="shared" si="15"/>
        <v>19.575474886775336</v>
      </c>
      <c r="AS57" s="1" t="e">
        <f t="shared" si="6"/>
        <v>#N/A</v>
      </c>
      <c r="AT57" s="1" t="e">
        <f t="shared" si="6"/>
        <v>#N/A</v>
      </c>
    </row>
    <row r="58" spans="25:46" s="3" customFormat="1" x14ac:dyDescent="0.25">
      <c r="Y58" s="1">
        <f t="shared" si="7"/>
        <v>0.66435115387477695</v>
      </c>
      <c r="Z58" s="1">
        <f t="shared" si="20"/>
        <v>6.7902696651545176</v>
      </c>
      <c r="AA58" s="1">
        <f t="shared" si="20"/>
        <v>3.1685945748192639</v>
      </c>
      <c r="AB58" s="1">
        <f t="shared" si="21"/>
        <v>8.8942363232828203</v>
      </c>
      <c r="AC58" s="1">
        <f t="shared" si="21"/>
        <v>0.75050331617851651</v>
      </c>
      <c r="AD58" s="1">
        <f t="shared" si="3"/>
        <v>8.9258442178876525</v>
      </c>
      <c r="AE58" s="1">
        <f t="shared" si="0"/>
        <v>0.31324963705860054</v>
      </c>
      <c r="AF58" s="1">
        <f t="shared" si="4"/>
        <v>0.28794978223516032</v>
      </c>
      <c r="AG58" s="1">
        <f t="shared" si="1"/>
        <v>-2.7140527456407111</v>
      </c>
      <c r="AH58" s="1">
        <f t="shared" si="2"/>
        <v>-6.519944545790251</v>
      </c>
      <c r="AI58" s="1" t="b">
        <f t="shared" si="10"/>
        <v>0</v>
      </c>
      <c r="AJ58" s="1">
        <f t="shared" si="11"/>
        <v>6.7902696651545176</v>
      </c>
      <c r="AK58" s="1">
        <f t="shared" si="12"/>
        <v>3.1685945748192639</v>
      </c>
      <c r="AL58" s="1">
        <f t="shared" si="5"/>
        <v>6.7902696651545176</v>
      </c>
      <c r="AM58" s="1">
        <f t="shared" si="5"/>
        <v>3.1685945748192639</v>
      </c>
      <c r="AN58" s="1"/>
      <c r="AP58" s="1">
        <f t="shared" si="13"/>
        <v>5.2999999999999972</v>
      </c>
      <c r="AQ58" s="1">
        <f t="shared" si="14"/>
        <v>2.2130906495360456</v>
      </c>
      <c r="AR58" s="1">
        <f t="shared" si="15"/>
        <v>19.569221238921987</v>
      </c>
      <c r="AS58" s="1" t="e">
        <f t="shared" si="6"/>
        <v>#N/A</v>
      </c>
      <c r="AT58" s="1" t="e">
        <f t="shared" si="6"/>
        <v>#N/A</v>
      </c>
    </row>
    <row r="59" spans="25:46" s="3" customFormat="1" x14ac:dyDescent="0.25">
      <c r="Y59" s="1">
        <f t="shared" si="7"/>
        <v>0.67688608130637651</v>
      </c>
      <c r="Z59" s="1">
        <f t="shared" si="20"/>
        <v>6.901758272026365</v>
      </c>
      <c r="AA59" s="1">
        <f t="shared" si="20"/>
        <v>3.1780020794247363</v>
      </c>
      <c r="AB59" s="1">
        <f t="shared" si="21"/>
        <v>8.8602158690706805</v>
      </c>
      <c r="AC59" s="1">
        <f t="shared" si="21"/>
        <v>0.66877628443898229</v>
      </c>
      <c r="AD59" s="1">
        <f t="shared" si="3"/>
        <v>8.8854199093323629</v>
      </c>
      <c r="AE59" s="1">
        <f t="shared" si="0"/>
        <v>0.31467476947918421</v>
      </c>
      <c r="AF59" s="1">
        <f t="shared" si="4"/>
        <v>0.28880486168751052</v>
      </c>
      <c r="AG59" s="1">
        <f t="shared" si="1"/>
        <v>-2.661449706725675</v>
      </c>
      <c r="AH59" s="1">
        <f t="shared" si="2"/>
        <v>-6.5156696036770372</v>
      </c>
      <c r="AI59" s="1" t="b">
        <f t="shared" si="10"/>
        <v>0</v>
      </c>
      <c r="AJ59" s="1">
        <f t="shared" si="11"/>
        <v>6.901758272026365</v>
      </c>
      <c r="AK59" s="1">
        <f t="shared" si="12"/>
        <v>3.1780020794247363</v>
      </c>
      <c r="AL59" s="1">
        <f t="shared" si="5"/>
        <v>6.901758272026365</v>
      </c>
      <c r="AM59" s="1">
        <f t="shared" si="5"/>
        <v>3.1780020794247363</v>
      </c>
      <c r="AN59" s="1"/>
      <c r="AP59" s="1">
        <f t="shared" si="13"/>
        <v>5.3999999999999968</v>
      </c>
      <c r="AQ59" s="1">
        <f t="shared" si="14"/>
        <v>2.225190578158458</v>
      </c>
      <c r="AR59" s="1">
        <f t="shared" si="15"/>
        <v>19.563095744681533</v>
      </c>
      <c r="AS59" s="1" t="e">
        <f t="shared" si="6"/>
        <v>#N/A</v>
      </c>
      <c r="AT59" s="1" t="e">
        <f t="shared" si="6"/>
        <v>#N/A</v>
      </c>
    </row>
    <row r="60" spans="25:46" s="3" customFormat="1" x14ac:dyDescent="0.25">
      <c r="Y60" s="1">
        <f t="shared" si="7"/>
        <v>0.68942100873797607</v>
      </c>
      <c r="Z60" s="1">
        <f t="shared" si="20"/>
        <v>7.0128204349734728</v>
      </c>
      <c r="AA60" s="1">
        <f t="shared" si="20"/>
        <v>3.1863851416181537</v>
      </c>
      <c r="AB60" s="1">
        <f t="shared" si="21"/>
        <v>8.8268547901340213</v>
      </c>
      <c r="AC60" s="1">
        <f t="shared" si="21"/>
        <v>0.58710283878861147</v>
      </c>
      <c r="AD60" s="1">
        <f t="shared" si="3"/>
        <v>8.8463583032469106</v>
      </c>
      <c r="AE60" s="1">
        <f t="shared" si="0"/>
        <v>0.31606423410056572</v>
      </c>
      <c r="AF60" s="1">
        <f t="shared" si="4"/>
        <v>0.28963854046033943</v>
      </c>
      <c r="AG60" s="1">
        <f t="shared" si="1"/>
        <v>-2.6096087970763584</v>
      </c>
      <c r="AH60" s="1">
        <f t="shared" si="2"/>
        <v>-6.5111521686722469</v>
      </c>
      <c r="AI60" s="1" t="b">
        <f t="shared" si="10"/>
        <v>0</v>
      </c>
      <c r="AJ60" s="1">
        <f t="shared" si="11"/>
        <v>7.0128204349734728</v>
      </c>
      <c r="AK60" s="1">
        <f t="shared" si="12"/>
        <v>3.1863851416181537</v>
      </c>
      <c r="AL60" s="1">
        <f t="shared" si="5"/>
        <v>7.0128204349734728</v>
      </c>
      <c r="AM60" s="1">
        <f t="shared" si="5"/>
        <v>3.1863851416181537</v>
      </c>
      <c r="AN60" s="1"/>
      <c r="AP60" s="1">
        <f t="shared" si="13"/>
        <v>5.4999999999999964</v>
      </c>
      <c r="AQ60" s="1">
        <f t="shared" si="14"/>
        <v>2.2370306923625978</v>
      </c>
      <c r="AR60" s="1">
        <f t="shared" si="15"/>
        <v>19.557098524471275</v>
      </c>
      <c r="AS60" s="1" t="e">
        <f t="shared" si="6"/>
        <v>#N/A</v>
      </c>
      <c r="AT60" s="1" t="e">
        <f t="shared" si="6"/>
        <v>#N/A</v>
      </c>
    </row>
    <row r="61" spans="25:46" s="3" customFormat="1" x14ac:dyDescent="0.25">
      <c r="Y61" s="1">
        <f t="shared" si="7"/>
        <v>0.70195593616957563</v>
      </c>
      <c r="Z61" s="1">
        <f t="shared" si="20"/>
        <v>7.1234644192170702</v>
      </c>
      <c r="AA61" s="1">
        <f t="shared" si="20"/>
        <v>3.1937444330972551</v>
      </c>
      <c r="AB61" s="1">
        <f t="shared" si="21"/>
        <v>8.794143533237806</v>
      </c>
      <c r="AC61" s="1">
        <f t="shared" si="21"/>
        <v>0.50548601885820266</v>
      </c>
      <c r="AD61" s="1">
        <f t="shared" si="3"/>
        <v>8.8086591827842575</v>
      </c>
      <c r="AE61" s="1">
        <f t="shared" si="0"/>
        <v>0.31741691938308647</v>
      </c>
      <c r="AF61" s="1">
        <f t="shared" si="4"/>
        <v>0.29045015162985188</v>
      </c>
      <c r="AG61" s="1">
        <f t="shared" si="1"/>
        <v>-2.5585168793073221</v>
      </c>
      <c r="AH61" s="1">
        <f t="shared" si="2"/>
        <v>-6.5063896949248035</v>
      </c>
      <c r="AI61" s="1" t="b">
        <f t="shared" si="10"/>
        <v>0</v>
      </c>
      <c r="AJ61" s="1">
        <f t="shared" si="11"/>
        <v>7.1234644192170702</v>
      </c>
      <c r="AK61" s="1">
        <f t="shared" si="12"/>
        <v>3.1937444330972551</v>
      </c>
      <c r="AL61" s="1">
        <f t="shared" si="5"/>
        <v>7.1234644192170702</v>
      </c>
      <c r="AM61" s="1">
        <f t="shared" si="5"/>
        <v>3.1937444330972551</v>
      </c>
      <c r="AN61" s="1"/>
      <c r="AP61" s="1">
        <f t="shared" si="13"/>
        <v>5.5999999999999961</v>
      </c>
      <c r="AQ61" s="1">
        <f t="shared" si="14"/>
        <v>2.2486109921484649</v>
      </c>
      <c r="AR61" s="1">
        <f t="shared" si="15"/>
        <v>19.551229696333028</v>
      </c>
      <c r="AS61" s="1" t="e">
        <f t="shared" si="6"/>
        <v>#N/A</v>
      </c>
      <c r="AT61" s="1" t="e">
        <f t="shared" si="6"/>
        <v>#N/A</v>
      </c>
    </row>
    <row r="62" spans="25:46" s="3" customFormat="1" x14ac:dyDescent="0.25">
      <c r="Y62" s="1">
        <f t="shared" si="7"/>
        <v>0.7144908636011752</v>
      </c>
      <c r="Z62" s="1">
        <f t="shared" si="20"/>
        <v>7.233698370229277</v>
      </c>
      <c r="AA62" s="1">
        <f t="shared" si="20"/>
        <v>3.200080663661331</v>
      </c>
      <c r="AB62" s="1">
        <f t="shared" si="21"/>
        <v>8.7620727098231654</v>
      </c>
      <c r="AC62" s="1">
        <f t="shared" si="21"/>
        <v>0.42392889619061297</v>
      </c>
      <c r="AD62" s="1">
        <f t="shared" si="3"/>
        <v>8.7723220347438939</v>
      </c>
      <c r="AE62" s="1">
        <f t="shared" si="0"/>
        <v>0.31873173951217632</v>
      </c>
      <c r="AF62" s="1">
        <f t="shared" si="4"/>
        <v>0.2912390437073058</v>
      </c>
      <c r="AG62" s="1">
        <f t="shared" si="1"/>
        <v>-2.5081609999655963</v>
      </c>
      <c r="AH62" s="1">
        <f t="shared" si="2"/>
        <v>-6.5013795150258673</v>
      </c>
      <c r="AI62" s="1" t="b">
        <f t="shared" si="10"/>
        <v>0</v>
      </c>
      <c r="AJ62" s="1">
        <f t="shared" si="11"/>
        <v>7.233698370229277</v>
      </c>
      <c r="AK62" s="1">
        <f t="shared" si="12"/>
        <v>3.200080663661331</v>
      </c>
      <c r="AL62" s="1">
        <f t="shared" si="5"/>
        <v>7.233698370229277</v>
      </c>
      <c r="AM62" s="1">
        <f t="shared" si="5"/>
        <v>3.200080663661331</v>
      </c>
      <c r="AN62" s="1"/>
      <c r="AP62" s="1">
        <f t="shared" si="13"/>
        <v>5.6999999999999957</v>
      </c>
      <c r="AQ62" s="1">
        <f t="shared" si="14"/>
        <v>2.2599314775160591</v>
      </c>
      <c r="AR62" s="1">
        <f t="shared" si="15"/>
        <v>19.545489375921758</v>
      </c>
      <c r="AS62" s="1" t="e">
        <f t="shared" si="6"/>
        <v>#N/A</v>
      </c>
      <c r="AT62" s="1" t="e">
        <f t="shared" si="6"/>
        <v>#N/A</v>
      </c>
    </row>
    <row r="63" spans="25:46" s="3" customFormat="1" x14ac:dyDescent="0.25">
      <c r="Y63" s="1">
        <f t="shared" si="7"/>
        <v>0.72702579103277476</v>
      </c>
      <c r="Z63" s="1">
        <f t="shared" si="20"/>
        <v>7.3435303157973095</v>
      </c>
      <c r="AA63" s="1">
        <f t="shared" si="20"/>
        <v>3.2053945816112384</v>
      </c>
      <c r="AB63" s="1">
        <f t="shared" si="21"/>
        <v>8.7306330937018277</v>
      </c>
      <c r="AC63" s="1">
        <f t="shared" si="21"/>
        <v>0.34243457576447572</v>
      </c>
      <c r="AD63" s="1">
        <f t="shared" si="3"/>
        <v>8.7373460304328425</v>
      </c>
      <c r="AE63" s="1">
        <f t="shared" si="0"/>
        <v>0.32000763755449002</v>
      </c>
      <c r="AF63" s="1">
        <f t="shared" si="4"/>
        <v>0.29200458253269401</v>
      </c>
      <c r="AG63" s="1">
        <f t="shared" si="1"/>
        <v>-2.4585283832324505</v>
      </c>
      <c r="AH63" s="1">
        <f t="shared" si="2"/>
        <v>-6.4961188501616896</v>
      </c>
      <c r="AI63" s="1" t="b">
        <f t="shared" si="10"/>
        <v>0</v>
      </c>
      <c r="AJ63" s="1">
        <f t="shared" si="11"/>
        <v>7.3435303157973095</v>
      </c>
      <c r="AK63" s="1">
        <f t="shared" si="12"/>
        <v>3.2053945816112384</v>
      </c>
      <c r="AL63" s="1">
        <f t="shared" si="5"/>
        <v>7.3435303157973095</v>
      </c>
      <c r="AM63" s="1">
        <f t="shared" si="5"/>
        <v>3.2053945816112384</v>
      </c>
      <c r="AN63" s="1"/>
      <c r="AP63" s="1">
        <f t="shared" si="13"/>
        <v>5.7999999999999954</v>
      </c>
      <c r="AQ63" s="1">
        <f t="shared" si="14"/>
        <v>2.2709921484653814</v>
      </c>
      <c r="AR63" s="1">
        <f t="shared" si="15"/>
        <v>19.539877676494427</v>
      </c>
      <c r="AS63" s="1" t="e">
        <f t="shared" si="6"/>
        <v>#N/A</v>
      </c>
      <c r="AT63" s="1" t="e">
        <f t="shared" si="6"/>
        <v>#N/A</v>
      </c>
    </row>
    <row r="64" spans="25:46" s="3" customFormat="1" x14ac:dyDescent="0.25">
      <c r="Y64" s="1">
        <f t="shared" si="7"/>
        <v>0.73956071846437432</v>
      </c>
      <c r="Z64" s="1">
        <f t="shared" si="20"/>
        <v>7.4529681680587831</v>
      </c>
      <c r="AA64" s="1">
        <f t="shared" si="20"/>
        <v>3.2096869741685166</v>
      </c>
      <c r="AB64" s="1">
        <f t="shared" si="21"/>
        <v>8.6998156188294811</v>
      </c>
      <c r="AC64" s="1">
        <f t="shared" si="21"/>
        <v>0.26100619739065289</v>
      </c>
      <c r="AD64" s="1">
        <f t="shared" si="3"/>
        <v>8.7037300071122221</v>
      </c>
      <c r="AE64" s="1">
        <f t="shared" si="0"/>
        <v>0.32124358860053787</v>
      </c>
      <c r="AF64" s="1">
        <f t="shared" si="4"/>
        <v>0.29274615316032271</v>
      </c>
      <c r="AG64" s="1">
        <f t="shared" si="1"/>
        <v>-2.409606425038965</v>
      </c>
      <c r="AH64" s="1">
        <f t="shared" si="2"/>
        <v>-6.4906048203444744</v>
      </c>
      <c r="AI64" s="1" t="b">
        <f t="shared" si="10"/>
        <v>0</v>
      </c>
      <c r="AJ64" s="1">
        <f t="shared" si="11"/>
        <v>7.4529681680587831</v>
      </c>
      <c r="AK64" s="1">
        <f t="shared" si="12"/>
        <v>3.2096869741685166</v>
      </c>
      <c r="AL64" s="1">
        <f t="shared" si="5"/>
        <v>7.4529681680587831</v>
      </c>
      <c r="AM64" s="1">
        <f t="shared" si="5"/>
        <v>3.2096869741685166</v>
      </c>
      <c r="AN64" s="1"/>
      <c r="AP64" s="1">
        <f t="shared" si="13"/>
        <v>5.899999999999995</v>
      </c>
      <c r="AQ64" s="1">
        <f t="shared" si="14"/>
        <v>2.2817930049964308</v>
      </c>
      <c r="AR64" s="1">
        <f t="shared" si="15"/>
        <v>19.534394708898901</v>
      </c>
      <c r="AS64" s="1" t="e">
        <f t="shared" si="6"/>
        <v>#N/A</v>
      </c>
      <c r="AT64" s="1" t="e">
        <f t="shared" si="6"/>
        <v>#N/A</v>
      </c>
    </row>
    <row r="65" spans="25:46" s="3" customFormat="1" x14ac:dyDescent="0.25">
      <c r="Y65" s="1">
        <f t="shared" si="7"/>
        <v>0.75209564589597389</v>
      </c>
      <c r="Z65" s="1">
        <f t="shared" si="20"/>
        <v>7.5620197255091073</v>
      </c>
      <c r="AA65" s="1">
        <f t="shared" si="20"/>
        <v>3.2129586679120061</v>
      </c>
      <c r="AB65" s="1">
        <f t="shared" si="21"/>
        <v>8.6696113771529024</v>
      </c>
      <c r="AC65" s="1">
        <f t="shared" si="21"/>
        <v>0.17964693698044454</v>
      </c>
      <c r="AD65" s="1">
        <f t="shared" si="3"/>
        <v>8.6714724500989746</v>
      </c>
      <c r="AE65" s="1">
        <f t="shared" si="0"/>
        <v>0.32243860287683923</v>
      </c>
      <c r="AF65" s="1">
        <f t="shared" si="4"/>
        <v>0.29346316172610354</v>
      </c>
      <c r="AG65" s="1">
        <f t="shared" si="1"/>
        <v>-2.3613826875962642</v>
      </c>
      <c r="AH65" s="1">
        <f t="shared" si="2"/>
        <v>-6.4848344547099277</v>
      </c>
      <c r="AI65" s="1" t="b">
        <f t="shared" si="10"/>
        <v>0</v>
      </c>
      <c r="AJ65" s="1">
        <f t="shared" si="11"/>
        <v>7.5620197255091073</v>
      </c>
      <c r="AK65" s="1">
        <f t="shared" si="12"/>
        <v>3.2129586679120061</v>
      </c>
      <c r="AL65" s="1">
        <f t="shared" si="5"/>
        <v>7.5620197255091073</v>
      </c>
      <c r="AM65" s="1">
        <f t="shared" si="5"/>
        <v>3.2129586679120061</v>
      </c>
      <c r="AN65" s="1"/>
      <c r="AP65" s="1">
        <f t="shared" si="13"/>
        <v>5.9999999999999947</v>
      </c>
      <c r="AQ65" s="1">
        <f t="shared" si="14"/>
        <v>2.2923340471092075</v>
      </c>
      <c r="AR65" s="1">
        <f t="shared" si="15"/>
        <v>19.52904058156334</v>
      </c>
      <c r="AS65" s="1" t="e">
        <f t="shared" si="6"/>
        <v>#N/A</v>
      </c>
      <c r="AT65" s="1" t="e">
        <f t="shared" si="6"/>
        <v>#N/A</v>
      </c>
    </row>
    <row r="66" spans="25:46" s="3" customFormat="1" x14ac:dyDescent="0.25">
      <c r="Y66" s="1">
        <f t="shared" si="7"/>
        <v>0.76463057332757345</v>
      </c>
      <c r="Z66" s="1">
        <f t="shared" si="20"/>
        <v>7.6706926749818889</v>
      </c>
      <c r="AA66" s="1">
        <f t="shared" si="20"/>
        <v>3.2152105292303652</v>
      </c>
      <c r="AB66" s="1">
        <f t="shared" si="21"/>
        <v>8.6400116165256478</v>
      </c>
      <c r="AC66" s="1">
        <f t="shared" si="21"/>
        <v>9.8360007684719031E-2</v>
      </c>
      <c r="AD66" s="1">
        <f t="shared" si="3"/>
        <v>8.6405714755917558</v>
      </c>
      <c r="AE66" s="1">
        <f t="shared" si="0"/>
        <v>0.32359172881020903</v>
      </c>
      <c r="AF66" s="1">
        <f t="shared" si="4"/>
        <v>0.29415503728612541</v>
      </c>
      <c r="AG66" s="1">
        <f t="shared" si="1"/>
        <v>-2.3138448943404892</v>
      </c>
      <c r="AH66" s="1">
        <f t="shared" si="2"/>
        <v>-6.4788047018685537</v>
      </c>
      <c r="AI66" s="1" t="b">
        <f t="shared" si="10"/>
        <v>0</v>
      </c>
      <c r="AJ66" s="1">
        <f t="shared" si="11"/>
        <v>7.6706926749818889</v>
      </c>
      <c r="AK66" s="1">
        <f t="shared" si="12"/>
        <v>3.2152105292303652</v>
      </c>
      <c r="AL66" s="1">
        <f t="shared" si="5"/>
        <v>7.6706926749818889</v>
      </c>
      <c r="AM66" s="1">
        <f t="shared" si="5"/>
        <v>3.2152105292303652</v>
      </c>
      <c r="AN66" s="1"/>
      <c r="AP66" s="1">
        <f t="shared" si="13"/>
        <v>6.0999999999999943</v>
      </c>
      <c r="AQ66" s="1">
        <f t="shared" si="14"/>
        <v>2.3026152748037112</v>
      </c>
      <c r="AR66" s="1">
        <f t="shared" si="15"/>
        <v>19.523815400485535</v>
      </c>
      <c r="AS66" s="1" t="e">
        <f t="shared" si="6"/>
        <v>#N/A</v>
      </c>
      <c r="AT66" s="1" t="e">
        <f t="shared" si="6"/>
        <v>#N/A</v>
      </c>
    </row>
    <row r="67" spans="25:46" s="3" customFormat="1" x14ac:dyDescent="0.25">
      <c r="Y67" s="1">
        <f t="shared" si="7"/>
        <v>0.77716550075917301</v>
      </c>
      <c r="Z67" s="1">
        <f t="shared" si="20"/>
        <v>7.7789945936032154</v>
      </c>
      <c r="AA67" s="1">
        <f t="shared" si="20"/>
        <v>3.2164434647888647</v>
      </c>
      <c r="AB67" s="1">
        <f t="shared" si="21"/>
        <v>8.6110077386871122</v>
      </c>
      <c r="AC67" s="1">
        <f t="shared" si="21"/>
        <v>1.7148660903290619E-2</v>
      </c>
      <c r="AD67" s="1">
        <f t="shared" si="3"/>
        <v>8.6110248142889549</v>
      </c>
      <c r="AE67" s="1">
        <f t="shared" si="0"/>
        <v>0.32470205602650942</v>
      </c>
      <c r="AF67" s="1">
        <f t="shared" si="4"/>
        <v>0.29482123361590562</v>
      </c>
      <c r="AG67" s="1">
        <f t="shared" si="1"/>
        <v>-2.2669809252916995</v>
      </c>
      <c r="AH67" s="1">
        <f t="shared" si="2"/>
        <v>-6.4725124402963248</v>
      </c>
      <c r="AI67" s="1" t="b">
        <f t="shared" si="10"/>
        <v>0</v>
      </c>
      <c r="AJ67" s="1">
        <f t="shared" si="11"/>
        <v>7.7789945936032154</v>
      </c>
      <c r="AK67" s="1">
        <f t="shared" si="12"/>
        <v>3.2164434647888647</v>
      </c>
      <c r="AL67" s="1">
        <f t="shared" si="5"/>
        <v>7.7789945936032154</v>
      </c>
      <c r="AM67" s="1">
        <f t="shared" si="5"/>
        <v>3.2164434647888647</v>
      </c>
      <c r="AN67" s="1"/>
      <c r="AP67" s="1">
        <f t="shared" si="13"/>
        <v>6.199999999999994</v>
      </c>
      <c r="AQ67" s="1">
        <f t="shared" si="14"/>
        <v>2.3126366880799423</v>
      </c>
      <c r="AR67" s="1">
        <f t="shared" si="15"/>
        <v>19.51871926922264</v>
      </c>
      <c r="AS67" s="1" t="e">
        <f t="shared" si="6"/>
        <v>#N/A</v>
      </c>
      <c r="AT67" s="1" t="e">
        <f t="shared" si="6"/>
        <v>#N/A</v>
      </c>
    </row>
    <row r="68" spans="25:46" s="3" customFormat="1" x14ac:dyDescent="0.25">
      <c r="Y68" s="1">
        <f t="shared" si="7"/>
        <v>0.78970042819077257</v>
      </c>
      <c r="Z68" s="1">
        <f t="shared" si="20"/>
        <v>7.8869329507206007</v>
      </c>
      <c r="AA68" s="1">
        <f t="shared" si="20"/>
        <v>3.2166584220088366</v>
      </c>
      <c r="AB68" s="1">
        <f t="shared" si="21"/>
        <v>8.5825912972997607</v>
      </c>
      <c r="AC68" s="1">
        <f t="shared" si="21"/>
        <v>-6.3983812835949255E-2</v>
      </c>
      <c r="AD68" s="1">
        <f t="shared" si="3"/>
        <v>8.58282979586515</v>
      </c>
      <c r="AE68" s="1">
        <f t="shared" si="0"/>
        <v>0.3257687182660805</v>
      </c>
      <c r="AF68" s="1">
        <f t="shared" si="4"/>
        <v>0.29546123095964827</v>
      </c>
      <c r="AG68" s="1">
        <f t="shared" si="1"/>
        <v>-2.2207788128249226</v>
      </c>
      <c r="AH68" s="1">
        <f t="shared" si="2"/>
        <v>-6.4659544887489417</v>
      </c>
      <c r="AI68" s="1" t="b">
        <f t="shared" si="10"/>
        <v>0</v>
      </c>
      <c r="AJ68" s="1">
        <f t="shared" si="11"/>
        <v>7.8869329507206007</v>
      </c>
      <c r="AK68" s="1">
        <f t="shared" si="12"/>
        <v>3.2166584220088366</v>
      </c>
      <c r="AL68" s="1">
        <f t="shared" si="5"/>
        <v>7.8869329507206007</v>
      </c>
      <c r="AM68" s="1">
        <f t="shared" si="5"/>
        <v>3.2166584220088366</v>
      </c>
      <c r="AN68" s="1"/>
      <c r="AP68" s="1">
        <f t="shared" si="13"/>
        <v>6.2999999999999936</v>
      </c>
      <c r="AQ68" s="1">
        <f t="shared" si="14"/>
        <v>2.3223982869379007</v>
      </c>
      <c r="AR68" s="1">
        <f t="shared" si="15"/>
        <v>19.51375228888099</v>
      </c>
      <c r="AS68" s="1" t="e">
        <f t="shared" si="6"/>
        <v>#N/A</v>
      </c>
      <c r="AT68" s="1" t="e">
        <f t="shared" si="6"/>
        <v>#N/A</v>
      </c>
    </row>
    <row r="69" spans="25:46" s="3" customFormat="1" x14ac:dyDescent="0.25">
      <c r="Y69" s="1">
        <f t="shared" si="7"/>
        <v>0.80223535562237214</v>
      </c>
      <c r="Z69" s="1">
        <f t="shared" si="20"/>
        <v>7.994515109807331</v>
      </c>
      <c r="AA69" s="1">
        <f t="shared" si="20"/>
        <v>3.2158563895581409</v>
      </c>
      <c r="AB69" s="1">
        <f t="shared" si="21"/>
        <v>8.5547539960393664</v>
      </c>
      <c r="AC69" s="1">
        <f t="shared" si="21"/>
        <v>-0.14503408312844274</v>
      </c>
      <c r="AD69" s="1">
        <f t="shared" si="3"/>
        <v>8.5559833343701897</v>
      </c>
      <c r="AE69" s="1">
        <f t="shared" ref="AE69:AE105" si="22">IFERROR($V$9*($D$13*2*PI())/AD69, 0)</f>
        <v>0.32679089619810853</v>
      </c>
      <c r="AF69" s="1">
        <f t="shared" si="4"/>
        <v>0.29607453771886511</v>
      </c>
      <c r="AG69" s="1">
        <f t="shared" ref="AG69:AG105" si="23">-$V$11*AB69*AD69 - $V$12*AF69*AC69*AD69</f>
        <v>-2.1752267378505095</v>
      </c>
      <c r="AH69" s="1">
        <f t="shared" ref="AH69:AH105" si="24">$V$12*AF69*AD69*AB69 - $V$11*AC69*AD69 - 9.8</f>
        <v>-6.4591276166826024</v>
      </c>
      <c r="AI69" s="1" t="b">
        <f t="shared" si="10"/>
        <v>0</v>
      </c>
      <c r="AJ69" s="1">
        <f t="shared" si="11"/>
        <v>7.994515109807331</v>
      </c>
      <c r="AK69" s="1">
        <f t="shared" si="12"/>
        <v>3.2158563895581409</v>
      </c>
      <c r="AL69" s="1">
        <f t="shared" si="5"/>
        <v>7.994515109807331</v>
      </c>
      <c r="AM69" s="1">
        <f t="shared" si="5"/>
        <v>3.2158563895581409</v>
      </c>
      <c r="AN69" s="1"/>
      <c r="AP69" s="1">
        <f t="shared" si="13"/>
        <v>6.3999999999999932</v>
      </c>
      <c r="AQ69" s="1">
        <f t="shared" si="14"/>
        <v>2.3319000713775866</v>
      </c>
      <c r="AR69" s="1">
        <f t="shared" si="15"/>
        <v>19.50891455810628</v>
      </c>
      <c r="AS69" s="1" t="e">
        <f t="shared" si="6"/>
        <v>#N/A</v>
      </c>
      <c r="AT69" s="1" t="e">
        <f t="shared" si="6"/>
        <v>#N/A</v>
      </c>
    </row>
    <row r="70" spans="25:46" s="3" customFormat="1" x14ac:dyDescent="0.25">
      <c r="Y70" s="1">
        <f t="shared" si="7"/>
        <v>0.8147702830539717</v>
      </c>
      <c r="Z70" s="1">
        <f t="shared" si="20"/>
        <v>8.1017483303428701</v>
      </c>
      <c r="AA70" s="1">
        <f t="shared" si="20"/>
        <v>3.2140383978510174</v>
      </c>
      <c r="AB70" s="1">
        <f t="shared" si="21"/>
        <v>8.5274876867331351</v>
      </c>
      <c r="AC70" s="1">
        <f t="shared" si="21"/>
        <v>-0.22599877907499982</v>
      </c>
      <c r="AD70" s="1">
        <f t="shared" ref="AD70:AD105" si="25">SQRT(AB70^2+AC70^2)</f>
        <v>8.5304819146123645</v>
      </c>
      <c r="AE70" s="1">
        <f t="shared" si="22"/>
        <v>0.32776782011640543</v>
      </c>
      <c r="AF70" s="1">
        <f t="shared" ref="AF70:AF105" si="26">IF(AE70&gt;0.1, 0.6*AE70+0.1, 1.6*AE70)</f>
        <v>0.29666069206984325</v>
      </c>
      <c r="AG70" s="1">
        <f t="shared" si="23"/>
        <v>-2.1303130263998278</v>
      </c>
      <c r="AH70" s="1">
        <f t="shared" si="24"/>
        <v>-6.4520285546630296</v>
      </c>
      <c r="AI70" s="1" t="b">
        <f t="shared" si="10"/>
        <v>0</v>
      </c>
      <c r="AJ70" s="1">
        <f t="shared" si="11"/>
        <v>8.1017483303428701</v>
      </c>
      <c r="AK70" s="1">
        <f t="shared" si="12"/>
        <v>3.2140383978510174</v>
      </c>
      <c r="AL70" s="1">
        <f t="shared" ref="AL70:AM105" si="27">IF($I$3="Forward", AJ70, NA())</f>
        <v>8.1017483303428701</v>
      </c>
      <c r="AM70" s="1">
        <f t="shared" si="27"/>
        <v>3.2140383978510174</v>
      </c>
      <c r="AN70" s="1"/>
      <c r="AP70" s="1">
        <f t="shared" si="13"/>
        <v>6.4999999999999929</v>
      </c>
      <c r="AQ70" s="1">
        <f t="shared" si="14"/>
        <v>2.3411420413989998</v>
      </c>
      <c r="AR70" s="1">
        <f t="shared" si="15"/>
        <v>19.504206173073857</v>
      </c>
      <c r="AS70" s="1" t="e">
        <f t="shared" ref="AS70:AT105" si="28">IF($I$3="Forward", NA(), AP70)</f>
        <v>#N/A</v>
      </c>
      <c r="AT70" s="1" t="e">
        <f t="shared" si="28"/>
        <v>#N/A</v>
      </c>
    </row>
    <row r="71" spans="25:46" s="3" customFormat="1" x14ac:dyDescent="0.25">
      <c r="Y71" s="1">
        <f t="shared" ref="Y71:Y105" si="29">Y70+$V$4</f>
        <v>0.82730521048557126</v>
      </c>
      <c r="Z71" s="1">
        <f t="shared" ref="Z71:AA86" si="30">Z70+AB70*$V$4</f>
        <v>8.2086397696699294</v>
      </c>
      <c r="AA71" s="1">
        <f t="shared" si="30"/>
        <v>3.2112055195556821</v>
      </c>
      <c r="AB71" s="1">
        <f t="shared" ref="AB71:AC86" si="31">AB70+AG70*$V$4</f>
        <v>8.5007843675406214</v>
      </c>
      <c r="AC71" s="1">
        <f t="shared" si="31"/>
        <v>-0.30687448879430917</v>
      </c>
      <c r="AD71" s="1">
        <f t="shared" si="25"/>
        <v>8.5063215795839611</v>
      </c>
      <c r="AE71" s="1">
        <f t="shared" si="22"/>
        <v>0.32869877249945995</v>
      </c>
      <c r="AF71" s="1">
        <f t="shared" si="26"/>
        <v>0.29721926349967598</v>
      </c>
      <c r="AG71" s="1">
        <f t="shared" si="23"/>
        <v>-2.0860261466111356</v>
      </c>
      <c r="AH71" s="1">
        <f t="shared" si="24"/>
        <v>-6.4446540047434748</v>
      </c>
      <c r="AI71" s="1" t="b">
        <f t="shared" ref="AI71:AI105" si="32">OR(AA70&lt;0, Z70&gt;$V$6)</f>
        <v>0</v>
      </c>
      <c r="AJ71" s="1">
        <f t="shared" ref="AJ71:AJ105" si="33">IF(AI71,NA(),Z71)*IF($B$4,1,3.281)</f>
        <v>8.2086397696699294</v>
      </c>
      <c r="AK71" s="1">
        <f t="shared" ref="AK71:AK105" si="34">IF(AI71, NA(), AA71)*IF($B$4, 1, 3.281)</f>
        <v>3.2112055195556821</v>
      </c>
      <c r="AL71" s="1">
        <f t="shared" si="27"/>
        <v>8.2086397696699294</v>
      </c>
      <c r="AM71" s="1">
        <f t="shared" si="27"/>
        <v>3.2112055195556821</v>
      </c>
      <c r="AN71" s="1"/>
      <c r="AP71" s="1">
        <f t="shared" ref="AP71:AP105" si="35">AP70+$G$8/100</f>
        <v>6.5999999999999925</v>
      </c>
      <c r="AQ71" s="1">
        <f t="shared" ref="AQ71:AQ105" si="36">$G$7 + AP71*TAN(RADIANS($G$13)) - (IF($B$4, 9.8, 32.2)*AP71^2)/(2*($G$12*COS(RADIANS($G$13)))^2)</f>
        <v>2.3501241970021409</v>
      </c>
      <c r="AR71" s="1">
        <f t="shared" ref="AR71:AR105" si="37">SQRT(1+((AQ71-AQ70)/(AP71-AP70))^2)*($G$12*COS(RADIANS($G$13)))</f>
        <v>19.499627227479305</v>
      </c>
      <c r="AS71" s="1" t="e">
        <f t="shared" si="28"/>
        <v>#N/A</v>
      </c>
      <c r="AT71" s="1" t="e">
        <f t="shared" si="28"/>
        <v>#N/A</v>
      </c>
    </row>
    <row r="72" spans="25:46" s="3" customFormat="1" x14ac:dyDescent="0.25">
      <c r="Y72" s="1">
        <f t="shared" si="29"/>
        <v>0.83984013791717083</v>
      </c>
      <c r="Z72" s="1">
        <f t="shared" si="30"/>
        <v>8.3151964848287268</v>
      </c>
      <c r="AA72" s="1">
        <f t="shared" si="30"/>
        <v>3.2073588701080364</v>
      </c>
      <c r="AB72" s="1">
        <f t="shared" si="31"/>
        <v>8.474636181172432</v>
      </c>
      <c r="AC72" s="1">
        <f t="shared" si="31"/>
        <v>-0.38765775906553618</v>
      </c>
      <c r="AD72" s="1">
        <f t="shared" si="25"/>
        <v>8.483497918983689</v>
      </c>
      <c r="AE72" s="1">
        <f t="shared" si="22"/>
        <v>0.32958309041818851</v>
      </c>
      <c r="AF72" s="1">
        <f t="shared" si="26"/>
        <v>0.2977498542509131</v>
      </c>
      <c r="AG72" s="1">
        <f t="shared" si="23"/>
        <v>-2.0423547061092013</v>
      </c>
      <c r="AH72" s="1">
        <f t="shared" si="24"/>
        <v>-6.4370006507914681</v>
      </c>
      <c r="AI72" s="1" t="b">
        <f t="shared" si="32"/>
        <v>0</v>
      </c>
      <c r="AJ72" s="1">
        <f t="shared" si="33"/>
        <v>8.3151964848287268</v>
      </c>
      <c r="AK72" s="1">
        <f t="shared" si="34"/>
        <v>3.2073588701080364</v>
      </c>
      <c r="AL72" s="1">
        <f t="shared" si="27"/>
        <v>8.3151964848287268</v>
      </c>
      <c r="AM72" s="1">
        <f t="shared" si="27"/>
        <v>3.2073588701080364</v>
      </c>
      <c r="AN72" s="1"/>
      <c r="AP72" s="1">
        <f t="shared" si="35"/>
        <v>6.6999999999999922</v>
      </c>
      <c r="AQ72" s="1">
        <f t="shared" si="36"/>
        <v>2.3588465381870085</v>
      </c>
      <c r="AR72" s="1">
        <f t="shared" si="37"/>
        <v>19.495177812529157</v>
      </c>
      <c r="AS72" s="1" t="e">
        <f t="shared" si="28"/>
        <v>#N/A</v>
      </c>
      <c r="AT72" s="1" t="e">
        <f t="shared" si="28"/>
        <v>#N/A</v>
      </c>
    </row>
    <row r="73" spans="25:46" s="3" customFormat="1" x14ac:dyDescent="0.25">
      <c r="Y73" s="1">
        <f t="shared" si="29"/>
        <v>0.85237506534877039</v>
      </c>
      <c r="Z73" s="1">
        <f t="shared" si="30"/>
        <v>8.4214254343689312</v>
      </c>
      <c r="AA73" s="1">
        <f t="shared" si="30"/>
        <v>3.2024996082298536</v>
      </c>
      <c r="AB73" s="1">
        <f t="shared" si="31"/>
        <v>8.4490354131417664</v>
      </c>
      <c r="AC73" s="1">
        <f t="shared" si="31"/>
        <v>-0.46834509510036643</v>
      </c>
      <c r="AD73" s="1">
        <f t="shared" si="25"/>
        <v>8.4620060588862867</v>
      </c>
      <c r="AE73" s="1">
        <f t="shared" si="22"/>
        <v>0.33042016777554856</v>
      </c>
      <c r="AF73" s="1">
        <f t="shared" si="26"/>
        <v>0.29825210066532915</v>
      </c>
      <c r="AG73" s="1">
        <f t="shared" si="23"/>
        <v>-1.9992874497709774</v>
      </c>
      <c r="AH73" s="1">
        <f t="shared" si="24"/>
        <v>-6.4290651687433673</v>
      </c>
      <c r="AI73" s="1" t="b">
        <f t="shared" si="32"/>
        <v>0</v>
      </c>
      <c r="AJ73" s="1">
        <f t="shared" si="33"/>
        <v>8.4214254343689312</v>
      </c>
      <c r="AK73" s="1">
        <f t="shared" si="34"/>
        <v>3.2024996082298536</v>
      </c>
      <c r="AL73" s="1">
        <f t="shared" si="27"/>
        <v>8.4214254343689312</v>
      </c>
      <c r="AM73" s="1">
        <f t="shared" si="27"/>
        <v>3.2024996082298536</v>
      </c>
      <c r="AN73" s="1"/>
      <c r="AP73" s="1">
        <f t="shared" si="35"/>
        <v>6.7999999999999918</v>
      </c>
      <c r="AQ73" s="1">
        <f t="shared" si="36"/>
        <v>2.3673090649536039</v>
      </c>
      <c r="AR73" s="1">
        <f t="shared" si="37"/>
        <v>19.490858016932069</v>
      </c>
      <c r="AS73" s="1" t="e">
        <f t="shared" si="28"/>
        <v>#N/A</v>
      </c>
      <c r="AT73" s="1" t="e">
        <f t="shared" si="28"/>
        <v>#N/A</v>
      </c>
    </row>
    <row r="74" spans="25:46" s="3" customFormat="1" x14ac:dyDescent="0.25">
      <c r="Y74" s="1">
        <f t="shared" si="29"/>
        <v>0.86490999278036995</v>
      </c>
      <c r="Z74" s="1">
        <f t="shared" si="30"/>
        <v>8.5273334801396778</v>
      </c>
      <c r="AA74" s="1">
        <f t="shared" si="30"/>
        <v>3.1966289364498248</v>
      </c>
      <c r="AB74" s="1">
        <f t="shared" si="31"/>
        <v>8.4239744900439799</v>
      </c>
      <c r="AC74" s="1">
        <f t="shared" si="31"/>
        <v>-0.54893296044358897</v>
      </c>
      <c r="AD74" s="1">
        <f t="shared" si="25"/>
        <v>8.4418406526049221</v>
      </c>
      <c r="AE74" s="1">
        <f t="shared" si="22"/>
        <v>0.33120945736308588</v>
      </c>
      <c r="AF74" s="1">
        <f t="shared" si="26"/>
        <v>0.29872567441785153</v>
      </c>
      <c r="AG74" s="1">
        <f t="shared" si="23"/>
        <v>-1.9568132578683151</v>
      </c>
      <c r="AH74" s="1">
        <f t="shared" si="24"/>
        <v>-6.4208442367651264</v>
      </c>
      <c r="AI74" s="1" t="b">
        <f t="shared" si="32"/>
        <v>0</v>
      </c>
      <c r="AJ74" s="1">
        <f t="shared" si="33"/>
        <v>8.5273334801396778</v>
      </c>
      <c r="AK74" s="1">
        <f t="shared" si="34"/>
        <v>3.1966289364498248</v>
      </c>
      <c r="AL74" s="1">
        <f t="shared" si="27"/>
        <v>8.5273334801396778</v>
      </c>
      <c r="AM74" s="1">
        <f t="shared" si="27"/>
        <v>3.1966289364498248</v>
      </c>
      <c r="AN74" s="1"/>
      <c r="AP74" s="1">
        <f t="shared" si="35"/>
        <v>6.8999999999999915</v>
      </c>
      <c r="AQ74" s="1">
        <f t="shared" si="36"/>
        <v>2.3755117773019268</v>
      </c>
      <c r="AR74" s="1">
        <f t="shared" si="37"/>
        <v>19.486667926889883</v>
      </c>
      <c r="AS74" s="1" t="e">
        <f t="shared" si="28"/>
        <v>#N/A</v>
      </c>
      <c r="AT74" s="1" t="e">
        <f t="shared" si="28"/>
        <v>#N/A</v>
      </c>
    </row>
    <row r="75" spans="25:46" s="3" customFormat="1" x14ac:dyDescent="0.25">
      <c r="Y75" s="1">
        <f t="shared" si="29"/>
        <v>0.87744492021196951</v>
      </c>
      <c r="Z75" s="1">
        <f t="shared" si="30"/>
        <v>8.6329273890580254</v>
      </c>
      <c r="AA75" s="1">
        <f t="shared" si="30"/>
        <v>3.1897481016258511</v>
      </c>
      <c r="AB75" s="1">
        <f t="shared" si="31"/>
        <v>8.3994459778594095</v>
      </c>
      <c r="AC75" s="1">
        <f t="shared" si="31"/>
        <v>-0.62941777700104418</v>
      </c>
      <c r="AD75" s="1">
        <f t="shared" si="25"/>
        <v>8.4229958727868048</v>
      </c>
      <c r="AE75" s="1">
        <f t="shared" si="22"/>
        <v>0.33195047272056111</v>
      </c>
      <c r="AF75" s="1">
        <f t="shared" si="26"/>
        <v>0.29917028363233666</v>
      </c>
      <c r="AG75" s="1">
        <f t="shared" si="23"/>
        <v>-1.9149211445773595</v>
      </c>
      <c r="AH75" s="1">
        <f t="shared" si="24"/>
        <v>-6.41233454529727</v>
      </c>
      <c r="AI75" s="1" t="b">
        <f t="shared" si="32"/>
        <v>0</v>
      </c>
      <c r="AJ75" s="1">
        <f t="shared" si="33"/>
        <v>8.6329273890580254</v>
      </c>
      <c r="AK75" s="1">
        <f t="shared" si="34"/>
        <v>3.1897481016258511</v>
      </c>
      <c r="AL75" s="1">
        <f t="shared" si="27"/>
        <v>8.6329273890580254</v>
      </c>
      <c r="AM75" s="1">
        <f t="shared" si="27"/>
        <v>3.1897481016258511</v>
      </c>
      <c r="AN75" s="1"/>
      <c r="AP75" s="1">
        <f t="shared" si="35"/>
        <v>6.9999999999999911</v>
      </c>
      <c r="AQ75" s="1">
        <f t="shared" si="36"/>
        <v>2.3834546752319765</v>
      </c>
      <c r="AR75" s="1">
        <f t="shared" si="37"/>
        <v>19.482607626089241</v>
      </c>
      <c r="AS75" s="1" t="e">
        <f t="shared" si="28"/>
        <v>#N/A</v>
      </c>
      <c r="AT75" s="1" t="e">
        <f t="shared" si="28"/>
        <v>#N/A</v>
      </c>
    </row>
    <row r="76" spans="25:46" s="3" customFormat="1" x14ac:dyDescent="0.25">
      <c r="Y76" s="1">
        <f t="shared" si="29"/>
        <v>0.88997984764356908</v>
      </c>
      <c r="Z76" s="1">
        <f t="shared" si="30"/>
        <v>8.7382138348561345</v>
      </c>
      <c r="AA76" s="1">
        <f t="shared" si="30"/>
        <v>3.1818583954669841</v>
      </c>
      <c r="AB76" s="1">
        <f t="shared" si="31"/>
        <v>8.3754425802748962</v>
      </c>
      <c r="AC76" s="1">
        <f t="shared" si="31"/>
        <v>-0.70979592519348444</v>
      </c>
      <c r="AD76" s="1">
        <f t="shared" si="25"/>
        <v>8.4054654047770061</v>
      </c>
      <c r="AE76" s="1">
        <f t="shared" si="22"/>
        <v>0.33264278978602169</v>
      </c>
      <c r="AF76" s="1">
        <f t="shared" si="26"/>
        <v>0.299585673871613</v>
      </c>
      <c r="AG76" s="1">
        <f t="shared" si="23"/>
        <v>-1.873600256842971</v>
      </c>
      <c r="AH76" s="1">
        <f t="shared" si="24"/>
        <v>-6.4035328069617847</v>
      </c>
      <c r="AI76" s="1" t="b">
        <f t="shared" si="32"/>
        <v>0</v>
      </c>
      <c r="AJ76" s="1">
        <f t="shared" si="33"/>
        <v>8.7382138348561345</v>
      </c>
      <c r="AK76" s="1">
        <f t="shared" si="34"/>
        <v>3.1818583954669841</v>
      </c>
      <c r="AL76" s="1">
        <f t="shared" si="27"/>
        <v>8.7382138348561345</v>
      </c>
      <c r="AM76" s="1">
        <f t="shared" si="27"/>
        <v>3.1818583954669841</v>
      </c>
      <c r="AN76" s="1"/>
      <c r="AP76" s="1">
        <f t="shared" si="35"/>
        <v>7.0999999999999908</v>
      </c>
      <c r="AQ76" s="1">
        <f t="shared" si="36"/>
        <v>2.3911377587437537</v>
      </c>
      <c r="AR76" s="1">
        <f t="shared" si="37"/>
        <v>19.478677195693262</v>
      </c>
      <c r="AS76" s="1" t="e">
        <f t="shared" si="28"/>
        <v>#N/A</v>
      </c>
      <c r="AT76" s="1" t="e">
        <f t="shared" si="28"/>
        <v>#N/A</v>
      </c>
    </row>
    <row r="77" spans="25:46" s="3" customFormat="1" x14ac:dyDescent="0.25">
      <c r="Y77" s="1">
        <f t="shared" si="29"/>
        <v>0.90251477507516864</v>
      </c>
      <c r="Z77" s="1">
        <f t="shared" si="30"/>
        <v>8.8431993998074088</v>
      </c>
      <c r="AA77" s="1">
        <f t="shared" si="30"/>
        <v>3.1729611550534389</v>
      </c>
      <c r="AB77" s="1">
        <f t="shared" si="31"/>
        <v>8.3519571370195429</v>
      </c>
      <c r="AC77" s="1">
        <f t="shared" si="31"/>
        <v>-0.79006374423461756</v>
      </c>
      <c r="AD77" s="1">
        <f t="shared" si="25"/>
        <v>8.3892424412795279</v>
      </c>
      <c r="AE77" s="1">
        <f t="shared" si="22"/>
        <v>0.33328604832505787</v>
      </c>
      <c r="AF77" s="1">
        <f t="shared" si="26"/>
        <v>0.29997162899503471</v>
      </c>
      <c r="AG77" s="1">
        <f t="shared" si="23"/>
        <v>-1.8328398735851923</v>
      </c>
      <c r="AH77" s="1">
        <f t="shared" si="24"/>
        <v>-6.3944357663085398</v>
      </c>
      <c r="AI77" s="1" t="b">
        <f t="shared" si="32"/>
        <v>0</v>
      </c>
      <c r="AJ77" s="1">
        <f t="shared" si="33"/>
        <v>8.8431993998074088</v>
      </c>
      <c r="AK77" s="1">
        <f t="shared" si="34"/>
        <v>3.1729611550534389</v>
      </c>
      <c r="AL77" s="1">
        <f t="shared" si="27"/>
        <v>8.8431993998074088</v>
      </c>
      <c r="AM77" s="1">
        <f t="shared" si="27"/>
        <v>3.1729611550534389</v>
      </c>
      <c r="AN77" s="1"/>
      <c r="AP77" s="1">
        <f t="shared" si="35"/>
        <v>7.1999999999999904</v>
      </c>
      <c r="AQ77" s="1">
        <f t="shared" si="36"/>
        <v>2.3985610278372582</v>
      </c>
      <c r="AR77" s="1">
        <f t="shared" si="37"/>
        <v>19.474876714333497</v>
      </c>
      <c r="AS77" s="1" t="e">
        <f t="shared" si="28"/>
        <v>#N/A</v>
      </c>
      <c r="AT77" s="1" t="e">
        <f t="shared" si="28"/>
        <v>#N/A</v>
      </c>
    </row>
    <row r="78" spans="25:46" s="3" customFormat="1" x14ac:dyDescent="0.25">
      <c r="Y78" s="1">
        <f t="shared" si="29"/>
        <v>0.9150497025067682</v>
      </c>
      <c r="Z78" s="1">
        <f t="shared" si="30"/>
        <v>8.947890576431778</v>
      </c>
      <c r="AA78" s="1">
        <f t="shared" si="30"/>
        <v>3.1630577633531201</v>
      </c>
      <c r="AB78" s="1">
        <f t="shared" si="31"/>
        <v>8.3289826222104111</v>
      </c>
      <c r="AC78" s="1">
        <f t="shared" si="31"/>
        <v>-0.87021753253131995</v>
      </c>
      <c r="AD78" s="1">
        <f t="shared" si="25"/>
        <v>8.3743196783385283</v>
      </c>
      <c r="AE78" s="1">
        <f t="shared" si="22"/>
        <v>0.33387995312947588</v>
      </c>
      <c r="AF78" s="1">
        <f t="shared" si="26"/>
        <v>0.30032797187768556</v>
      </c>
      <c r="AG78" s="1">
        <f t="shared" si="23"/>
        <v>-1.7926294052335006</v>
      </c>
      <c r="AH78" s="1">
        <f t="shared" si="24"/>
        <v>-6.3850402093789285</v>
      </c>
      <c r="AI78" s="1" t="b">
        <f t="shared" si="32"/>
        <v>0</v>
      </c>
      <c r="AJ78" s="1">
        <f t="shared" si="33"/>
        <v>8.947890576431778</v>
      </c>
      <c r="AK78" s="1">
        <f t="shared" si="34"/>
        <v>3.1630577633531201</v>
      </c>
      <c r="AL78" s="1">
        <f t="shared" si="27"/>
        <v>8.947890576431778</v>
      </c>
      <c r="AM78" s="1">
        <f t="shared" si="27"/>
        <v>3.1630577633531201</v>
      </c>
      <c r="AN78" s="1"/>
      <c r="AP78" s="1">
        <f t="shared" si="35"/>
        <v>7.2999999999999901</v>
      </c>
      <c r="AQ78" s="1">
        <f t="shared" si="36"/>
        <v>2.4057244825124902</v>
      </c>
      <c r="AR78" s="1">
        <f t="shared" si="37"/>
        <v>19.471206258102129</v>
      </c>
      <c r="AS78" s="1" t="e">
        <f t="shared" si="28"/>
        <v>#N/A</v>
      </c>
      <c r="AT78" s="1" t="e">
        <f t="shared" si="28"/>
        <v>#N/A</v>
      </c>
    </row>
    <row r="79" spans="25:46" s="3" customFormat="1" x14ac:dyDescent="0.25">
      <c r="Y79" s="1">
        <f t="shared" si="29"/>
        <v>0.92758462993836777</v>
      </c>
      <c r="Z79" s="1">
        <f t="shared" si="30"/>
        <v>9.0522937691802401</v>
      </c>
      <c r="AA79" s="1">
        <f t="shared" si="30"/>
        <v>3.1521496497331345</v>
      </c>
      <c r="AB79" s="1">
        <f t="shared" si="31"/>
        <v>8.306512142704058</v>
      </c>
      <c r="AC79" s="1">
        <f t="shared" si="31"/>
        <v>-0.95025354820373009</v>
      </c>
      <c r="AD79" s="1">
        <f t="shared" si="25"/>
        <v>8.3606893126562092</v>
      </c>
      <c r="AE79" s="1">
        <f t="shared" si="22"/>
        <v>0.33442427497722843</v>
      </c>
      <c r="AF79" s="1">
        <f t="shared" si="26"/>
        <v>0.30065456498633703</v>
      </c>
      <c r="AG79" s="1">
        <f t="shared" si="23"/>
        <v>-1.7529583935733755</v>
      </c>
      <c r="AH79" s="1">
        <f t="shared" si="24"/>
        <v>-6.3753429730646527</v>
      </c>
      <c r="AI79" s="1" t="b">
        <f t="shared" si="32"/>
        <v>0</v>
      </c>
      <c r="AJ79" s="1">
        <f t="shared" si="33"/>
        <v>9.0522937691802401</v>
      </c>
      <c r="AK79" s="1">
        <f t="shared" si="34"/>
        <v>3.1521496497331345</v>
      </c>
      <c r="AL79" s="1">
        <f t="shared" si="27"/>
        <v>9.0522937691802401</v>
      </c>
      <c r="AM79" s="1">
        <f t="shared" si="27"/>
        <v>3.1521496497331345</v>
      </c>
      <c r="AN79" s="1"/>
      <c r="AP79" s="1">
        <f t="shared" si="35"/>
        <v>7.3999999999999897</v>
      </c>
      <c r="AQ79" s="1">
        <f t="shared" si="36"/>
        <v>2.4126281227694499</v>
      </c>
      <c r="AR79" s="1">
        <f t="shared" si="37"/>
        <v>19.467665900544429</v>
      </c>
      <c r="AS79" s="1" t="e">
        <f t="shared" si="28"/>
        <v>#N/A</v>
      </c>
      <c r="AT79" s="1" t="e">
        <f t="shared" si="28"/>
        <v>#N/A</v>
      </c>
    </row>
    <row r="80" spans="25:46" s="3" customFormat="1" x14ac:dyDescent="0.25">
      <c r="Y80" s="1">
        <f t="shared" si="29"/>
        <v>0.94011955736996733</v>
      </c>
      <c r="Z80" s="1">
        <f t="shared" si="30"/>
        <v>9.1564152960987357</v>
      </c>
      <c r="AA80" s="1">
        <f t="shared" si="30"/>
        <v>3.1402382904647808</v>
      </c>
      <c r="AB80" s="1">
        <f t="shared" si="31"/>
        <v>8.2845389364500033</v>
      </c>
      <c r="AC80" s="1">
        <f t="shared" si="31"/>
        <v>-1.0301680097226538</v>
      </c>
      <c r="AD80" s="1">
        <f t="shared" si="25"/>
        <v>8.3483430402572747</v>
      </c>
      <c r="AE80" s="1">
        <f t="shared" si="22"/>
        <v>0.334918851347147</v>
      </c>
      <c r="AF80" s="1">
        <f t="shared" si="26"/>
        <v>0.30095131080828819</v>
      </c>
      <c r="AG80" s="1">
        <f t="shared" si="23"/>
        <v>-1.7138165118885305</v>
      </c>
      <c r="AH80" s="1">
        <f t="shared" si="24"/>
        <v>-6.3653409542400059</v>
      </c>
      <c r="AI80" s="1" t="b">
        <f t="shared" si="32"/>
        <v>0</v>
      </c>
      <c r="AJ80" s="1">
        <f t="shared" si="33"/>
        <v>9.1564152960987357</v>
      </c>
      <c r="AK80" s="1">
        <f t="shared" si="34"/>
        <v>3.1402382904647808</v>
      </c>
      <c r="AL80" s="1">
        <f t="shared" si="27"/>
        <v>9.1564152960987357</v>
      </c>
      <c r="AM80" s="1">
        <f t="shared" si="27"/>
        <v>3.1402382904647808</v>
      </c>
      <c r="AN80" s="1"/>
      <c r="AP80" s="1">
        <f t="shared" si="35"/>
        <v>7.4999999999999893</v>
      </c>
      <c r="AQ80" s="1">
        <f t="shared" si="36"/>
        <v>2.4192719486081362</v>
      </c>
      <c r="AR80" s="1">
        <f t="shared" si="37"/>
        <v>19.464255712651394</v>
      </c>
      <c r="AS80" s="1" t="e">
        <f t="shared" si="28"/>
        <v>#N/A</v>
      </c>
      <c r="AT80" s="1" t="e">
        <f t="shared" si="28"/>
        <v>#N/A</v>
      </c>
    </row>
    <row r="81" spans="25:46" s="3" customFormat="1" x14ac:dyDescent="0.25">
      <c r="Y81" s="1">
        <f t="shared" si="29"/>
        <v>0.95265448480156689</v>
      </c>
      <c r="Z81" s="1">
        <f t="shared" si="30"/>
        <v>9.2602613904713973</v>
      </c>
      <c r="AA81" s="1">
        <f t="shared" si="30"/>
        <v>3.1273252092205519</v>
      </c>
      <c r="AB81" s="1">
        <f t="shared" si="31"/>
        <v>8.2630563708424027</v>
      </c>
      <c r="AC81" s="1">
        <f t="shared" si="31"/>
        <v>-1.1099570966614409</v>
      </c>
      <c r="AD81" s="1">
        <f t="shared" si="25"/>
        <v>8.3372720565031528</v>
      </c>
      <c r="AE81" s="1">
        <f t="shared" si="22"/>
        <v>0.33536358688379309</v>
      </c>
      <c r="AF81" s="1">
        <f t="shared" si="26"/>
        <v>0.30121815213027586</v>
      </c>
      <c r="AG81" s="1">
        <f t="shared" si="23"/>
        <v>-1.6751935653810597</v>
      </c>
      <c r="AH81" s="1">
        <f t="shared" si="24"/>
        <v>-6.3550311186465844</v>
      </c>
      <c r="AI81" s="1" t="b">
        <f t="shared" si="32"/>
        <v>0</v>
      </c>
      <c r="AJ81" s="1">
        <f t="shared" si="33"/>
        <v>9.2602613904713973</v>
      </c>
      <c r="AK81" s="1">
        <f t="shared" si="34"/>
        <v>3.1273252092205519</v>
      </c>
      <c r="AL81" s="1">
        <f t="shared" si="27"/>
        <v>9.2602613904713973</v>
      </c>
      <c r="AM81" s="1">
        <f t="shared" si="27"/>
        <v>3.1273252092205519</v>
      </c>
      <c r="AN81" s="1"/>
      <c r="AP81" s="1">
        <f t="shared" si="35"/>
        <v>7.599999999999989</v>
      </c>
      <c r="AQ81" s="1">
        <f t="shared" si="36"/>
        <v>2.4256559600285508</v>
      </c>
      <c r="AR81" s="1">
        <f t="shared" si="37"/>
        <v>19.46097576285279</v>
      </c>
      <c r="AS81" s="1" t="e">
        <f t="shared" si="28"/>
        <v>#N/A</v>
      </c>
      <c r="AT81" s="1" t="e">
        <f t="shared" si="28"/>
        <v>#N/A</v>
      </c>
    </row>
    <row r="82" spans="25:46" s="3" customFormat="1" x14ac:dyDescent="0.25">
      <c r="Y82" s="1">
        <f t="shared" si="29"/>
        <v>0.96518941223316645</v>
      </c>
      <c r="Z82" s="1">
        <f t="shared" si="30"/>
        <v>9.363838202443123</v>
      </c>
      <c r="AA82" s="1">
        <f t="shared" si="30"/>
        <v>3.1134119775617117</v>
      </c>
      <c r="AB82" s="1">
        <f t="shared" si="31"/>
        <v>8.2420579410664683</v>
      </c>
      <c r="AC82" s="1">
        <f t="shared" si="31"/>
        <v>-1.1896169505592329</v>
      </c>
      <c r="AD82" s="1">
        <f t="shared" si="25"/>
        <v>8.3274670574523846</v>
      </c>
      <c r="AE82" s="1">
        <f t="shared" si="22"/>
        <v>0.33575845360957796</v>
      </c>
      <c r="AF82" s="1">
        <f t="shared" si="26"/>
        <v>0.30145507216574674</v>
      </c>
      <c r="AG82" s="1">
        <f t="shared" si="23"/>
        <v>-1.6370794918507556</v>
      </c>
      <c r="AH82" s="1">
        <f t="shared" si="24"/>
        <v>-6.3444105095101122</v>
      </c>
      <c r="AI82" s="1" t="b">
        <f t="shared" si="32"/>
        <v>0</v>
      </c>
      <c r="AJ82" s="1">
        <f t="shared" si="33"/>
        <v>9.363838202443123</v>
      </c>
      <c r="AK82" s="1">
        <f t="shared" si="34"/>
        <v>3.1134119775617117</v>
      </c>
      <c r="AL82" s="1">
        <f t="shared" si="27"/>
        <v>9.363838202443123</v>
      </c>
      <c r="AM82" s="1">
        <f t="shared" si="27"/>
        <v>3.1134119775617117</v>
      </c>
      <c r="AN82" s="1"/>
      <c r="AP82" s="1">
        <f t="shared" si="35"/>
        <v>7.6999999999999886</v>
      </c>
      <c r="AQ82" s="1">
        <f t="shared" si="36"/>
        <v>2.4317801570306918</v>
      </c>
      <c r="AR82" s="1">
        <f t="shared" si="37"/>
        <v>19.457826117010146</v>
      </c>
      <c r="AS82" s="1" t="e">
        <f t="shared" si="28"/>
        <v>#N/A</v>
      </c>
      <c r="AT82" s="1" t="e">
        <f t="shared" si="28"/>
        <v>#N/A</v>
      </c>
    </row>
    <row r="83" spans="25:46" s="3" customFormat="1" x14ac:dyDescent="0.25">
      <c r="Y83" s="1">
        <f t="shared" si="29"/>
        <v>0.97772433966476602</v>
      </c>
      <c r="Z83" s="1">
        <f t="shared" si="30"/>
        <v>9.4671518006214299</v>
      </c>
      <c r="AA83" s="1">
        <f t="shared" si="30"/>
        <v>3.0985002154150512</v>
      </c>
      <c r="AB83" s="1">
        <f t="shared" si="31"/>
        <v>8.221537268436359</v>
      </c>
      <c r="AC83" s="1">
        <f t="shared" si="31"/>
        <v>-1.2691436758922199</v>
      </c>
      <c r="AD83" s="1">
        <f t="shared" si="25"/>
        <v>8.3189182425568546</v>
      </c>
      <c r="AE83" s="1">
        <f t="shared" si="22"/>
        <v>0.33610349088315444</v>
      </c>
      <c r="AF83" s="1">
        <f t="shared" si="26"/>
        <v>0.30166209452989268</v>
      </c>
      <c r="AG83" s="1">
        <f t="shared" si="23"/>
        <v>-1.5994643626139409</v>
      </c>
      <c r="AH83" s="1">
        <f t="shared" si="24"/>
        <v>-6.3334762558699582</v>
      </c>
      <c r="AI83" s="1" t="b">
        <f t="shared" si="32"/>
        <v>0</v>
      </c>
      <c r="AJ83" s="1">
        <f t="shared" si="33"/>
        <v>9.4671518006214299</v>
      </c>
      <c r="AK83" s="1">
        <f t="shared" si="34"/>
        <v>3.0985002154150512</v>
      </c>
      <c r="AL83" s="1">
        <f t="shared" si="27"/>
        <v>9.4671518006214299</v>
      </c>
      <c r="AM83" s="1">
        <f t="shared" si="27"/>
        <v>3.0985002154150512</v>
      </c>
      <c r="AN83" s="1"/>
      <c r="AP83" s="1">
        <f t="shared" si="35"/>
        <v>7.7999999999999883</v>
      </c>
      <c r="AQ83" s="1">
        <f t="shared" si="36"/>
        <v>2.4376445396145607</v>
      </c>
      <c r="AR83" s="1">
        <f t="shared" si="37"/>
        <v>19.454806838410388</v>
      </c>
      <c r="AS83" s="1" t="e">
        <f t="shared" si="28"/>
        <v>#N/A</v>
      </c>
      <c r="AT83" s="1" t="e">
        <f t="shared" si="28"/>
        <v>#N/A</v>
      </c>
    </row>
    <row r="84" spans="25:46" s="3" customFormat="1" x14ac:dyDescent="0.25">
      <c r="Y84" s="1">
        <f t="shared" si="29"/>
        <v>0.99025926709636558</v>
      </c>
      <c r="Z84" s="1">
        <f t="shared" si="30"/>
        <v>9.5702081736574716</v>
      </c>
      <c r="AA84" s="1">
        <f t="shared" si="30"/>
        <v>3.0825915915374686</v>
      </c>
      <c r="AB84" s="1">
        <f t="shared" si="31"/>
        <v>8.2014880987215637</v>
      </c>
      <c r="AC84" s="1">
        <f t="shared" si="31"/>
        <v>-1.3485333411493088</v>
      </c>
      <c r="AD84" s="1">
        <f t="shared" si="25"/>
        <v>8.3116153186767949</v>
      </c>
      <c r="AE84" s="1">
        <f t="shared" si="22"/>
        <v>0.33639880510495518</v>
      </c>
      <c r="AF84" s="1">
        <f t="shared" si="26"/>
        <v>0.30183928306297314</v>
      </c>
      <c r="AG84" s="1">
        <f t="shared" si="23"/>
        <v>-1.5623383836413489</v>
      </c>
      <c r="AH84" s="1">
        <f t="shared" si="24"/>
        <v>-6.3222255806029697</v>
      </c>
      <c r="AI84" s="1" t="b">
        <f t="shared" si="32"/>
        <v>0</v>
      </c>
      <c r="AJ84" s="1">
        <f t="shared" si="33"/>
        <v>9.5702081736574716</v>
      </c>
      <c r="AK84" s="1">
        <f t="shared" si="34"/>
        <v>3.0825915915374686</v>
      </c>
      <c r="AL84" s="1">
        <f t="shared" si="27"/>
        <v>9.5702081736574716</v>
      </c>
      <c r="AM84" s="1">
        <f t="shared" si="27"/>
        <v>3.0825915915374686</v>
      </c>
      <c r="AN84" s="1"/>
      <c r="AP84" s="1">
        <f t="shared" si="35"/>
        <v>7.8999999999999879</v>
      </c>
      <c r="AQ84" s="1">
        <f t="shared" si="36"/>
        <v>2.4432491077801561</v>
      </c>
      <c r="AR84" s="1">
        <f t="shared" si="37"/>
        <v>19.451917987759316</v>
      </c>
      <c r="AS84" s="1" t="e">
        <f t="shared" si="28"/>
        <v>#N/A</v>
      </c>
      <c r="AT84" s="1" t="e">
        <f t="shared" si="28"/>
        <v>#N/A</v>
      </c>
    </row>
    <row r="85" spans="25:46" s="3" customFormat="1" x14ac:dyDescent="0.25">
      <c r="Y85" s="1">
        <f t="shared" si="29"/>
        <v>1.0027941945279653</v>
      </c>
      <c r="Z85" s="1">
        <f t="shared" si="30"/>
        <v>9.673013231806074</v>
      </c>
      <c r="AA85" s="1">
        <f t="shared" si="30"/>
        <v>3.0656878239670697</v>
      </c>
      <c r="AB85" s="1">
        <f t="shared" si="31"/>
        <v>8.1819043004590171</v>
      </c>
      <c r="AC85" s="1">
        <f t="shared" si="31"/>
        <v>-1.4277819800083695</v>
      </c>
      <c r="AD85" s="1">
        <f t="shared" si="25"/>
        <v>8.3055475053909831</v>
      </c>
      <c r="AE85" s="1">
        <f t="shared" si="22"/>
        <v>0.33664456917260061</v>
      </c>
      <c r="AF85" s="1">
        <f t="shared" si="26"/>
        <v>0.30198674150356036</v>
      </c>
      <c r="AG85" s="1">
        <f t="shared" si="23"/>
        <v>-1.5256918968939408</v>
      </c>
      <c r="AH85" s="1">
        <f t="shared" si="24"/>
        <v>-6.3106558081244213</v>
      </c>
      <c r="AI85" s="1" t="b">
        <f t="shared" si="32"/>
        <v>0</v>
      </c>
      <c r="AJ85" s="1">
        <f t="shared" si="33"/>
        <v>9.673013231806074</v>
      </c>
      <c r="AK85" s="1">
        <f t="shared" si="34"/>
        <v>3.0656878239670697</v>
      </c>
      <c r="AL85" s="1">
        <f t="shared" si="27"/>
        <v>9.673013231806074</v>
      </c>
      <c r="AM85" s="1">
        <f t="shared" si="27"/>
        <v>3.0656878239670697</v>
      </c>
      <c r="AN85" s="1"/>
      <c r="AP85" s="1">
        <f t="shared" si="35"/>
        <v>7.9999999999999876</v>
      </c>
      <c r="AQ85" s="1">
        <f t="shared" si="36"/>
        <v>2.4485938615274798</v>
      </c>
      <c r="AR85" s="1">
        <f t="shared" si="37"/>
        <v>19.44915962317571</v>
      </c>
      <c r="AS85" s="1" t="e">
        <f t="shared" si="28"/>
        <v>#N/A</v>
      </c>
      <c r="AT85" s="1" t="e">
        <f t="shared" si="28"/>
        <v>#N/A</v>
      </c>
    </row>
    <row r="86" spans="25:46" s="3" customFormat="1" x14ac:dyDescent="0.25">
      <c r="Y86" s="1">
        <f t="shared" si="29"/>
        <v>1.0153291219595648</v>
      </c>
      <c r="Z86" s="1">
        <f t="shared" si="30"/>
        <v>9.7755728084646201</v>
      </c>
      <c r="AA86" s="1">
        <f t="shared" si="30"/>
        <v>3.0477906804595194</v>
      </c>
      <c r="AB86" s="1">
        <f t="shared" si="31"/>
        <v>8.1627798632484723</v>
      </c>
      <c r="AC86" s="1">
        <f t="shared" si="31"/>
        <v>-1.5068855926090114</v>
      </c>
      <c r="AD86" s="1">
        <f t="shared" si="25"/>
        <v>8.3007035415720853</v>
      </c>
      <c r="AE86" s="1">
        <f t="shared" si="22"/>
        <v>0.3368410216907195</v>
      </c>
      <c r="AF86" s="1">
        <f t="shared" si="26"/>
        <v>0.3021046130144317</v>
      </c>
      <c r="AG86" s="1">
        <f t="shared" si="23"/>
        <v>-1.4895153818349374</v>
      </c>
      <c r="AH86" s="1">
        <f t="shared" si="24"/>
        <v>-6.2987643717501847</v>
      </c>
      <c r="AI86" s="1" t="b">
        <f t="shared" si="32"/>
        <v>0</v>
      </c>
      <c r="AJ86" s="1">
        <f t="shared" si="33"/>
        <v>9.7755728084646201</v>
      </c>
      <c r="AK86" s="1">
        <f t="shared" si="34"/>
        <v>3.0477906804595194</v>
      </c>
      <c r="AL86" s="1">
        <f t="shared" si="27"/>
        <v>9.7755728084646201</v>
      </c>
      <c r="AM86" s="1">
        <f t="shared" si="27"/>
        <v>3.0477906804595194</v>
      </c>
      <c r="AN86" s="1"/>
      <c r="AP86" s="1">
        <f t="shared" si="35"/>
        <v>8.0999999999999872</v>
      </c>
      <c r="AQ86" s="1">
        <f t="shared" si="36"/>
        <v>2.4536788008565305</v>
      </c>
      <c r="AR86" s="1">
        <f t="shared" si="37"/>
        <v>19.446531800185337</v>
      </c>
      <c r="AS86" s="1" t="e">
        <f t="shared" si="28"/>
        <v>#N/A</v>
      </c>
      <c r="AT86" s="1" t="e">
        <f t="shared" si="28"/>
        <v>#N/A</v>
      </c>
    </row>
    <row r="87" spans="25:46" s="3" customFormat="1" x14ac:dyDescent="0.25">
      <c r="Y87" s="1">
        <f t="shared" si="29"/>
        <v>1.0278640493911644</v>
      </c>
      <c r="Z87" s="1">
        <f t="shared" ref="Z87:AA102" si="38">Z86+AB86*$V$4</f>
        <v>9.8778926616905611</v>
      </c>
      <c r="AA87" s="1">
        <f t="shared" si="38"/>
        <v>3.0289019789084426</v>
      </c>
      <c r="AB87" s="1">
        <f t="shared" ref="AB87:AC102" si="39">AB86+AG86*$V$4</f>
        <v>8.1441088960289196</v>
      </c>
      <c r="AC87" s="1">
        <f t="shared" si="39"/>
        <v>-1.5858401469176449</v>
      </c>
      <c r="AD87" s="1">
        <f t="shared" si="25"/>
        <v>8.2970716931911088</v>
      </c>
      <c r="AE87" s="1">
        <f t="shared" si="22"/>
        <v>0.33698846594147586</v>
      </c>
      <c r="AF87" s="1">
        <f t="shared" si="26"/>
        <v>0.3021930795648855</v>
      </c>
      <c r="AG87" s="1">
        <f t="shared" si="23"/>
        <v>-1.4537994570959945</v>
      </c>
      <c r="AH87" s="1">
        <f t="shared" si="24"/>
        <v>-6.286548820705617</v>
      </c>
      <c r="AI87" s="1" t="b">
        <f t="shared" si="32"/>
        <v>0</v>
      </c>
      <c r="AJ87" s="1">
        <f t="shared" si="33"/>
        <v>9.8778926616905611</v>
      </c>
      <c r="AK87" s="1">
        <f t="shared" si="34"/>
        <v>3.0289019789084426</v>
      </c>
      <c r="AL87" s="1">
        <f t="shared" si="27"/>
        <v>9.8778926616905611</v>
      </c>
      <c r="AM87" s="1">
        <f t="shared" si="27"/>
        <v>3.0289019789084426</v>
      </c>
      <c r="AN87" s="1"/>
      <c r="AP87" s="1">
        <f t="shared" si="35"/>
        <v>8.1999999999999869</v>
      </c>
      <c r="AQ87" s="1">
        <f t="shared" si="36"/>
        <v>2.458503925767308</v>
      </c>
      <c r="AR87" s="1">
        <f t="shared" si="37"/>
        <v>19.444034571715541</v>
      </c>
      <c r="AS87" s="1" t="e">
        <f t="shared" si="28"/>
        <v>#N/A</v>
      </c>
      <c r="AT87" s="1" t="e">
        <f t="shared" si="28"/>
        <v>#N/A</v>
      </c>
    </row>
    <row r="88" spans="25:46" s="3" customFormat="1" x14ac:dyDescent="0.25">
      <c r="Y88" s="1">
        <f t="shared" si="29"/>
        <v>1.0403989768227639</v>
      </c>
      <c r="Z88" s="1">
        <f t="shared" si="38"/>
        <v>9.9799784756973278</v>
      </c>
      <c r="AA88" s="1">
        <f t="shared" si="38"/>
        <v>3.0090235877487128</v>
      </c>
      <c r="AB88" s="1">
        <f t="shared" si="39"/>
        <v>8.1258856253341225</v>
      </c>
      <c r="AC88" s="1">
        <f t="shared" si="39"/>
        <v>-1.6646415801803975</v>
      </c>
      <c r="AD88" s="1">
        <f t="shared" si="25"/>
        <v>8.294639762308984</v>
      </c>
      <c r="AE88" s="1">
        <f t="shared" si="22"/>
        <v>0.33708726862377758</v>
      </c>
      <c r="AF88" s="1">
        <f t="shared" si="26"/>
        <v>0.30225236117426657</v>
      </c>
      <c r="AG88" s="1">
        <f t="shared" si="23"/>
        <v>-1.4185348822751136</v>
      </c>
      <c r="AH88" s="1">
        <f t="shared" si="24"/>
        <v>-6.2740068267681739</v>
      </c>
      <c r="AI88" s="1" t="b">
        <f t="shared" si="32"/>
        <v>0</v>
      </c>
      <c r="AJ88" s="1">
        <f t="shared" si="33"/>
        <v>9.9799784756973278</v>
      </c>
      <c r="AK88" s="1">
        <f t="shared" si="34"/>
        <v>3.0090235877487128</v>
      </c>
      <c r="AL88" s="1">
        <f t="shared" si="27"/>
        <v>9.9799784756973278</v>
      </c>
      <c r="AM88" s="1">
        <f t="shared" si="27"/>
        <v>3.0090235877487128</v>
      </c>
      <c r="AN88" s="1"/>
      <c r="AP88" s="1">
        <f t="shared" si="35"/>
        <v>8.2999999999999865</v>
      </c>
      <c r="AQ88" s="1">
        <f t="shared" si="36"/>
        <v>2.4630692362598134</v>
      </c>
      <c r="AR88" s="1">
        <f t="shared" si="37"/>
        <v>19.44166798808984</v>
      </c>
      <c r="AS88" s="1" t="e">
        <f t="shared" si="28"/>
        <v>#N/A</v>
      </c>
      <c r="AT88" s="1" t="e">
        <f t="shared" si="28"/>
        <v>#N/A</v>
      </c>
    </row>
    <row r="89" spans="25:46" s="3" customFormat="1" x14ac:dyDescent="0.25">
      <c r="Y89" s="1">
        <f t="shared" si="29"/>
        <v>1.0529339042543635</v>
      </c>
      <c r="Z89" s="1">
        <f t="shared" si="38"/>
        <v>10.081835862328369</v>
      </c>
      <c r="AA89" s="1">
        <f t="shared" si="38"/>
        <v>2.9881574263415285</v>
      </c>
      <c r="AB89" s="1">
        <f t="shared" si="39"/>
        <v>8.1081043935256112</v>
      </c>
      <c r="AC89" s="1">
        <f t="shared" si="39"/>
        <v>-1.7432858004592968</v>
      </c>
      <c r="AD89" s="1">
        <f t="shared" si="25"/>
        <v>8.2933950972079185</v>
      </c>
      <c r="AE89" s="1">
        <f t="shared" si="22"/>
        <v>0.33713785837072102</v>
      </c>
      <c r="AF89" s="1">
        <f t="shared" si="26"/>
        <v>0.30228271502243265</v>
      </c>
      <c r="AG89" s="1">
        <f t="shared" si="23"/>
        <v>-1.3837125598437496</v>
      </c>
      <c r="AH89" s="1">
        <f t="shared" si="24"/>
        <v>-6.2611361905323077</v>
      </c>
      <c r="AI89" s="1" t="b">
        <f t="shared" si="32"/>
        <v>0</v>
      </c>
      <c r="AJ89" s="1">
        <f t="shared" si="33"/>
        <v>10.081835862328369</v>
      </c>
      <c r="AK89" s="1">
        <f t="shared" si="34"/>
        <v>2.9881574263415285</v>
      </c>
      <c r="AL89" s="1">
        <f t="shared" si="27"/>
        <v>10.081835862328369</v>
      </c>
      <c r="AM89" s="1">
        <f t="shared" si="27"/>
        <v>2.9881574263415285</v>
      </c>
      <c r="AN89" s="1"/>
      <c r="AP89" s="1">
        <f t="shared" si="35"/>
        <v>8.3999999999999861</v>
      </c>
      <c r="AQ89" s="1">
        <f t="shared" si="36"/>
        <v>2.4673747323340471</v>
      </c>
      <c r="AR89" s="1">
        <f t="shared" si="37"/>
        <v>19.439432097022884</v>
      </c>
      <c r="AS89" s="1" t="e">
        <f t="shared" si="28"/>
        <v>#N/A</v>
      </c>
      <c r="AT89" s="1" t="e">
        <f t="shared" si="28"/>
        <v>#N/A</v>
      </c>
    </row>
    <row r="90" spans="25:46" s="3" customFormat="1" x14ac:dyDescent="0.25">
      <c r="Y90" s="1">
        <f t="shared" si="29"/>
        <v>1.0654688316859631</v>
      </c>
      <c r="Z90" s="1">
        <f t="shared" si="38"/>
        <v>10.183470362509047</v>
      </c>
      <c r="AA90" s="1">
        <f t="shared" si="38"/>
        <v>2.9663054653402332</v>
      </c>
      <c r="AB90" s="1">
        <f t="shared" si="39"/>
        <v>8.0907596570017777</v>
      </c>
      <c r="AC90" s="1">
        <f t="shared" si="39"/>
        <v>-1.821768688246981</v>
      </c>
      <c r="AD90" s="1">
        <f t="shared" si="25"/>
        <v>8.2933246036101007</v>
      </c>
      <c r="AE90" s="1">
        <f t="shared" si="22"/>
        <v>0.33714072405628537</v>
      </c>
      <c r="AF90" s="1">
        <f t="shared" si="26"/>
        <v>0.30228443443377123</v>
      </c>
      <c r="AG90" s="1">
        <f t="shared" si="23"/>
        <v>-1.3493235371406147</v>
      </c>
      <c r="AH90" s="1">
        <f t="shared" si="24"/>
        <v>-6.2479348472868796</v>
      </c>
      <c r="AI90" s="1" t="b">
        <f t="shared" si="32"/>
        <v>1</v>
      </c>
      <c r="AJ90" s="1" t="e">
        <f t="shared" si="33"/>
        <v>#N/A</v>
      </c>
      <c r="AK90" s="1" t="e">
        <f t="shared" si="34"/>
        <v>#N/A</v>
      </c>
      <c r="AL90" s="1" t="e">
        <f t="shared" si="27"/>
        <v>#N/A</v>
      </c>
      <c r="AM90" s="1" t="e">
        <f t="shared" si="27"/>
        <v>#N/A</v>
      </c>
      <c r="AN90" s="1"/>
      <c r="AP90" s="1">
        <f t="shared" si="35"/>
        <v>8.4999999999999858</v>
      </c>
      <c r="AQ90" s="1">
        <f t="shared" si="36"/>
        <v>2.4714204139900069</v>
      </c>
      <c r="AR90" s="1">
        <f t="shared" si="37"/>
        <v>19.437326943615655</v>
      </c>
      <c r="AS90" s="1" t="e">
        <f t="shared" si="28"/>
        <v>#N/A</v>
      </c>
      <c r="AT90" s="1" t="e">
        <f t="shared" si="28"/>
        <v>#N/A</v>
      </c>
    </row>
    <row r="91" spans="25:46" s="3" customFormat="1" x14ac:dyDescent="0.25">
      <c r="Y91" s="1">
        <f t="shared" si="29"/>
        <v>1.0780037591175626</v>
      </c>
      <c r="Z91" s="1">
        <f t="shared" si="38"/>
        <v>10.284887447676077</v>
      </c>
      <c r="AA91" s="1">
        <f t="shared" si="38"/>
        <v>2.9434697270358972</v>
      </c>
      <c r="AB91" s="1">
        <f t="shared" si="39"/>
        <v>8.0738459843819701</v>
      </c>
      <c r="AC91" s="1">
        <f t="shared" si="39"/>
        <v>-1.9000860981550842</v>
      </c>
      <c r="AD91" s="1">
        <f t="shared" si="25"/>
        <v>8.2944147569266793</v>
      </c>
      <c r="AE91" s="1">
        <f t="shared" si="22"/>
        <v>0.33709641290362968</v>
      </c>
      <c r="AF91" s="1">
        <f t="shared" si="26"/>
        <v>0.30225784774217779</v>
      </c>
      <c r="AG91" s="1">
        <f t="shared" si="23"/>
        <v>-1.3153590084297391</v>
      </c>
      <c r="AH91" s="1">
        <f t="shared" si="24"/>
        <v>-6.2344008724969511</v>
      </c>
      <c r="AI91" s="1" t="b">
        <f t="shared" si="32"/>
        <v>1</v>
      </c>
      <c r="AJ91" s="1" t="e">
        <f t="shared" si="33"/>
        <v>#N/A</v>
      </c>
      <c r="AK91" s="1" t="e">
        <f t="shared" si="34"/>
        <v>#N/A</v>
      </c>
      <c r="AL91" s="1" t="e">
        <f t="shared" si="27"/>
        <v>#N/A</v>
      </c>
      <c r="AM91" s="1" t="e">
        <f t="shared" si="27"/>
        <v>#N/A</v>
      </c>
      <c r="AN91" s="1"/>
      <c r="AP91" s="1">
        <f t="shared" si="35"/>
        <v>8.5999999999999854</v>
      </c>
      <c r="AQ91" s="1">
        <f t="shared" si="36"/>
        <v>2.475206281227694</v>
      </c>
      <c r="AR91" s="1">
        <f t="shared" si="37"/>
        <v>19.435352570351007</v>
      </c>
      <c r="AS91" s="1" t="e">
        <f t="shared" si="28"/>
        <v>#N/A</v>
      </c>
      <c r="AT91" s="1" t="e">
        <f t="shared" si="28"/>
        <v>#N/A</v>
      </c>
    </row>
    <row r="92" spans="25:46" s="3" customFormat="1" x14ac:dyDescent="0.25">
      <c r="Y92" s="1">
        <f t="shared" si="29"/>
        <v>1.0905386865491622</v>
      </c>
      <c r="Z92" s="1">
        <f t="shared" si="38"/>
        <v>10.386092521184217</v>
      </c>
      <c r="AA92" s="1">
        <f t="shared" si="38"/>
        <v>2.9196522856817322</v>
      </c>
      <c r="AB92" s="1">
        <f t="shared" si="39"/>
        <v>8.0573580546648031</v>
      </c>
      <c r="AC92" s="1">
        <f t="shared" si="39"/>
        <v>-1.9782338606713346</v>
      </c>
      <c r="AD92" s="1">
        <f t="shared" si="25"/>
        <v>8.2966516154758718</v>
      </c>
      <c r="AE92" s="1">
        <f t="shared" si="22"/>
        <v>0.33700552840852821</v>
      </c>
      <c r="AF92" s="1">
        <f t="shared" si="26"/>
        <v>0.30220331704511694</v>
      </c>
      <c r="AG92" s="1">
        <f t="shared" si="23"/>
        <v>-1.2818103170007333</v>
      </c>
      <c r="AH92" s="1">
        <f t="shared" si="24"/>
        <v>-6.2205324868835579</v>
      </c>
      <c r="AI92" s="1" t="b">
        <f t="shared" si="32"/>
        <v>1</v>
      </c>
      <c r="AJ92" s="1" t="e">
        <f t="shared" si="33"/>
        <v>#N/A</v>
      </c>
      <c r="AK92" s="1" t="e">
        <f t="shared" si="34"/>
        <v>#N/A</v>
      </c>
      <c r="AL92" s="1" t="e">
        <f t="shared" si="27"/>
        <v>#N/A</v>
      </c>
      <c r="AM92" s="1" t="e">
        <f t="shared" si="27"/>
        <v>#N/A</v>
      </c>
      <c r="AN92" s="1"/>
      <c r="AP92" s="1">
        <f t="shared" si="35"/>
        <v>8.6999999999999851</v>
      </c>
      <c r="AQ92" s="1">
        <f t="shared" si="36"/>
        <v>2.478732334047109</v>
      </c>
      <c r="AR92" s="1">
        <f t="shared" si="37"/>
        <v>19.433509017089271</v>
      </c>
      <c r="AS92" s="1" t="e">
        <f t="shared" si="28"/>
        <v>#N/A</v>
      </c>
      <c r="AT92" s="1" t="e">
        <f t="shared" si="28"/>
        <v>#N/A</v>
      </c>
    </row>
    <row r="93" spans="25:46" s="3" customFormat="1" x14ac:dyDescent="0.25">
      <c r="Y93" s="1">
        <f t="shared" si="29"/>
        <v>1.1030736139807618</v>
      </c>
      <c r="Z93" s="1">
        <f t="shared" si="38"/>
        <v>10.487090919689855</v>
      </c>
      <c r="AA93" s="1">
        <f t="shared" si="38"/>
        <v>2.8948552677954837</v>
      </c>
      <c r="AB93" s="1">
        <f t="shared" si="39"/>
        <v>8.0412906553601236</v>
      </c>
      <c r="AC93" s="1">
        <f t="shared" si="39"/>
        <v>-2.0562077839803274</v>
      </c>
      <c r="AD93" s="1">
        <f t="shared" si="25"/>
        <v>8.3000208346053768</v>
      </c>
      <c r="AE93" s="1">
        <f t="shared" si="22"/>
        <v>0.33686872809251828</v>
      </c>
      <c r="AF93" s="1">
        <f t="shared" si="26"/>
        <v>0.30212123685551096</v>
      </c>
      <c r="AG93" s="1">
        <f t="shared" si="23"/>
        <v>-1.2486689572894938</v>
      </c>
      <c r="AH93" s="1">
        <f t="shared" si="24"/>
        <v>-6.206328061096789</v>
      </c>
      <c r="AI93" s="1" t="b">
        <f t="shared" si="32"/>
        <v>1</v>
      </c>
      <c r="AJ93" s="1" t="e">
        <f t="shared" si="33"/>
        <v>#N/A</v>
      </c>
      <c r="AK93" s="1" t="e">
        <f t="shared" si="34"/>
        <v>#N/A</v>
      </c>
      <c r="AL93" s="1" t="e">
        <f t="shared" si="27"/>
        <v>#N/A</v>
      </c>
      <c r="AM93" s="1" t="e">
        <f t="shared" si="27"/>
        <v>#N/A</v>
      </c>
      <c r="AN93" s="1"/>
      <c r="AP93" s="1">
        <f t="shared" si="35"/>
        <v>8.7999999999999847</v>
      </c>
      <c r="AQ93" s="1">
        <f t="shared" si="36"/>
        <v>2.4819985724482505</v>
      </c>
      <c r="AR93" s="1">
        <f t="shared" si="37"/>
        <v>19.431796321064304</v>
      </c>
      <c r="AS93" s="1" t="e">
        <f t="shared" si="28"/>
        <v>#N/A</v>
      </c>
      <c r="AT93" s="1" t="e">
        <f t="shared" si="28"/>
        <v>#N/A</v>
      </c>
    </row>
    <row r="94" spans="25:46" s="3" customFormat="1" x14ac:dyDescent="0.25">
      <c r="Y94" s="1">
        <f t="shared" si="29"/>
        <v>1.1156085414123613</v>
      </c>
      <c r="Z94" s="1">
        <f t="shared" si="38"/>
        <v>10.587887914511194</v>
      </c>
      <c r="AA94" s="1">
        <f t="shared" si="38"/>
        <v>2.8690808524390001</v>
      </c>
      <c r="AB94" s="1">
        <f t="shared" si="39"/>
        <v>8.0256386805944082</v>
      </c>
      <c r="AC94" s="1">
        <f t="shared" si="39"/>
        <v>-2.1340036558428759</v>
      </c>
      <c r="AD94" s="1">
        <f t="shared" si="25"/>
        <v>8.3045076816512076</v>
      </c>
      <c r="AE94" s="1">
        <f t="shared" si="22"/>
        <v>0.33668672110120507</v>
      </c>
      <c r="AF94" s="1">
        <f t="shared" si="26"/>
        <v>0.30201203266072307</v>
      </c>
      <c r="AG94" s="1">
        <f t="shared" si="23"/>
        <v>-1.2159265769982368</v>
      </c>
      <c r="AH94" s="1">
        <f t="shared" si="24"/>
        <v>-6.1917861199791648</v>
      </c>
      <c r="AI94" s="1" t="b">
        <f t="shared" si="32"/>
        <v>1</v>
      </c>
      <c r="AJ94" s="1" t="e">
        <f t="shared" si="33"/>
        <v>#N/A</v>
      </c>
      <c r="AK94" s="1" t="e">
        <f t="shared" si="34"/>
        <v>#N/A</v>
      </c>
      <c r="AL94" s="1" t="e">
        <f t="shared" si="27"/>
        <v>#N/A</v>
      </c>
      <c r="AM94" s="1" t="e">
        <f t="shared" si="27"/>
        <v>#N/A</v>
      </c>
      <c r="AN94" s="1"/>
      <c r="AP94" s="1">
        <f t="shared" si="35"/>
        <v>8.8999999999999844</v>
      </c>
      <c r="AQ94" s="1">
        <f t="shared" si="36"/>
        <v>2.4850049964311198</v>
      </c>
      <c r="AR94" s="1">
        <f t="shared" si="37"/>
        <v>19.430214516879765</v>
      </c>
      <c r="AS94" s="1" t="e">
        <f t="shared" si="28"/>
        <v>#N/A</v>
      </c>
      <c r="AT94" s="1" t="e">
        <f t="shared" si="28"/>
        <v>#N/A</v>
      </c>
    </row>
    <row r="95" spans="25:46" s="3" customFormat="1" x14ac:dyDescent="0.25">
      <c r="Y95" s="1">
        <f t="shared" si="29"/>
        <v>1.1281434688439609</v>
      </c>
      <c r="Z95" s="1">
        <f t="shared" si="38"/>
        <v>10.688488712964684</v>
      </c>
      <c r="AA95" s="1">
        <f t="shared" si="38"/>
        <v>2.8423312714742415</v>
      </c>
      <c r="AB95" s="1">
        <f t="shared" si="39"/>
        <v>8.0103971291895828</v>
      </c>
      <c r="AC95" s="1">
        <f t="shared" si="39"/>
        <v>-2.2116172455288003</v>
      </c>
      <c r="AD95" s="1">
        <f t="shared" si="25"/>
        <v>8.3100970516624599</v>
      </c>
      <c r="AE95" s="1">
        <f t="shared" si="22"/>
        <v>0.33646026566387255</v>
      </c>
      <c r="AF95" s="1">
        <f t="shared" si="26"/>
        <v>0.30187615939832352</v>
      </c>
      <c r="AG95" s="1">
        <f t="shared" si="23"/>
        <v>-1.1835749791943448</v>
      </c>
      <c r="AH95" s="1">
        <f t="shared" si="24"/>
        <v>-6.1769053464180832</v>
      </c>
      <c r="AI95" s="1" t="b">
        <f t="shared" si="32"/>
        <v>1</v>
      </c>
      <c r="AJ95" s="1" t="e">
        <f t="shared" si="33"/>
        <v>#N/A</v>
      </c>
      <c r="AK95" s="1" t="e">
        <f t="shared" si="34"/>
        <v>#N/A</v>
      </c>
      <c r="AL95" s="1" t="e">
        <f t="shared" si="27"/>
        <v>#N/A</v>
      </c>
      <c r="AM95" s="1" t="e">
        <f t="shared" si="27"/>
        <v>#N/A</v>
      </c>
      <c r="AN95" s="1"/>
      <c r="AP95" s="1">
        <f t="shared" si="35"/>
        <v>8.999999999999984</v>
      </c>
      <c r="AQ95" s="1">
        <f t="shared" si="36"/>
        <v>2.487751605995717</v>
      </c>
      <c r="AR95" s="1">
        <f t="shared" si="37"/>
        <v>19.42876363650554</v>
      </c>
      <c r="AS95" s="1" t="e">
        <f t="shared" si="28"/>
        <v>#N/A</v>
      </c>
      <c r="AT95" s="1" t="e">
        <f t="shared" si="28"/>
        <v>#N/A</v>
      </c>
    </row>
    <row r="96" spans="25:46" s="3" customFormat="1" x14ac:dyDescent="0.25">
      <c r="Y96" s="1">
        <f t="shared" si="29"/>
        <v>1.1406783962755604</v>
      </c>
      <c r="Z96" s="1">
        <f t="shared" si="38"/>
        <v>10.78889845967737</v>
      </c>
      <c r="AA96" s="1">
        <f t="shared" si="38"/>
        <v>2.8146088097950637</v>
      </c>
      <c r="AB96" s="1">
        <f t="shared" si="39"/>
        <v>7.9955611027155244</v>
      </c>
      <c r="AC96" s="1">
        <f t="shared" si="39"/>
        <v>-2.2890443057980105</v>
      </c>
      <c r="AD96" s="1">
        <f t="shared" si="25"/>
        <v>8.3167734838195386</v>
      </c>
      <c r="AE96" s="1">
        <f t="shared" si="22"/>
        <v>0.33619016643108379</v>
      </c>
      <c r="AF96" s="1">
        <f t="shared" si="26"/>
        <v>0.30171409985865028</v>
      </c>
      <c r="AG96" s="1">
        <f t="shared" si="23"/>
        <v>-1.1516061243683064</v>
      </c>
      <c r="AH96" s="1">
        <f t="shared" si="24"/>
        <v>-6.1616845847876771</v>
      </c>
      <c r="AI96" s="1" t="b">
        <f t="shared" si="32"/>
        <v>1</v>
      </c>
      <c r="AJ96" s="1" t="e">
        <f t="shared" si="33"/>
        <v>#N/A</v>
      </c>
      <c r="AK96" s="1" t="e">
        <f t="shared" si="34"/>
        <v>#N/A</v>
      </c>
      <c r="AL96" s="1" t="e">
        <f t="shared" si="27"/>
        <v>#N/A</v>
      </c>
      <c r="AM96" s="1" t="e">
        <f t="shared" si="27"/>
        <v>#N/A</v>
      </c>
      <c r="AN96" s="1"/>
      <c r="AP96" s="1">
        <f t="shared" si="35"/>
        <v>9.0999999999999837</v>
      </c>
      <c r="AQ96" s="1">
        <f t="shared" si="36"/>
        <v>2.4902384011420406</v>
      </c>
      <c r="AR96" s="1">
        <f t="shared" si="37"/>
        <v>19.427443709274595</v>
      </c>
      <c r="AS96" s="1" t="e">
        <f t="shared" si="28"/>
        <v>#N/A</v>
      </c>
      <c r="AT96" s="1" t="e">
        <f t="shared" si="28"/>
        <v>#N/A</v>
      </c>
    </row>
    <row r="97" spans="3:46" s="3" customFormat="1" x14ac:dyDescent="0.25">
      <c r="Y97" s="1">
        <f t="shared" si="29"/>
        <v>1.15321332370716</v>
      </c>
      <c r="Z97" s="1">
        <f t="shared" si="38"/>
        <v>10.88912223787483</v>
      </c>
      <c r="AA97" s="1">
        <f t="shared" si="38"/>
        <v>2.7859158055341693</v>
      </c>
      <c r="AB97" s="1">
        <f t="shared" si="39"/>
        <v>7.9811258035167825</v>
      </c>
      <c r="AC97" s="1">
        <f t="shared" si="39"/>
        <v>-2.3662805749247298</v>
      </c>
      <c r="AD97" s="1">
        <f t="shared" si="25"/>
        <v>8.3245211784719189</v>
      </c>
      <c r="AE97" s="1">
        <f t="shared" si="22"/>
        <v>0.33587727170731552</v>
      </c>
      <c r="AF97" s="1">
        <f t="shared" si="26"/>
        <v>0.30152636302438929</v>
      </c>
      <c r="AG97" s="1">
        <f t="shared" si="23"/>
        <v>-1.1200121324319265</v>
      </c>
      <c r="AH97" s="1">
        <f t="shared" si="24"/>
        <v>-6.146122843982103</v>
      </c>
      <c r="AI97" s="1" t="b">
        <f t="shared" si="32"/>
        <v>1</v>
      </c>
      <c r="AJ97" s="1" t="e">
        <f t="shared" si="33"/>
        <v>#N/A</v>
      </c>
      <c r="AK97" s="1" t="e">
        <f t="shared" si="34"/>
        <v>#N/A</v>
      </c>
      <c r="AL97" s="1" t="e">
        <f t="shared" si="27"/>
        <v>#N/A</v>
      </c>
      <c r="AM97" s="1" t="e">
        <f t="shared" si="27"/>
        <v>#N/A</v>
      </c>
      <c r="AN97" s="1"/>
      <c r="AP97" s="1">
        <f t="shared" si="35"/>
        <v>9.1999999999999833</v>
      </c>
      <c r="AQ97" s="1">
        <f t="shared" si="36"/>
        <v>2.492465381870093</v>
      </c>
      <c r="AR97" s="1">
        <f t="shared" si="37"/>
        <v>19.426254761879971</v>
      </c>
      <c r="AS97" s="1" t="e">
        <f t="shared" si="28"/>
        <v>#N/A</v>
      </c>
      <c r="AT97" s="1" t="e">
        <f t="shared" si="28"/>
        <v>#N/A</v>
      </c>
    </row>
    <row r="98" spans="3:46" s="3" customFormat="1" x14ac:dyDescent="0.25">
      <c r="C98" s="1"/>
      <c r="D98" s="1"/>
      <c r="Y98" s="1">
        <f t="shared" si="29"/>
        <v>1.1657482511387596</v>
      </c>
      <c r="Z98" s="1">
        <f t="shared" si="38"/>
        <v>10.989165070644379</v>
      </c>
      <c r="AA98" s="1">
        <f t="shared" si="38"/>
        <v>2.7562546502446841</v>
      </c>
      <c r="AB98" s="1">
        <f t="shared" si="39"/>
        <v>7.9670865327142373</v>
      </c>
      <c r="AC98" s="1">
        <f t="shared" si="39"/>
        <v>-2.4433217787597417</v>
      </c>
      <c r="AD98" s="1">
        <f t="shared" si="25"/>
        <v>8.3333240147205512</v>
      </c>
      <c r="AE98" s="1">
        <f t="shared" si="22"/>
        <v>0.33552247059586782</v>
      </c>
      <c r="AF98" s="1">
        <f t="shared" si="26"/>
        <v>0.3013134823575207</v>
      </c>
      <c r="AG98" s="1">
        <f t="shared" si="23"/>
        <v>-1.0887852846389405</v>
      </c>
      <c r="AH98" s="1">
        <f t="shared" si="24"/>
        <v>-6.1302193000438248</v>
      </c>
      <c r="AI98" s="1" t="b">
        <f t="shared" si="32"/>
        <v>1</v>
      </c>
      <c r="AJ98" s="1" t="e">
        <f t="shared" si="33"/>
        <v>#N/A</v>
      </c>
      <c r="AK98" s="1" t="e">
        <f t="shared" si="34"/>
        <v>#N/A</v>
      </c>
      <c r="AL98" s="1" t="e">
        <f t="shared" si="27"/>
        <v>#N/A</v>
      </c>
      <c r="AM98" s="1" t="e">
        <f t="shared" si="27"/>
        <v>#N/A</v>
      </c>
      <c r="AN98" s="1"/>
      <c r="AP98" s="1">
        <f t="shared" si="35"/>
        <v>9.2999999999999829</v>
      </c>
      <c r="AQ98" s="1">
        <f t="shared" si="36"/>
        <v>2.4944325481798719</v>
      </c>
      <c r="AR98" s="1">
        <f t="shared" si="37"/>
        <v>19.425196818372093</v>
      </c>
      <c r="AS98" s="1" t="e">
        <f t="shared" si="28"/>
        <v>#N/A</v>
      </c>
      <c r="AT98" s="1" t="e">
        <f t="shared" si="28"/>
        <v>#N/A</v>
      </c>
    </row>
    <row r="99" spans="3:46" s="3" customFormat="1" x14ac:dyDescent="0.25">
      <c r="C99" s="1"/>
      <c r="D99" s="1"/>
      <c r="E99" s="1"/>
      <c r="F99" s="1"/>
      <c r="G99" s="1"/>
      <c r="Y99" s="1">
        <f t="shared" si="29"/>
        <v>1.1782831785703591</v>
      </c>
      <c r="Z99" s="1">
        <f t="shared" si="38"/>
        <v>11.089031922173227</v>
      </c>
      <c r="AA99" s="1">
        <f t="shared" si="38"/>
        <v>2.725627789055884</v>
      </c>
      <c r="AB99" s="1">
        <f t="shared" si="39"/>
        <v>7.9534386881826951</v>
      </c>
      <c r="AC99" s="1">
        <f t="shared" si="39"/>
        <v>-2.5201636328255823</v>
      </c>
      <c r="AD99" s="1">
        <f t="shared" si="25"/>
        <v>8.3431655684696739</v>
      </c>
      <c r="AE99" s="1">
        <f t="shared" si="22"/>
        <v>0.33512669007331808</v>
      </c>
      <c r="AF99" s="1">
        <f t="shared" si="26"/>
        <v>0.30107601404399087</v>
      </c>
      <c r="AG99" s="1">
        <f t="shared" si="23"/>
        <v>-1.0579180254112341</v>
      </c>
      <c r="AH99" s="1">
        <f t="shared" si="24"/>
        <v>-6.1139732983919082</v>
      </c>
      <c r="AI99" s="1" t="b">
        <f t="shared" si="32"/>
        <v>1</v>
      </c>
      <c r="AJ99" s="1" t="e">
        <f t="shared" si="33"/>
        <v>#N/A</v>
      </c>
      <c r="AK99" s="1" t="e">
        <f t="shared" si="34"/>
        <v>#N/A</v>
      </c>
      <c r="AL99" s="1" t="e">
        <f t="shared" si="27"/>
        <v>#N/A</v>
      </c>
      <c r="AM99" s="1" t="e">
        <f t="shared" si="27"/>
        <v>#N/A</v>
      </c>
      <c r="AN99" s="1"/>
      <c r="AP99" s="1">
        <f t="shared" si="35"/>
        <v>9.3999999999999826</v>
      </c>
      <c r="AQ99" s="1">
        <f t="shared" si="36"/>
        <v>2.4961399000713778</v>
      </c>
      <c r="AR99" s="1">
        <f t="shared" si="37"/>
        <v>19.424269900156371</v>
      </c>
      <c r="AS99" s="1" t="e">
        <f t="shared" si="28"/>
        <v>#N/A</v>
      </c>
      <c r="AT99" s="1" t="e">
        <f t="shared" si="28"/>
        <v>#N/A</v>
      </c>
    </row>
    <row r="100" spans="3:46" s="3" customFormat="1" x14ac:dyDescent="0.25">
      <c r="E100" s="1"/>
      <c r="F100" s="1"/>
      <c r="G100" s="1"/>
      <c r="Y100" s="1">
        <f t="shared" si="29"/>
        <v>1.1908181060019587</v>
      </c>
      <c r="Z100" s="1">
        <f t="shared" si="38"/>
        <v>11.188727698961273</v>
      </c>
      <c r="AA100" s="1">
        <f t="shared" si="38"/>
        <v>2.6940377208026591</v>
      </c>
      <c r="AB100" s="1">
        <f t="shared" si="39"/>
        <v>7.9401777625055843</v>
      </c>
      <c r="AC100" s="1">
        <f t="shared" si="39"/>
        <v>-2.5968018444396623</v>
      </c>
      <c r="AD100" s="1">
        <f t="shared" si="25"/>
        <v>8.3540291308729238</v>
      </c>
      <c r="AE100" s="1">
        <f t="shared" si="22"/>
        <v>0.3346908920106621</v>
      </c>
      <c r="AF100" s="1">
        <f t="shared" si="26"/>
        <v>0.30081453520639723</v>
      </c>
      <c r="AG100" s="1">
        <f t="shared" si="23"/>
        <v>-1.0274029640550144</v>
      </c>
      <c r="AH100" s="1">
        <f t="shared" si="24"/>
        <v>-6.0973843556567884</v>
      </c>
      <c r="AI100" s="1" t="b">
        <f t="shared" si="32"/>
        <v>1</v>
      </c>
      <c r="AJ100" s="1" t="e">
        <f t="shared" si="33"/>
        <v>#N/A</v>
      </c>
      <c r="AK100" s="1" t="e">
        <f t="shared" si="34"/>
        <v>#N/A</v>
      </c>
      <c r="AL100" s="1" t="e">
        <f t="shared" si="27"/>
        <v>#N/A</v>
      </c>
      <c r="AM100" s="1" t="e">
        <f t="shared" si="27"/>
        <v>#N/A</v>
      </c>
      <c r="AN100" s="1"/>
      <c r="AP100" s="1">
        <f t="shared" si="35"/>
        <v>9.4999999999999822</v>
      </c>
      <c r="AQ100" s="1">
        <f t="shared" si="36"/>
        <v>2.497587437544611</v>
      </c>
      <c r="AR100" s="1">
        <f t="shared" si="37"/>
        <v>19.423474025990981</v>
      </c>
      <c r="AS100" s="1" t="e">
        <f t="shared" si="28"/>
        <v>#N/A</v>
      </c>
      <c r="AT100" s="1" t="e">
        <f t="shared" si="28"/>
        <v>#N/A</v>
      </c>
    </row>
    <row r="101" spans="3:46" s="3" customFormat="1" x14ac:dyDescent="0.25">
      <c r="Y101" s="1">
        <f t="shared" si="29"/>
        <v>1.2033530334335583</v>
      </c>
      <c r="Z101" s="1">
        <f t="shared" si="38"/>
        <v>11.288257251008281</v>
      </c>
      <c r="AA101" s="1">
        <f t="shared" si="38"/>
        <v>2.661486998128364</v>
      </c>
      <c r="AB101" s="1">
        <f t="shared" si="39"/>
        <v>7.927299340908144</v>
      </c>
      <c r="AC101" s="1">
        <f t="shared" si="39"/>
        <v>-2.6732321148603906</v>
      </c>
      <c r="AD101" s="1">
        <f t="shared" si="25"/>
        <v>8.3658977270992061</v>
      </c>
      <c r="AE101" s="1">
        <f t="shared" si="22"/>
        <v>0.33421607015800886</v>
      </c>
      <c r="AF101" s="1">
        <f t="shared" si="26"/>
        <v>0.30052964209480532</v>
      </c>
      <c r="AG101" s="1">
        <f t="shared" si="23"/>
        <v>-0.99723287635244473</v>
      </c>
      <c r="AH101" s="1">
        <f t="shared" si="24"/>
        <v>-6.0804521611292568</v>
      </c>
      <c r="AI101" s="1" t="b">
        <f t="shared" si="32"/>
        <v>1</v>
      </c>
      <c r="AJ101" s="1" t="e">
        <f t="shared" si="33"/>
        <v>#N/A</v>
      </c>
      <c r="AK101" s="1" t="e">
        <f t="shared" si="34"/>
        <v>#N/A</v>
      </c>
      <c r="AL101" s="1" t="e">
        <f t="shared" si="27"/>
        <v>#N/A</v>
      </c>
      <c r="AM101" s="1" t="e">
        <f t="shared" si="27"/>
        <v>#N/A</v>
      </c>
      <c r="AN101" s="1"/>
      <c r="AP101" s="1">
        <f t="shared" si="35"/>
        <v>9.5999999999999819</v>
      </c>
      <c r="AQ101" s="1">
        <f t="shared" si="36"/>
        <v>2.4987751605995716</v>
      </c>
      <c r="AR101" s="1">
        <f t="shared" si="37"/>
        <v>19.422809211985015</v>
      </c>
      <c r="AS101" s="1" t="e">
        <f t="shared" si="28"/>
        <v>#N/A</v>
      </c>
      <c r="AT101" s="1" t="e">
        <f t="shared" si="28"/>
        <v>#N/A</v>
      </c>
    </row>
    <row r="102" spans="3:46" s="3" customFormat="1" x14ac:dyDescent="0.25">
      <c r="Y102" s="1">
        <f t="shared" si="29"/>
        <v>1.2158879608651578</v>
      </c>
      <c r="Z102" s="1">
        <f t="shared" si="38"/>
        <v>11.387625372975132</v>
      </c>
      <c r="AA102" s="1">
        <f t="shared" si="38"/>
        <v>2.6279782275607677</v>
      </c>
      <c r="AB102" s="1">
        <f t="shared" si="39"/>
        <v>7.9147990991706605</v>
      </c>
      <c r="AC102" s="1">
        <f t="shared" si="39"/>
        <v>-2.7494501414514585</v>
      </c>
      <c r="AD102" s="1">
        <f t="shared" si="25"/>
        <v>8.3787541353449519</v>
      </c>
      <c r="AE102" s="1">
        <f t="shared" si="22"/>
        <v>0.33370324710927962</v>
      </c>
      <c r="AF102" s="1">
        <f t="shared" si="26"/>
        <v>0.30022194826556781</v>
      </c>
      <c r="AG102" s="1">
        <f t="shared" si="23"/>
        <v>-0.96740070601553763</v>
      </c>
      <c r="AH102" s="1">
        <f t="shared" si="24"/>
        <v>-6.0631765778326638</v>
      </c>
      <c r="AI102" s="1" t="b">
        <f t="shared" si="32"/>
        <v>1</v>
      </c>
      <c r="AJ102" s="1" t="e">
        <f t="shared" si="33"/>
        <v>#N/A</v>
      </c>
      <c r="AK102" s="1" t="e">
        <f t="shared" si="34"/>
        <v>#N/A</v>
      </c>
      <c r="AL102" s="1" t="e">
        <f t="shared" si="27"/>
        <v>#N/A</v>
      </c>
      <c r="AM102" s="1" t="e">
        <f t="shared" si="27"/>
        <v>#N/A</v>
      </c>
      <c r="AN102" s="1"/>
      <c r="AP102" s="1">
        <f t="shared" si="35"/>
        <v>9.6999999999999815</v>
      </c>
      <c r="AQ102" s="1">
        <f t="shared" si="36"/>
        <v>2.4997030692362596</v>
      </c>
      <c r="AR102" s="1">
        <f t="shared" si="37"/>
        <v>19.422275471596826</v>
      </c>
      <c r="AS102" s="1" t="e">
        <f t="shared" si="28"/>
        <v>#N/A</v>
      </c>
      <c r="AT102" s="1" t="e">
        <f t="shared" si="28"/>
        <v>#N/A</v>
      </c>
    </row>
    <row r="103" spans="3:46" s="3" customFormat="1" x14ac:dyDescent="0.25">
      <c r="Y103" s="1">
        <f t="shared" si="29"/>
        <v>1.2284228882967574</v>
      </c>
      <c r="Z103" s="1">
        <f t="shared" ref="Z103:AA105" si="40">Z102+AB102*$V$4</f>
        <v>11.486836805318925</v>
      </c>
      <c r="AA103" s="1">
        <f t="shared" si="40"/>
        <v>2.5935140695608725</v>
      </c>
      <c r="AB103" s="1">
        <f t="shared" ref="AB103:AC105" si="41">AB102+AG102*$V$4</f>
        <v>7.9026728015234777</v>
      </c>
      <c r="AC103" s="1">
        <f t="shared" si="41"/>
        <v>-2.8254516198595652</v>
      </c>
      <c r="AD103" s="1">
        <f t="shared" si="25"/>
        <v>8.3925809060208625</v>
      </c>
      <c r="AE103" s="1">
        <f t="shared" si="22"/>
        <v>0.33315347126282024</v>
      </c>
      <c r="AF103" s="1">
        <f t="shared" si="26"/>
        <v>0.29989208275769214</v>
      </c>
      <c r="AG103" s="1">
        <f t="shared" si="23"/>
        <v>-0.93789956599033331</v>
      </c>
      <c r="AH103" s="1">
        <f t="shared" si="24"/>
        <v>-6.0455576432283991</v>
      </c>
      <c r="AI103" s="1" t="b">
        <f t="shared" si="32"/>
        <v>1</v>
      </c>
      <c r="AJ103" s="1" t="e">
        <f t="shared" si="33"/>
        <v>#N/A</v>
      </c>
      <c r="AK103" s="1" t="e">
        <f t="shared" si="34"/>
        <v>#N/A</v>
      </c>
      <c r="AL103" s="1" t="e">
        <f t="shared" si="27"/>
        <v>#N/A</v>
      </c>
      <c r="AM103" s="1" t="e">
        <f t="shared" si="27"/>
        <v>#N/A</v>
      </c>
      <c r="AN103" s="1"/>
      <c r="AP103" s="1">
        <f t="shared" si="35"/>
        <v>9.7999999999999812</v>
      </c>
      <c r="AQ103" s="1">
        <f t="shared" si="36"/>
        <v>2.500371163454675</v>
      </c>
      <c r="AR103" s="1">
        <f t="shared" si="37"/>
        <v>19.421872815632685</v>
      </c>
      <c r="AS103" s="1" t="e">
        <f t="shared" si="28"/>
        <v>#N/A</v>
      </c>
      <c r="AT103" s="1" t="e">
        <f t="shared" si="28"/>
        <v>#N/A</v>
      </c>
    </row>
    <row r="104" spans="3:46" s="3" customFormat="1" x14ac:dyDescent="0.25">
      <c r="Y104" s="1">
        <f t="shared" si="29"/>
        <v>1.2409578157283569</v>
      </c>
      <c r="Z104" s="1">
        <f t="shared" si="40"/>
        <v>11.585896235401696</v>
      </c>
      <c r="AA104" s="1">
        <f t="shared" si="40"/>
        <v>2.5580972385444376</v>
      </c>
      <c r="AB104" s="1">
        <f t="shared" si="41"/>
        <v>7.89091629852566</v>
      </c>
      <c r="AC104" s="1">
        <f t="shared" si="41"/>
        <v>-2.9012322462009852</v>
      </c>
      <c r="AD104" s="1">
        <f t="shared" si="25"/>
        <v>8.4073603810431674</v>
      </c>
      <c r="AE104" s="1">
        <f t="shared" si="22"/>
        <v>0.33256781379317907</v>
      </c>
      <c r="AF104" s="1">
        <f t="shared" si="26"/>
        <v>0.29954068827590741</v>
      </c>
      <c r="AG104" s="1">
        <f t="shared" si="23"/>
        <v>-0.90872273960072958</v>
      </c>
      <c r="AH104" s="1">
        <f t="shared" si="24"/>
        <v>-6.027595569565781</v>
      </c>
      <c r="AI104" s="1" t="b">
        <f t="shared" si="32"/>
        <v>1</v>
      </c>
      <c r="AJ104" s="1" t="e">
        <f t="shared" si="33"/>
        <v>#N/A</v>
      </c>
      <c r="AK104" s="1" t="e">
        <f t="shared" si="34"/>
        <v>#N/A</v>
      </c>
      <c r="AL104" s="1" t="e">
        <f t="shared" si="27"/>
        <v>#N/A</v>
      </c>
      <c r="AM104" s="1" t="e">
        <f t="shared" si="27"/>
        <v>#N/A</v>
      </c>
      <c r="AN104" s="1"/>
      <c r="AP104" s="1">
        <f t="shared" si="35"/>
        <v>9.8999999999999808</v>
      </c>
      <c r="AQ104" s="1">
        <f t="shared" si="36"/>
        <v>2.5007794432548174</v>
      </c>
      <c r="AR104" s="1">
        <f t="shared" si="37"/>
        <v>19.421601252245658</v>
      </c>
      <c r="AS104" s="1" t="e">
        <f t="shared" si="28"/>
        <v>#N/A</v>
      </c>
      <c r="AT104" s="1" t="e">
        <f t="shared" si="28"/>
        <v>#N/A</v>
      </c>
    </row>
    <row r="105" spans="3:46" s="3" customFormat="1" x14ac:dyDescent="0.25">
      <c r="C105" s="1"/>
      <c r="D105" s="1"/>
      <c r="Y105" s="1">
        <f t="shared" si="29"/>
        <v>1.2534927431599565</v>
      </c>
      <c r="Z105" s="1">
        <f t="shared" si="40"/>
        <v>11.684808298572541</v>
      </c>
      <c r="AA105" s="1">
        <f t="shared" si="40"/>
        <v>2.5217305028760917</v>
      </c>
      <c r="AB105" s="1">
        <f t="shared" si="41"/>
        <v>7.8795255249293206</v>
      </c>
      <c r="AC105" s="1">
        <f t="shared" si="41"/>
        <v>-2.9767877192525232</v>
      </c>
      <c r="AD105" s="1">
        <f t="shared" si="25"/>
        <v>8.4230747131617747</v>
      </c>
      <c r="AE105" s="1">
        <f t="shared" si="22"/>
        <v>0.33194736564854382</v>
      </c>
      <c r="AF105" s="1">
        <f t="shared" si="26"/>
        <v>0.29916841938912631</v>
      </c>
      <c r="AG105" s="1">
        <f t="shared" si="23"/>
        <v>-0.87986368152262751</v>
      </c>
      <c r="AH105" s="1">
        <f t="shared" si="24"/>
        <v>-6.0092907438883252</v>
      </c>
      <c r="AI105" s="1" t="b">
        <f t="shared" si="32"/>
        <v>1</v>
      </c>
      <c r="AJ105" s="1" t="e">
        <f t="shared" si="33"/>
        <v>#N/A</v>
      </c>
      <c r="AK105" s="1" t="e">
        <f t="shared" si="34"/>
        <v>#N/A</v>
      </c>
      <c r="AL105" s="1" t="e">
        <f t="shared" si="27"/>
        <v>#N/A</v>
      </c>
      <c r="AM105" s="1" t="e">
        <f t="shared" si="27"/>
        <v>#N/A</v>
      </c>
      <c r="AN105" s="1"/>
      <c r="AP105" s="1">
        <f t="shared" si="35"/>
        <v>9.9999999999999805</v>
      </c>
      <c r="AQ105" s="1">
        <f t="shared" si="36"/>
        <v>2.5009279086366885</v>
      </c>
      <c r="AR105" s="1">
        <f t="shared" si="37"/>
        <v>19.421460786934805</v>
      </c>
      <c r="AS105" s="1" t="e">
        <f t="shared" si="28"/>
        <v>#N/A</v>
      </c>
      <c r="AT105" s="1" t="e">
        <f t="shared" si="28"/>
        <v>#N/A</v>
      </c>
    </row>
    <row r="106" spans="3:46" s="3" customFormat="1" x14ac:dyDescent="0.25">
      <c r="E106" s="1"/>
      <c r="F106" s="1"/>
      <c r="G106" s="1"/>
    </row>
    <row r="107" spans="3:46" s="3" customFormat="1" x14ac:dyDescent="0.25"/>
    <row r="108" spans="3:46" s="3" customFormat="1" x14ac:dyDescent="0.25"/>
    <row r="109" spans="3:46" x14ac:dyDescent="0.25">
      <c r="C109" s="3"/>
      <c r="D109" s="3"/>
      <c r="E109" s="3"/>
      <c r="F109" s="3"/>
      <c r="G109" s="3"/>
    </row>
    <row r="110" spans="3:46" x14ac:dyDescent="0.25">
      <c r="C110" s="3"/>
      <c r="D110" s="3"/>
      <c r="E110" s="3"/>
      <c r="F110" s="3"/>
      <c r="G110" s="3"/>
    </row>
    <row r="111" spans="3:46" s="3" customFormat="1" x14ac:dyDescent="0.25">
      <c r="C111" s="1"/>
      <c r="D111" s="1"/>
    </row>
    <row r="112" spans="3:46" s="3" customFormat="1" x14ac:dyDescent="0.25">
      <c r="C112" s="1"/>
      <c r="D112" s="1"/>
      <c r="E112" s="1"/>
      <c r="F112" s="1"/>
      <c r="G112" s="1"/>
    </row>
    <row r="113" spans="3:7" s="3" customFormat="1" x14ac:dyDescent="0.25">
      <c r="C113" s="1"/>
      <c r="D113" s="1"/>
      <c r="E113" s="1"/>
      <c r="F113" s="1"/>
      <c r="G113" s="1"/>
    </row>
    <row r="114" spans="3:7" s="3" customFormat="1" x14ac:dyDescent="0.25">
      <c r="C114" s="1"/>
      <c r="D114" s="1"/>
      <c r="E114" s="1"/>
      <c r="F114" s="1"/>
      <c r="G114" s="1"/>
    </row>
    <row r="115" spans="3:7" s="3" customFormat="1" x14ac:dyDescent="0.25">
      <c r="C115" s="1"/>
      <c r="D115" s="1"/>
      <c r="E115" s="1"/>
      <c r="F115" s="1"/>
      <c r="G115" s="1"/>
    </row>
    <row r="117" spans="3:7" s="3" customFormat="1" x14ac:dyDescent="0.25">
      <c r="C117" s="1"/>
      <c r="D117" s="1"/>
      <c r="E117" s="1"/>
      <c r="F117" s="1"/>
      <c r="G117" s="1"/>
    </row>
    <row r="118" spans="3:7" s="3" customFormat="1" x14ac:dyDescent="0.25">
      <c r="C118" s="1"/>
      <c r="D118" s="1"/>
      <c r="E118" s="1"/>
      <c r="F118" s="1"/>
      <c r="G118" s="1"/>
    </row>
    <row r="119" spans="3:7" s="3" customFormat="1" x14ac:dyDescent="0.25">
      <c r="C119" s="1"/>
      <c r="D119" s="1"/>
      <c r="E119" s="1"/>
      <c r="F119" s="1"/>
      <c r="G119" s="1"/>
    </row>
    <row r="120" spans="3:7" s="3" customFormat="1" x14ac:dyDescent="0.25">
      <c r="C120" s="1"/>
      <c r="D120" s="1"/>
      <c r="E120" s="1"/>
      <c r="F120" s="1"/>
      <c r="G120" s="1"/>
    </row>
    <row r="121" spans="3:7" s="3" customFormat="1" x14ac:dyDescent="0.25">
      <c r="C121" s="1"/>
      <c r="D121" s="1"/>
      <c r="E121" s="1"/>
      <c r="F121" s="1"/>
      <c r="G121" s="1"/>
    </row>
  </sheetData>
  <sheetProtection sheet="1" objects="1" scenarios="1" formatCells="0" formatColumns="0" formatRows="0"/>
  <mergeCells count="7">
    <mergeCell ref="F32:G35"/>
    <mergeCell ref="I3:J3"/>
    <mergeCell ref="C6:D6"/>
    <mergeCell ref="F6:G6"/>
    <mergeCell ref="F19:G22"/>
    <mergeCell ref="C24:D28"/>
    <mergeCell ref="C31:D31"/>
  </mergeCells>
  <conditionalFormatting sqref="D7:D10 D12:D15 D21:D22 G7:G10 G16:G17 D32:D33">
    <cfRule type="containsBlanks" dxfId="5" priority="5">
      <formula>LEN(TRIM(D7))=0</formula>
    </cfRule>
    <cfRule type="expression" dxfId="4" priority="6">
      <formula>ISTEXT(D7)</formula>
    </cfRule>
  </conditionalFormatting>
  <conditionalFormatting sqref="D7 D12 D14 D21:D22 G7 G9 G16:G17">
    <cfRule type="cellIs" dxfId="3" priority="4" operator="lessThan">
      <formula>0</formula>
    </cfRule>
  </conditionalFormatting>
  <conditionalFormatting sqref="D8:D9 D14:D15 G8 D32:D33">
    <cfRule type="cellIs" dxfId="2" priority="3" operator="lessThanOrEqual">
      <formula>0</formula>
    </cfRule>
  </conditionalFormatting>
  <conditionalFormatting sqref="D17">
    <cfRule type="cellIs" dxfId="1" priority="2" operator="equal">
      <formula>0</formula>
    </cfRule>
  </conditionalFormatting>
  <conditionalFormatting sqref="D10 G10">
    <cfRule type="cellIs" dxfId="0" priority="1" operator="notBetween">
      <formula>-90</formula>
      <formula>90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Metric">
              <controlPr locked="0" defaultSize="0" autoFill="0" autoLine="0" autoPict="0">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93" t="s">
        <v>95</v>
      </c>
      <c r="G6" s="193"/>
      <c r="I6" s="193" t="s">
        <v>98</v>
      </c>
      <c r="J6" s="193"/>
    </row>
    <row r="7" spans="2:19" ht="14.45" x14ac:dyDescent="0.3">
      <c r="C7" s="88" t="s">
        <v>102</v>
      </c>
      <c r="D7" s="11" t="s">
        <v>26</v>
      </c>
      <c r="F7" s="88" t="s">
        <v>105</v>
      </c>
      <c r="G7" s="11">
        <v>50</v>
      </c>
      <c r="I7" s="88" t="str">
        <f>"Estimated Dist. (" &amp; IF($B$4, "mm", "in") &amp; ")"</f>
        <v>Estimated Dist. (mm)</v>
      </c>
      <c r="J7" s="51">
        <v>70</v>
      </c>
      <c r="M7" s="114" t="s">
        <v>226</v>
      </c>
      <c r="N7" s="115" t="s">
        <v>227</v>
      </c>
      <c r="O7" s="114" t="s">
        <v>221</v>
      </c>
      <c r="P7" s="114" t="s">
        <v>228</v>
      </c>
      <c r="Q7" s="114" t="s">
        <v>229</v>
      </c>
      <c r="R7" s="114" t="s">
        <v>230</v>
      </c>
      <c r="S7" s="116" t="s">
        <v>231</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00" t="s">
        <v>20</v>
      </c>
      <c r="D16" s="200"/>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8" priority="3">
      <formula>ISTEXT(D7)</formula>
    </cfRule>
    <cfRule type="cellIs" dxfId="47" priority="8" operator="lessThanOrEqual">
      <formula>0</formula>
    </cfRule>
  </conditionalFormatting>
  <conditionalFormatting sqref="D7 D9 D12 G7 J7:J9">
    <cfRule type="containsBlanks" dxfId="46" priority="4">
      <formula>LEN(TRIM(D7))=0</formula>
    </cfRule>
    <cfRule type="containsBlanks" dxfId="45" priority="7">
      <formula>LEN(TRIM(D7))=0</formula>
    </cfRule>
  </conditionalFormatting>
  <conditionalFormatting sqref="G11:G13">
    <cfRule type="expression" dxfId="44" priority="2">
      <formula>ISERROR($G$11)</formula>
    </cfRule>
    <cfRule type="expression" dxfId="43" priority="6">
      <formula>$G$13&lt;=0</formula>
    </cfRule>
  </conditionalFormatting>
  <conditionalFormatting sqref="J11:J14">
    <cfRule type="expression" dxfId="42" priority="1">
      <formula>ISERROR($J$11)</formula>
    </cfRule>
    <cfRule type="expression" dxfId="41"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193" t="s">
        <v>116</v>
      </c>
      <c r="G6" s="193"/>
      <c r="I6" s="193" t="s">
        <v>121</v>
      </c>
      <c r="J6" s="193"/>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40" priority="4">
      <formula>LEN(TRIM(D7))=0</formula>
    </cfRule>
    <cfRule type="cellIs" dxfId="39" priority="5" operator="lessThanOrEqual">
      <formula>0</formula>
    </cfRule>
  </conditionalFormatting>
  <conditionalFormatting sqref="G10:G11">
    <cfRule type="expression" dxfId="38" priority="3">
      <formula>$G$10&lt;=0</formula>
    </cfRule>
  </conditionalFormatting>
  <conditionalFormatting sqref="J10:J11">
    <cfRule type="expression" dxfId="37" priority="2">
      <formula>$J$10&lt;=0</formula>
    </cfRule>
  </conditionalFormatting>
  <conditionalFormatting sqref="D7:D8 D10:D12 J7:J8">
    <cfRule type="expression" dxfId="36"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01" t="s">
        <v>127</v>
      </c>
      <c r="D19" s="201"/>
    </row>
    <row r="20" spans="3:4" ht="14.45" customHeight="1" x14ac:dyDescent="0.3">
      <c r="C20" s="202" t="s">
        <v>128</v>
      </c>
      <c r="D20" s="202"/>
    </row>
  </sheetData>
  <sheetProtection sheet="1" objects="1" scenarios="1" formatCells="0" formatColumns="0" formatRows="0"/>
  <mergeCells count="2">
    <mergeCell ref="C19:D19"/>
    <mergeCell ref="C20:D20"/>
  </mergeCells>
  <conditionalFormatting sqref="D11:D13 D15:D17">
    <cfRule type="expression" dxfId="35" priority="5">
      <formula>NOT(AND(INT($D$11)=$D$11, INT($D$15)=$D$15))</formula>
    </cfRule>
  </conditionalFormatting>
  <conditionalFormatting sqref="C19:D20">
    <cfRule type="expression" dxfId="34" priority="4">
      <formula>AND(INT($D$11)=$D$11, INT($D$15)=$D$15)</formula>
    </cfRule>
  </conditionalFormatting>
  <conditionalFormatting sqref="D6 D8:D9">
    <cfRule type="expression" dxfId="33" priority="1">
      <formula>ISTEXT(D6)</formula>
    </cfRule>
    <cfRule type="containsBlanks" dxfId="32" priority="2">
      <formula>LEN(TRIM(D6))=0</formula>
    </cfRule>
    <cfRule type="cellIs" dxfId="31"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03" t="s">
        <v>154</v>
      </c>
      <c r="O12" s="204"/>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30" priority="5">
      <formula>AND(COUNTBLANK(D$7:D$16)&lt;10, ISBLANK(D7))</formula>
    </cfRule>
    <cfRule type="cellIs" dxfId="29" priority="8" operator="lessThan">
      <formula>0</formula>
    </cfRule>
  </conditionalFormatting>
  <conditionalFormatting sqref="N16:N17">
    <cfRule type="cellIs" dxfId="28" priority="7" operator="lessThanOrEqual">
      <formula>$I$40</formula>
    </cfRule>
  </conditionalFormatting>
  <conditionalFormatting sqref="N7:Q9">
    <cfRule type="expression" dxfId="27" priority="3">
      <formula>AND(COUNTBLANK(N$7:N$9)&lt;3, ISBLANK(N7))</formula>
    </cfRule>
  </conditionalFormatting>
  <conditionalFormatting sqref="D7:K10 D12:K12 D14:K16 N7:Q9 N14:N15">
    <cfRule type="expression" dxfId="26" priority="4">
      <formula>ISTEXT(D7)</formula>
    </cfRule>
  </conditionalFormatting>
  <conditionalFormatting sqref="D8:K8">
    <cfRule type="cellIs" dxfId="25"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208</v>
      </c>
    </row>
    <row r="3" spans="3:16" ht="14.45" x14ac:dyDescent="0.3">
      <c r="K3" s="78" t="s">
        <v>98</v>
      </c>
      <c r="M3" s="111" t="b">
        <v>1</v>
      </c>
      <c r="N3" s="109"/>
      <c r="O3" s="112" t="b">
        <v>1</v>
      </c>
      <c r="P3" s="110"/>
    </row>
    <row r="4" spans="3:16" ht="18.75" x14ac:dyDescent="0.25">
      <c r="C4" s="193" t="s">
        <v>95</v>
      </c>
      <c r="D4" s="193"/>
      <c r="F4" s="193" t="s">
        <v>98</v>
      </c>
      <c r="G4" s="193"/>
      <c r="I4" s="206" t="s">
        <v>225</v>
      </c>
    </row>
    <row r="5" spans="3:16" ht="15" customHeight="1" x14ac:dyDescent="0.25">
      <c r="C5" s="88" t="s">
        <v>167</v>
      </c>
      <c r="D5" s="51">
        <v>40</v>
      </c>
      <c r="F5" s="88" t="s">
        <v>169</v>
      </c>
      <c r="G5" s="51">
        <v>120</v>
      </c>
      <c r="I5" s="207"/>
    </row>
    <row r="6" spans="3:16" x14ac:dyDescent="0.25">
      <c r="C6" s="88" t="s">
        <v>168</v>
      </c>
      <c r="D6" s="51">
        <v>90</v>
      </c>
      <c r="F6" s="88" t="s">
        <v>170</v>
      </c>
      <c r="G6" s="51">
        <v>10</v>
      </c>
      <c r="I6" s="207"/>
    </row>
    <row r="7" spans="3:16" x14ac:dyDescent="0.25">
      <c r="C7" s="88" t="s">
        <v>169</v>
      </c>
      <c r="D7" s="51">
        <v>100</v>
      </c>
      <c r="F7" s="88" t="s">
        <v>171</v>
      </c>
      <c r="G7" s="51">
        <v>100</v>
      </c>
      <c r="I7" s="207"/>
    </row>
    <row r="8" spans="3:16" x14ac:dyDescent="0.25">
      <c r="C8" s="88" t="s">
        <v>170</v>
      </c>
      <c r="D8" s="51">
        <v>20</v>
      </c>
      <c r="F8" s="88" t="s">
        <v>172</v>
      </c>
      <c r="G8" s="51">
        <v>50</v>
      </c>
      <c r="I8" s="208"/>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06" t="s">
        <v>177</v>
      </c>
    </row>
    <row r="11" spans="3:16" x14ac:dyDescent="0.25">
      <c r="I11" s="207"/>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07"/>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08"/>
    </row>
    <row r="30" spans="11:18" x14ac:dyDescent="0.25">
      <c r="K30" s="205" t="s">
        <v>223</v>
      </c>
      <c r="L30" s="205"/>
      <c r="M30" s="205"/>
      <c r="N30" s="205"/>
      <c r="O30" s="205"/>
      <c r="P30" s="205"/>
      <c r="Q30" s="205"/>
      <c r="R30" s="205"/>
    </row>
    <row r="31" spans="11:18" x14ac:dyDescent="0.25">
      <c r="K31" s="1" t="s">
        <v>224</v>
      </c>
    </row>
    <row r="32" spans="11:18" x14ac:dyDescent="0.25">
      <c r="K32" s="1" t="s">
        <v>178</v>
      </c>
    </row>
    <row r="33" spans="11:18" x14ac:dyDescent="0.25">
      <c r="K33" s="3" t="s">
        <v>167</v>
      </c>
      <c r="L33" s="3" t="s">
        <v>168</v>
      </c>
      <c r="M33" s="3" t="s">
        <v>169</v>
      </c>
      <c r="N33" s="3" t="s">
        <v>170</v>
      </c>
      <c r="O33" s="3" t="s">
        <v>175</v>
      </c>
      <c r="P33" s="3" t="s">
        <v>176</v>
      </c>
      <c r="Q33" s="3" t="s">
        <v>221</v>
      </c>
      <c r="R33" s="3" t="s">
        <v>222</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24" priority="7" operator="lessThan">
      <formula>0</formula>
    </cfRule>
  </conditionalFormatting>
  <conditionalFormatting sqref="D7 G5">
    <cfRule type="cellIs" dxfId="23" priority="6" operator="equal">
      <formula>0</formula>
    </cfRule>
  </conditionalFormatting>
  <conditionalFormatting sqref="D5:D10 G5:G10">
    <cfRule type="expression" dxfId="22" priority="4">
      <formula>ISTEXT(D5)</formula>
    </cfRule>
  </conditionalFormatting>
  <conditionalFormatting sqref="D5:D10 G5:G10 K3">
    <cfRule type="containsBlanks" dxfId="21" priority="5">
      <formula>LEN(TRIM(D3))=0</formula>
    </cfRule>
  </conditionalFormatting>
  <conditionalFormatting sqref="D5:D10">
    <cfRule type="expression" dxfId="20" priority="3">
      <formula>ISERROR($D$12:$D$13)</formula>
    </cfRule>
  </conditionalFormatting>
  <conditionalFormatting sqref="G9:G10">
    <cfRule type="cellIs" dxfId="19" priority="2" operator="notBetween">
      <formula>180</formula>
      <formula>-90</formula>
    </cfRule>
  </conditionalFormatting>
  <conditionalFormatting sqref="G5:G10">
    <cfRule type="expression" dxfId="18"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233</v>
      </c>
      <c r="B1" s="132" t="s">
        <v>234</v>
      </c>
      <c r="C1" s="132" t="s">
        <v>336</v>
      </c>
      <c r="E1" s="132" t="s">
        <v>235</v>
      </c>
      <c r="F1" s="132" t="s">
        <v>337</v>
      </c>
      <c r="G1" s="132" t="s">
        <v>339</v>
      </c>
      <c r="H1" s="132" t="s">
        <v>338</v>
      </c>
      <c r="I1" s="132" t="s">
        <v>236</v>
      </c>
      <c r="J1" s="132" t="s">
        <v>340</v>
      </c>
      <c r="K1" s="132" t="s">
        <v>341</v>
      </c>
      <c r="L1" s="132" t="s">
        <v>342</v>
      </c>
    </row>
    <row r="2" spans="1:21" ht="14.25" customHeight="1" x14ac:dyDescent="0.25">
      <c r="A2" s="132" t="s">
        <v>117</v>
      </c>
      <c r="B2" s="132" t="s">
        <v>11</v>
      </c>
      <c r="C2" s="132">
        <v>-1</v>
      </c>
      <c r="D2" s="132" t="str">
        <f t="shared" ref="D2" si="0">A2&amp;" "&amp;B2&amp;" "&amp;C2</f>
        <v>1/2" Hex AM 9015 -1</v>
      </c>
      <c r="E2" s="132">
        <v>1</v>
      </c>
      <c r="F2" s="132">
        <v>1</v>
      </c>
      <c r="G2" s="132">
        <v>1</v>
      </c>
      <c r="H2" s="132">
        <v>1</v>
      </c>
      <c r="I2" s="132">
        <v>1</v>
      </c>
    </row>
    <row r="3" spans="1:21" ht="14.25" customHeight="1" x14ac:dyDescent="0.25">
      <c r="A3" s="132" t="s">
        <v>117</v>
      </c>
      <c r="B3" s="132" t="s">
        <v>326</v>
      </c>
      <c r="C3" s="132">
        <v>-1</v>
      </c>
      <c r="D3" s="132" t="str">
        <f t="shared" ref="D3:D11" si="1">A3&amp;" "&amp;B3&amp;" "&amp;C3</f>
        <v>1/2" Hex BB RS-550 -1</v>
      </c>
      <c r="E3" s="132">
        <v>1</v>
      </c>
      <c r="F3" s="132">
        <v>1</v>
      </c>
      <c r="G3" s="132">
        <v>1</v>
      </c>
      <c r="H3" s="132">
        <v>1</v>
      </c>
      <c r="I3" s="132">
        <v>1</v>
      </c>
      <c r="O3" s="132" t="s">
        <v>237</v>
      </c>
    </row>
    <row r="4" spans="1:21" ht="14.25" customHeight="1" x14ac:dyDescent="0.25">
      <c r="A4" s="132" t="s">
        <v>117</v>
      </c>
      <c r="B4" s="132" t="s">
        <v>327</v>
      </c>
      <c r="C4" s="132">
        <v>-1</v>
      </c>
      <c r="D4" s="132" t="str">
        <f t="shared" si="1"/>
        <v>1/2" Hex BB RS-775 -1</v>
      </c>
      <c r="E4" s="132">
        <v>1</v>
      </c>
      <c r="F4" s="132">
        <v>1</v>
      </c>
      <c r="G4" s="132">
        <v>1</v>
      </c>
      <c r="H4" s="132">
        <v>1</v>
      </c>
      <c r="I4" s="132">
        <v>1</v>
      </c>
      <c r="O4" s="132" t="s">
        <v>117</v>
      </c>
      <c r="P4" s="132">
        <v>39.99</v>
      </c>
      <c r="Q4" s="132">
        <f>Q6+13.99</f>
        <v>31.979999999999997</v>
      </c>
      <c r="R4" s="132">
        <v>0.34</v>
      </c>
      <c r="S4" s="132">
        <v>0.22</v>
      </c>
      <c r="T4" s="132" t="s">
        <v>238</v>
      </c>
      <c r="U4" s="132" t="s">
        <v>239</v>
      </c>
    </row>
    <row r="5" spans="1:21" ht="14.25" customHeight="1" x14ac:dyDescent="0.25">
      <c r="A5" s="132" t="s">
        <v>117</v>
      </c>
      <c r="B5" s="132" t="s">
        <v>8</v>
      </c>
      <c r="C5" s="132">
        <v>-1</v>
      </c>
      <c r="D5" s="132" t="str">
        <f t="shared" si="1"/>
        <v>1/2" Hex BAG Motor -1</v>
      </c>
      <c r="E5" s="132">
        <v>1</v>
      </c>
      <c r="F5" s="132">
        <v>1</v>
      </c>
      <c r="G5" s="132">
        <v>1</v>
      </c>
      <c r="H5" s="132">
        <v>1</v>
      </c>
      <c r="I5" s="132">
        <v>1</v>
      </c>
      <c r="O5" s="132" t="s">
        <v>240</v>
      </c>
      <c r="P5" s="132">
        <v>39.99</v>
      </c>
      <c r="Q5" s="132">
        <f>Q6+9.99</f>
        <v>27.979999999999997</v>
      </c>
      <c r="R5" s="132">
        <v>0.34</v>
      </c>
      <c r="S5" s="132">
        <v>0.22</v>
      </c>
      <c r="T5" s="132" t="s">
        <v>241</v>
      </c>
      <c r="U5" s="132" t="s">
        <v>242</v>
      </c>
    </row>
    <row r="6" spans="1:21" ht="14.25" customHeight="1" x14ac:dyDescent="0.25">
      <c r="A6" s="132" t="s">
        <v>117</v>
      </c>
      <c r="B6" s="132" t="s">
        <v>255</v>
      </c>
      <c r="C6" s="132">
        <v>-1</v>
      </c>
      <c r="D6" s="132" t="str">
        <f t="shared" si="1"/>
        <v>1/2" Hex 775pro -1</v>
      </c>
      <c r="E6" s="132">
        <v>1</v>
      </c>
      <c r="F6" s="132">
        <v>1</v>
      </c>
      <c r="G6" s="132">
        <v>1</v>
      </c>
      <c r="H6" s="132">
        <v>1</v>
      </c>
      <c r="I6" s="132">
        <v>1</v>
      </c>
      <c r="O6" s="132" t="s">
        <v>243</v>
      </c>
      <c r="P6" s="132">
        <v>39.99</v>
      </c>
      <c r="Q6" s="132">
        <v>17.989999999999998</v>
      </c>
      <c r="R6" s="132">
        <v>0.34</v>
      </c>
      <c r="S6" s="132">
        <v>0.22</v>
      </c>
      <c r="T6" s="132" t="s">
        <v>244</v>
      </c>
      <c r="U6" s="132" t="s">
        <v>245</v>
      </c>
    </row>
    <row r="7" spans="1:21" ht="14.25" customHeight="1" x14ac:dyDescent="0.25">
      <c r="A7" s="132" t="s">
        <v>117</v>
      </c>
      <c r="B7" s="132" t="s">
        <v>7</v>
      </c>
      <c r="C7" s="132">
        <v>-1</v>
      </c>
      <c r="D7" s="132" t="str">
        <f t="shared" si="1"/>
        <v>1/2" Hex Mini CIM -1</v>
      </c>
      <c r="E7" s="132">
        <v>1</v>
      </c>
      <c r="F7" s="132">
        <v>1</v>
      </c>
      <c r="G7" s="132">
        <v>1</v>
      </c>
      <c r="H7" s="132">
        <v>1</v>
      </c>
      <c r="I7" s="132">
        <v>0</v>
      </c>
      <c r="O7" s="132" t="s">
        <v>246</v>
      </c>
      <c r="P7" s="132">
        <v>39.99</v>
      </c>
      <c r="Q7" s="132">
        <f>Q6+9.99</f>
        <v>27.979999999999997</v>
      </c>
      <c r="R7" s="132">
        <v>0.34</v>
      </c>
      <c r="S7" s="132">
        <v>0.22</v>
      </c>
      <c r="T7" s="132" t="s">
        <v>247</v>
      </c>
      <c r="U7" s="132" t="s">
        <v>248</v>
      </c>
    </row>
    <row r="8" spans="1:21" ht="14.25" customHeight="1" x14ac:dyDescent="0.25">
      <c r="A8" s="132" t="s">
        <v>117</v>
      </c>
      <c r="B8" s="132" t="s">
        <v>6</v>
      </c>
      <c r="C8" s="132">
        <v>-1</v>
      </c>
      <c r="D8" s="132" t="str">
        <f t="shared" si="1"/>
        <v>1/2" Hex CIM -1</v>
      </c>
      <c r="E8" s="132">
        <v>1</v>
      </c>
      <c r="F8" s="132">
        <v>1</v>
      </c>
      <c r="G8" s="132">
        <v>1</v>
      </c>
      <c r="H8" s="132">
        <v>1</v>
      </c>
      <c r="I8" s="132">
        <v>0</v>
      </c>
      <c r="O8" s="132" t="s">
        <v>249</v>
      </c>
      <c r="P8" s="132">
        <v>44.99</v>
      </c>
      <c r="Q8" s="132">
        <v>24.99</v>
      </c>
      <c r="R8" s="132">
        <v>0.34</v>
      </c>
      <c r="S8" s="132">
        <v>0.22</v>
      </c>
      <c r="T8" s="132" t="s">
        <v>250</v>
      </c>
      <c r="U8" s="132" t="s">
        <v>251</v>
      </c>
    </row>
    <row r="9" spans="1:21" ht="14.25" customHeight="1" x14ac:dyDescent="0.25">
      <c r="A9" s="132" t="s">
        <v>117</v>
      </c>
      <c r="B9" s="132" t="s">
        <v>9</v>
      </c>
      <c r="C9" s="132">
        <v>-1</v>
      </c>
      <c r="D9" s="132" t="str">
        <f t="shared" si="1"/>
        <v>1/2" Hex NEO -1</v>
      </c>
      <c r="E9" s="132">
        <v>1</v>
      </c>
      <c r="F9" s="132">
        <v>1</v>
      </c>
      <c r="G9" s="132">
        <v>1</v>
      </c>
      <c r="H9" s="132">
        <v>1</v>
      </c>
      <c r="I9" s="132">
        <v>0</v>
      </c>
    </row>
    <row r="10" spans="1:21" ht="14.25" customHeight="1" x14ac:dyDescent="0.25">
      <c r="A10" s="132" t="s">
        <v>117</v>
      </c>
      <c r="B10" s="132" t="s">
        <v>333</v>
      </c>
      <c r="C10" s="132">
        <v>-1</v>
      </c>
      <c r="D10" s="132" t="str">
        <f t="shared" si="1"/>
        <v>1/2" Hex Falcon 500 -1</v>
      </c>
      <c r="E10" s="132">
        <v>1</v>
      </c>
      <c r="F10" s="132">
        <v>1</v>
      </c>
      <c r="G10" s="132">
        <v>1</v>
      </c>
      <c r="H10" s="132">
        <v>1</v>
      </c>
      <c r="I10" s="132">
        <v>0</v>
      </c>
    </row>
    <row r="11" spans="1:21" ht="14.25" customHeight="1" x14ac:dyDescent="0.25">
      <c r="A11" s="132" t="s">
        <v>240</v>
      </c>
      <c r="B11" s="132" t="s">
        <v>11</v>
      </c>
      <c r="C11" s="132">
        <v>-1</v>
      </c>
      <c r="D11" s="132" t="str">
        <f t="shared" si="1"/>
        <v>1/2" Round AM 9015 -1</v>
      </c>
      <c r="E11" s="132">
        <v>1</v>
      </c>
      <c r="F11" s="132">
        <v>1</v>
      </c>
      <c r="G11" s="132">
        <v>1</v>
      </c>
      <c r="H11" s="132">
        <v>1</v>
      </c>
      <c r="I11" s="132">
        <v>1</v>
      </c>
      <c r="O11" s="132" t="s">
        <v>252</v>
      </c>
    </row>
    <row r="12" spans="1:21" ht="14.25" customHeight="1" x14ac:dyDescent="0.25">
      <c r="A12" s="132" t="s">
        <v>240</v>
      </c>
      <c r="B12" s="132" t="s">
        <v>326</v>
      </c>
      <c r="C12" s="132">
        <v>-1</v>
      </c>
      <c r="D12" s="132" t="str">
        <f t="shared" ref="D12:D20" si="2">A12&amp;" "&amp;B12&amp;" "&amp;C12</f>
        <v>1/2" Round BB RS-550 -1</v>
      </c>
      <c r="E12" s="132">
        <v>1</v>
      </c>
      <c r="F12" s="132">
        <v>1</v>
      </c>
      <c r="G12" s="132">
        <v>1</v>
      </c>
      <c r="H12" s="132">
        <v>1</v>
      </c>
      <c r="I12" s="132">
        <v>1</v>
      </c>
      <c r="O12" s="132" t="s">
        <v>11</v>
      </c>
      <c r="P12" s="132">
        <v>0</v>
      </c>
      <c r="Q12" s="132">
        <v>12.98</v>
      </c>
      <c r="R12" s="132">
        <v>0</v>
      </c>
      <c r="S12" s="132">
        <v>0</v>
      </c>
      <c r="U12" s="132" t="s">
        <v>253</v>
      </c>
    </row>
    <row r="13" spans="1:21" ht="14.25" customHeight="1" x14ac:dyDescent="0.25">
      <c r="A13" s="132" t="s">
        <v>240</v>
      </c>
      <c r="B13" s="132" t="s">
        <v>327</v>
      </c>
      <c r="C13" s="132">
        <v>-1</v>
      </c>
      <c r="D13" s="132" t="str">
        <f t="shared" si="2"/>
        <v>1/2" Round BB RS-775 -1</v>
      </c>
      <c r="E13" s="132">
        <v>1</v>
      </c>
      <c r="F13" s="132">
        <v>1</v>
      </c>
      <c r="G13" s="132">
        <v>1</v>
      </c>
      <c r="H13" s="132">
        <v>1</v>
      </c>
      <c r="I13" s="132">
        <v>1</v>
      </c>
      <c r="O13" s="132" t="s">
        <v>330</v>
      </c>
      <c r="P13" s="132">
        <v>0</v>
      </c>
      <c r="Q13" s="132">
        <v>0</v>
      </c>
      <c r="R13" s="132">
        <v>0</v>
      </c>
      <c r="S13" s="132">
        <v>0</v>
      </c>
    </row>
    <row r="14" spans="1:21" ht="14.25" customHeight="1" x14ac:dyDescent="0.25">
      <c r="A14" s="132" t="s">
        <v>240</v>
      </c>
      <c r="B14" s="132" t="s">
        <v>8</v>
      </c>
      <c r="C14" s="132">
        <v>-1</v>
      </c>
      <c r="D14" s="132" t="str">
        <f t="shared" si="2"/>
        <v>1/2" Round BAG Motor -1</v>
      </c>
      <c r="E14" s="132">
        <v>1</v>
      </c>
      <c r="F14" s="132">
        <v>1</v>
      </c>
      <c r="G14" s="132">
        <v>1</v>
      </c>
      <c r="H14" s="132">
        <v>1</v>
      </c>
      <c r="I14" s="132">
        <v>1</v>
      </c>
      <c r="O14" s="132" t="s">
        <v>326</v>
      </c>
      <c r="P14" s="132">
        <v>0</v>
      </c>
      <c r="Q14" s="132">
        <v>0</v>
      </c>
      <c r="R14" s="132">
        <v>0</v>
      </c>
      <c r="S14" s="132">
        <v>0</v>
      </c>
    </row>
    <row r="15" spans="1:21" ht="14.25" customHeight="1" x14ac:dyDescent="0.25">
      <c r="A15" s="132" t="s">
        <v>240</v>
      </c>
      <c r="B15" s="132" t="s">
        <v>255</v>
      </c>
      <c r="C15" s="132">
        <v>-1</v>
      </c>
      <c r="D15" s="132" t="str">
        <f t="shared" si="2"/>
        <v>1/2" Round 775pro -1</v>
      </c>
      <c r="E15" s="132">
        <v>1</v>
      </c>
      <c r="F15" s="132">
        <v>1</v>
      </c>
      <c r="G15" s="132">
        <v>1</v>
      </c>
      <c r="H15" s="132">
        <v>1</v>
      </c>
      <c r="I15" s="132">
        <v>1</v>
      </c>
      <c r="O15" s="132" t="s">
        <v>327</v>
      </c>
      <c r="P15" s="132">
        <v>0</v>
      </c>
      <c r="Q15" s="132">
        <v>12.98</v>
      </c>
      <c r="R15" s="132">
        <v>0</v>
      </c>
      <c r="S15" s="132">
        <v>0</v>
      </c>
      <c r="U15" s="132" t="s">
        <v>253</v>
      </c>
    </row>
    <row r="16" spans="1:21" ht="14.25" customHeight="1" x14ac:dyDescent="0.25">
      <c r="A16" s="132" t="s">
        <v>240</v>
      </c>
      <c r="B16" s="132" t="s">
        <v>7</v>
      </c>
      <c r="C16" s="132">
        <v>-1</v>
      </c>
      <c r="D16" s="132" t="str">
        <f t="shared" si="2"/>
        <v>1/2" Round Mini CIM -1</v>
      </c>
      <c r="E16" s="132">
        <v>1</v>
      </c>
      <c r="F16" s="132">
        <v>1</v>
      </c>
      <c r="G16" s="132">
        <v>1</v>
      </c>
      <c r="H16" s="132">
        <v>1</v>
      </c>
      <c r="I16" s="132">
        <v>0</v>
      </c>
      <c r="O16" s="132" t="s">
        <v>8</v>
      </c>
      <c r="P16" s="132">
        <v>0</v>
      </c>
      <c r="Q16" s="132">
        <v>12.98</v>
      </c>
      <c r="R16" s="132">
        <v>0</v>
      </c>
      <c r="S16" s="132">
        <v>0</v>
      </c>
      <c r="U16" s="132" t="s">
        <v>253</v>
      </c>
    </row>
    <row r="17" spans="1:21" ht="14.25" customHeight="1" x14ac:dyDescent="0.25">
      <c r="A17" s="132" t="s">
        <v>240</v>
      </c>
      <c r="B17" s="132" t="s">
        <v>6</v>
      </c>
      <c r="C17" s="132">
        <v>-1</v>
      </c>
      <c r="D17" s="132" t="str">
        <f t="shared" si="2"/>
        <v>1/2" Round CIM -1</v>
      </c>
      <c r="E17" s="132">
        <v>1</v>
      </c>
      <c r="F17" s="132">
        <v>1</v>
      </c>
      <c r="G17" s="132">
        <v>1</v>
      </c>
      <c r="H17" s="132">
        <v>1</v>
      </c>
      <c r="I17" s="132">
        <v>0</v>
      </c>
      <c r="O17" s="132" t="s">
        <v>7</v>
      </c>
      <c r="P17" s="132">
        <v>4.99</v>
      </c>
      <c r="Q17" s="132">
        <v>11.98</v>
      </c>
      <c r="R17" s="132">
        <v>0.7</v>
      </c>
      <c r="S17" s="132">
        <v>0.7</v>
      </c>
      <c r="T17" s="132" t="s">
        <v>254</v>
      </c>
      <c r="U17" s="132" t="s">
        <v>254</v>
      </c>
    </row>
    <row r="18" spans="1:21" ht="14.25" customHeight="1" x14ac:dyDescent="0.25">
      <c r="A18" s="132" t="s">
        <v>240</v>
      </c>
      <c r="B18" s="132" t="s">
        <v>9</v>
      </c>
      <c r="C18" s="132">
        <v>-1</v>
      </c>
      <c r="D18" s="132" t="str">
        <f t="shared" si="2"/>
        <v>1/2" Round NEO -1</v>
      </c>
      <c r="E18" s="132">
        <v>1</v>
      </c>
      <c r="F18" s="132">
        <v>1</v>
      </c>
      <c r="G18" s="132">
        <v>1</v>
      </c>
      <c r="H18" s="132">
        <v>1</v>
      </c>
      <c r="I18" s="132">
        <v>0</v>
      </c>
      <c r="O18" s="132" t="s">
        <v>6</v>
      </c>
      <c r="P18" s="132">
        <v>4.99</v>
      </c>
      <c r="Q18" s="132">
        <v>11.98</v>
      </c>
      <c r="R18" s="132">
        <v>0.7</v>
      </c>
      <c r="S18" s="132">
        <v>0.7</v>
      </c>
      <c r="T18" s="132" t="s">
        <v>254</v>
      </c>
      <c r="U18" s="132" t="s">
        <v>254</v>
      </c>
    </row>
    <row r="19" spans="1:21" ht="14.25" customHeight="1" x14ac:dyDescent="0.25">
      <c r="A19" s="132" t="s">
        <v>240</v>
      </c>
      <c r="B19" s="132" t="s">
        <v>333</v>
      </c>
      <c r="C19" s="132">
        <v>-1</v>
      </c>
      <c r="D19" s="132" t="str">
        <f t="shared" si="2"/>
        <v>1/2" Round Falcon 500 -1</v>
      </c>
      <c r="E19" s="132">
        <v>1</v>
      </c>
      <c r="F19" s="132">
        <v>1</v>
      </c>
      <c r="G19" s="132">
        <v>1</v>
      </c>
      <c r="H19" s="132">
        <v>1</v>
      </c>
      <c r="I19" s="132">
        <v>0</v>
      </c>
      <c r="O19" s="132" t="s">
        <v>255</v>
      </c>
      <c r="P19" s="132">
        <v>0</v>
      </c>
      <c r="Q19" s="132">
        <v>12.98</v>
      </c>
      <c r="R19" s="132">
        <v>0</v>
      </c>
      <c r="S19" s="132">
        <v>0</v>
      </c>
      <c r="U19" s="132" t="s">
        <v>253</v>
      </c>
    </row>
    <row r="20" spans="1:21" ht="14.25" customHeight="1" x14ac:dyDescent="0.25">
      <c r="A20" s="132" t="s">
        <v>243</v>
      </c>
      <c r="B20" s="132" t="s">
        <v>11</v>
      </c>
      <c r="C20" s="132">
        <v>-1</v>
      </c>
      <c r="D20" s="132" t="str">
        <f t="shared" si="2"/>
        <v>3/8" Hex AM 9015 -1</v>
      </c>
      <c r="E20" s="132">
        <v>1</v>
      </c>
      <c r="F20" s="132">
        <v>1</v>
      </c>
      <c r="G20" s="132">
        <v>1</v>
      </c>
      <c r="H20" s="132">
        <v>1</v>
      </c>
      <c r="I20" s="132">
        <v>1</v>
      </c>
      <c r="O20" s="132" t="s">
        <v>9</v>
      </c>
      <c r="P20" s="132">
        <v>4.99</v>
      </c>
      <c r="Q20" s="132">
        <v>11.98</v>
      </c>
      <c r="R20" s="132">
        <v>0.7</v>
      </c>
      <c r="S20" s="132">
        <v>0.7</v>
      </c>
      <c r="T20" s="132" t="s">
        <v>254</v>
      </c>
      <c r="U20" s="132" t="s">
        <v>254</v>
      </c>
    </row>
    <row r="21" spans="1:21" ht="14.25" customHeight="1" x14ac:dyDescent="0.25">
      <c r="A21" s="132" t="s">
        <v>243</v>
      </c>
      <c r="B21" s="132" t="s">
        <v>326</v>
      </c>
      <c r="C21" s="132">
        <v>-1</v>
      </c>
      <c r="D21" s="132" t="str">
        <f t="shared" ref="D21:D46" si="3">A21&amp;" "&amp;B21&amp;" "&amp;C21</f>
        <v>3/8" Hex BB RS-550 -1</v>
      </c>
      <c r="E21" s="132">
        <v>1</v>
      </c>
      <c r="F21" s="132">
        <v>1</v>
      </c>
      <c r="G21" s="132">
        <v>1</v>
      </c>
      <c r="H21" s="132">
        <v>1</v>
      </c>
      <c r="I21" s="132">
        <v>1</v>
      </c>
      <c r="O21" s="132" t="s">
        <v>333</v>
      </c>
      <c r="P21" s="132">
        <v>4.99</v>
      </c>
      <c r="Q21" s="132">
        <v>11.98</v>
      </c>
      <c r="R21" s="132">
        <v>0.7</v>
      </c>
      <c r="S21" s="132">
        <v>0.7</v>
      </c>
      <c r="T21" s="132" t="s">
        <v>254</v>
      </c>
      <c r="U21" s="132" t="s">
        <v>254</v>
      </c>
    </row>
    <row r="22" spans="1:21" ht="14.25" customHeight="1" x14ac:dyDescent="0.25">
      <c r="A22" s="132" t="s">
        <v>243</v>
      </c>
      <c r="B22" s="132" t="s">
        <v>327</v>
      </c>
      <c r="C22" s="132">
        <v>-1</v>
      </c>
      <c r="D22" s="132" t="str">
        <f t="shared" si="3"/>
        <v>3/8" Hex BB RS-775 -1</v>
      </c>
      <c r="E22" s="132">
        <v>1</v>
      </c>
      <c r="F22" s="132">
        <v>1</v>
      </c>
      <c r="G22" s="132">
        <v>1</v>
      </c>
      <c r="H22" s="132">
        <v>1</v>
      </c>
      <c r="I22" s="132">
        <v>1</v>
      </c>
    </row>
    <row r="23" spans="1:21" ht="14.25" customHeight="1" x14ac:dyDescent="0.25">
      <c r="A23" s="132" t="s">
        <v>243</v>
      </c>
      <c r="B23" s="132" t="s">
        <v>8</v>
      </c>
      <c r="C23" s="132">
        <v>-1</v>
      </c>
      <c r="D23" s="132" t="str">
        <f t="shared" si="3"/>
        <v>3/8" Hex BAG Motor -1</v>
      </c>
      <c r="E23" s="132">
        <v>1</v>
      </c>
      <c r="F23" s="132">
        <v>1</v>
      </c>
      <c r="G23" s="132">
        <v>1</v>
      </c>
      <c r="H23" s="132">
        <v>1</v>
      </c>
      <c r="I23" s="132">
        <v>1</v>
      </c>
    </row>
    <row r="24" spans="1:21" ht="14.25" customHeight="1" x14ac:dyDescent="0.25">
      <c r="A24" s="132" t="s">
        <v>243</v>
      </c>
      <c r="B24" s="132" t="s">
        <v>255</v>
      </c>
      <c r="C24" s="132">
        <v>-1</v>
      </c>
      <c r="D24" s="132" t="str">
        <f t="shared" si="3"/>
        <v>3/8" Hex 775pro -1</v>
      </c>
      <c r="E24" s="132">
        <v>1</v>
      </c>
      <c r="F24" s="132">
        <v>1</v>
      </c>
      <c r="G24" s="132">
        <v>1</v>
      </c>
      <c r="H24" s="132">
        <v>1</v>
      </c>
      <c r="I24" s="132">
        <v>1</v>
      </c>
      <c r="O24" s="132" t="s">
        <v>256</v>
      </c>
    </row>
    <row r="25" spans="1:21" ht="14.25" customHeight="1" x14ac:dyDescent="0.25">
      <c r="A25" s="132" t="s">
        <v>243</v>
      </c>
      <c r="B25" s="132" t="s">
        <v>7</v>
      </c>
      <c r="C25" s="132">
        <v>-1</v>
      </c>
      <c r="D25" s="132" t="str">
        <f t="shared" si="3"/>
        <v>3/8" Hex Mini CIM -1</v>
      </c>
      <c r="E25" s="132">
        <v>1</v>
      </c>
      <c r="F25" s="132">
        <v>1</v>
      </c>
      <c r="G25" s="132">
        <v>1</v>
      </c>
      <c r="H25" s="132">
        <v>1</v>
      </c>
      <c r="I25" s="132">
        <v>0</v>
      </c>
      <c r="O25" s="132" t="s">
        <v>257</v>
      </c>
      <c r="P25" s="132">
        <v>0</v>
      </c>
      <c r="Q25" s="132">
        <v>0</v>
      </c>
      <c r="R25" s="132">
        <v>0</v>
      </c>
      <c r="S25" s="132">
        <v>0</v>
      </c>
    </row>
    <row r="26" spans="1:21" ht="14.25" customHeight="1" x14ac:dyDescent="0.25">
      <c r="A26" s="132" t="s">
        <v>243</v>
      </c>
      <c r="B26" s="132" t="s">
        <v>6</v>
      </c>
      <c r="C26" s="132">
        <v>-1</v>
      </c>
      <c r="D26" s="132" t="str">
        <f t="shared" si="3"/>
        <v>3/8" Hex CIM -1</v>
      </c>
      <c r="E26" s="132">
        <v>1</v>
      </c>
      <c r="F26" s="132">
        <v>1</v>
      </c>
      <c r="G26" s="132">
        <v>1</v>
      </c>
      <c r="H26" s="132">
        <v>1</v>
      </c>
      <c r="I26" s="132">
        <v>0</v>
      </c>
      <c r="O26" s="132" t="s">
        <v>258</v>
      </c>
      <c r="P26" s="132">
        <v>24.98</v>
      </c>
      <c r="Q26" s="132">
        <v>16.98</v>
      </c>
      <c r="R26" s="132">
        <v>0.2</v>
      </c>
      <c r="S26" s="132">
        <v>0.18</v>
      </c>
      <c r="T26" s="132" t="s">
        <v>259</v>
      </c>
      <c r="U26" s="132" t="s">
        <v>260</v>
      </c>
    </row>
    <row r="27" spans="1:21" ht="14.25" customHeight="1" x14ac:dyDescent="0.25">
      <c r="A27" s="132" t="s">
        <v>243</v>
      </c>
      <c r="B27" s="132" t="s">
        <v>9</v>
      </c>
      <c r="C27" s="132">
        <v>-1</v>
      </c>
      <c r="D27" s="132" t="str">
        <f t="shared" si="3"/>
        <v>3/8" Hex NEO -1</v>
      </c>
      <c r="E27" s="132">
        <v>1</v>
      </c>
      <c r="F27" s="132">
        <v>1</v>
      </c>
      <c r="G27" s="132">
        <v>1</v>
      </c>
      <c r="H27" s="132">
        <v>1</v>
      </c>
      <c r="I27" s="132">
        <v>0</v>
      </c>
      <c r="O27" s="132" t="s">
        <v>261</v>
      </c>
      <c r="P27" s="132">
        <v>24.98</v>
      </c>
      <c r="Q27" s="132">
        <v>16.98</v>
      </c>
      <c r="R27" s="132">
        <v>0.2</v>
      </c>
      <c r="S27" s="132">
        <v>0.18</v>
      </c>
      <c r="T27" s="132" t="s">
        <v>262</v>
      </c>
      <c r="U27" s="132" t="s">
        <v>263</v>
      </c>
    </row>
    <row r="28" spans="1:21" ht="14.25" customHeight="1" x14ac:dyDescent="0.25">
      <c r="A28" s="132" t="s">
        <v>243</v>
      </c>
      <c r="B28" s="132" t="s">
        <v>333</v>
      </c>
      <c r="C28" s="132">
        <v>-1</v>
      </c>
      <c r="D28" s="132" t="str">
        <f t="shared" si="3"/>
        <v>3/8" Hex Falcon 500 -1</v>
      </c>
      <c r="E28" s="132">
        <v>1</v>
      </c>
      <c r="F28" s="132">
        <v>1</v>
      </c>
      <c r="G28" s="132">
        <v>1</v>
      </c>
      <c r="H28" s="132">
        <v>1</v>
      </c>
      <c r="I28" s="132">
        <v>0</v>
      </c>
      <c r="O28" s="132" t="s">
        <v>264</v>
      </c>
      <c r="P28" s="132">
        <v>24.98</v>
      </c>
      <c r="Q28" s="132">
        <v>16.98</v>
      </c>
      <c r="R28" s="132">
        <v>0.2</v>
      </c>
      <c r="S28" s="132">
        <v>0.18</v>
      </c>
      <c r="T28" s="132" t="s">
        <v>265</v>
      </c>
      <c r="U28" s="132" t="s">
        <v>266</v>
      </c>
    </row>
    <row r="29" spans="1:21" ht="14.25" customHeight="1" x14ac:dyDescent="0.25">
      <c r="A29" s="132" t="s">
        <v>246</v>
      </c>
      <c r="B29" s="132" t="s">
        <v>11</v>
      </c>
      <c r="C29" s="132">
        <v>-1</v>
      </c>
      <c r="D29" s="132" t="str">
        <f t="shared" si="3"/>
        <v>CIM Motor AM 9015 -1</v>
      </c>
      <c r="E29" s="132">
        <v>1</v>
      </c>
      <c r="F29" s="132">
        <v>1</v>
      </c>
      <c r="G29" s="132">
        <v>1</v>
      </c>
      <c r="H29" s="132">
        <v>1</v>
      </c>
      <c r="I29" s="132">
        <v>1</v>
      </c>
      <c r="O29" s="132" t="s">
        <v>267</v>
      </c>
      <c r="P29" s="132">
        <v>24.98</v>
      </c>
      <c r="Q29" s="132">
        <v>16.98</v>
      </c>
      <c r="R29" s="132">
        <v>0.2</v>
      </c>
      <c r="S29" s="132">
        <v>0.18</v>
      </c>
      <c r="T29" s="132" t="s">
        <v>268</v>
      </c>
      <c r="U29" s="132" t="s">
        <v>269</v>
      </c>
    </row>
    <row r="30" spans="1:21" ht="14.25" customHeight="1" x14ac:dyDescent="0.25">
      <c r="A30" s="132" t="s">
        <v>246</v>
      </c>
      <c r="B30" s="132" t="s">
        <v>326</v>
      </c>
      <c r="C30" s="132">
        <v>-1</v>
      </c>
      <c r="D30" s="132" t="str">
        <f t="shared" si="3"/>
        <v>CIM Motor BB RS-550 -1</v>
      </c>
      <c r="E30" s="132">
        <v>1</v>
      </c>
      <c r="F30" s="132">
        <v>1</v>
      </c>
      <c r="G30" s="132">
        <v>1</v>
      </c>
      <c r="H30" s="132">
        <v>1</v>
      </c>
      <c r="I30" s="132">
        <v>1</v>
      </c>
      <c r="O30" s="132" t="s">
        <v>270</v>
      </c>
      <c r="P30" s="132">
        <v>24.98</v>
      </c>
      <c r="Q30" s="132">
        <v>16.98</v>
      </c>
      <c r="R30" s="132">
        <v>0.2</v>
      </c>
      <c r="S30" s="132">
        <v>0.18</v>
      </c>
      <c r="T30" s="132" t="s">
        <v>271</v>
      </c>
      <c r="U30" s="132" t="s">
        <v>272</v>
      </c>
    </row>
    <row r="31" spans="1:21" ht="14.25" customHeight="1" x14ac:dyDescent="0.25">
      <c r="A31" s="132" t="s">
        <v>246</v>
      </c>
      <c r="B31" s="132" t="s">
        <v>327</v>
      </c>
      <c r="C31" s="132">
        <v>-1</v>
      </c>
      <c r="D31" s="132" t="str">
        <f t="shared" si="3"/>
        <v>CIM Motor BB RS-775 -1</v>
      </c>
      <c r="E31" s="132">
        <v>1</v>
      </c>
      <c r="F31" s="132">
        <v>1</v>
      </c>
      <c r="G31" s="132">
        <v>1</v>
      </c>
      <c r="H31" s="132">
        <v>1</v>
      </c>
      <c r="I31" s="132">
        <v>1</v>
      </c>
      <c r="O31" s="132" t="s">
        <v>273</v>
      </c>
      <c r="P31" s="132">
        <v>24.98</v>
      </c>
      <c r="Q31" s="132">
        <v>16.98</v>
      </c>
      <c r="R31" s="132">
        <v>0.2</v>
      </c>
      <c r="S31" s="132">
        <v>0.18</v>
      </c>
      <c r="T31" s="132" t="s">
        <v>274</v>
      </c>
      <c r="U31" s="132" t="s">
        <v>275</v>
      </c>
    </row>
    <row r="32" spans="1:21" ht="14.25" customHeight="1" x14ac:dyDescent="0.25">
      <c r="A32" s="132" t="s">
        <v>246</v>
      </c>
      <c r="B32" s="132" t="s">
        <v>8</v>
      </c>
      <c r="C32" s="132">
        <v>-1</v>
      </c>
      <c r="D32" s="132" t="str">
        <f t="shared" si="3"/>
        <v>CIM Motor BAG Motor -1</v>
      </c>
      <c r="E32" s="132">
        <v>1</v>
      </c>
      <c r="F32" s="132">
        <v>1</v>
      </c>
      <c r="G32" s="132">
        <v>1</v>
      </c>
      <c r="H32" s="132">
        <v>1</v>
      </c>
      <c r="I32" s="132">
        <v>1</v>
      </c>
    </row>
    <row r="33" spans="1:22" ht="14.25" customHeight="1" x14ac:dyDescent="0.25">
      <c r="A33" s="132" t="s">
        <v>246</v>
      </c>
      <c r="B33" s="132" t="s">
        <v>255</v>
      </c>
      <c r="C33" s="132">
        <v>-1</v>
      </c>
      <c r="D33" s="132" t="str">
        <f t="shared" si="3"/>
        <v>CIM Motor 775pro -1</v>
      </c>
      <c r="E33" s="132">
        <v>1</v>
      </c>
      <c r="F33" s="132">
        <v>1</v>
      </c>
      <c r="G33" s="132">
        <v>1</v>
      </c>
      <c r="H33" s="132">
        <v>1</v>
      </c>
      <c r="I33" s="132">
        <v>1</v>
      </c>
    </row>
    <row r="34" spans="1:22" ht="14.25" customHeight="1" x14ac:dyDescent="0.25">
      <c r="A34" s="132" t="s">
        <v>246</v>
      </c>
      <c r="B34" s="132" t="s">
        <v>7</v>
      </c>
      <c r="C34" s="132">
        <v>-1</v>
      </c>
      <c r="D34" s="132" t="str">
        <f t="shared" si="3"/>
        <v>CIM Motor Mini CIM -1</v>
      </c>
      <c r="E34" s="132">
        <v>1</v>
      </c>
      <c r="F34" s="132">
        <v>1</v>
      </c>
      <c r="G34" s="132">
        <v>1</v>
      </c>
      <c r="H34" s="132">
        <v>1</v>
      </c>
      <c r="I34" s="132">
        <v>0</v>
      </c>
      <c r="O34" s="132" t="s">
        <v>276</v>
      </c>
    </row>
    <row r="35" spans="1:22" ht="14.25" customHeight="1" x14ac:dyDescent="0.25">
      <c r="A35" s="132" t="s">
        <v>246</v>
      </c>
      <c r="B35" s="132" t="s">
        <v>6</v>
      </c>
      <c r="C35" s="132">
        <v>-1</v>
      </c>
      <c r="D35" s="132" t="str">
        <f t="shared" si="3"/>
        <v>CIM Motor CIM -1</v>
      </c>
      <c r="E35" s="132">
        <v>1</v>
      </c>
      <c r="F35" s="132">
        <v>1</v>
      </c>
      <c r="G35" s="132">
        <v>1</v>
      </c>
      <c r="H35" s="132">
        <v>1</v>
      </c>
      <c r="I35" s="132">
        <v>0</v>
      </c>
      <c r="O35" s="132" t="s">
        <v>257</v>
      </c>
      <c r="P35" s="132">
        <v>0</v>
      </c>
      <c r="R35" s="132">
        <v>0</v>
      </c>
    </row>
    <row r="36" spans="1:22" ht="14.25" customHeight="1" x14ac:dyDescent="0.25">
      <c r="A36" s="132" t="s">
        <v>246</v>
      </c>
      <c r="B36" s="132" t="s">
        <v>9</v>
      </c>
      <c r="C36" s="132">
        <v>-1</v>
      </c>
      <c r="D36" s="132" t="str">
        <f t="shared" si="3"/>
        <v>CIM Motor NEO -1</v>
      </c>
      <c r="E36" s="132">
        <v>1</v>
      </c>
      <c r="F36" s="132">
        <v>1</v>
      </c>
      <c r="G36" s="132">
        <v>1</v>
      </c>
      <c r="H36" s="132">
        <v>1</v>
      </c>
      <c r="I36" s="132">
        <v>0</v>
      </c>
      <c r="O36" s="132" t="s">
        <v>277</v>
      </c>
      <c r="P36" s="132">
        <v>41.97</v>
      </c>
      <c r="R36" s="132">
        <v>0.31</v>
      </c>
      <c r="T36" s="132" t="s">
        <v>278</v>
      </c>
      <c r="U36" s="132" t="s">
        <v>278</v>
      </c>
      <c r="V36" s="132" t="s">
        <v>278</v>
      </c>
    </row>
    <row r="37" spans="1:22" ht="14.25" customHeight="1" x14ac:dyDescent="0.25">
      <c r="A37" s="132" t="s">
        <v>246</v>
      </c>
      <c r="B37" s="132" t="s">
        <v>333</v>
      </c>
      <c r="C37" s="132">
        <v>-1</v>
      </c>
      <c r="D37" s="132" t="str">
        <f t="shared" si="3"/>
        <v>CIM Motor Falcon 500 -1</v>
      </c>
      <c r="E37" s="132">
        <v>1</v>
      </c>
      <c r="F37" s="132">
        <v>1</v>
      </c>
      <c r="G37" s="132">
        <v>1</v>
      </c>
      <c r="H37" s="132">
        <v>1</v>
      </c>
      <c r="I37" s="132">
        <v>0</v>
      </c>
      <c r="O37" s="132" t="s">
        <v>279</v>
      </c>
      <c r="P37" s="132">
        <v>42.97</v>
      </c>
      <c r="R37" s="132">
        <v>0.31</v>
      </c>
      <c r="T37" s="132" t="s">
        <v>280</v>
      </c>
      <c r="U37" s="132" t="s">
        <v>281</v>
      </c>
      <c r="V37" s="132" t="s">
        <v>282</v>
      </c>
    </row>
    <row r="38" spans="1:22" ht="14.25" customHeight="1" x14ac:dyDescent="0.25">
      <c r="A38" s="132" t="s">
        <v>249</v>
      </c>
      <c r="B38" s="132" t="s">
        <v>11</v>
      </c>
      <c r="C38" s="132">
        <v>-1</v>
      </c>
      <c r="D38" s="132" t="str">
        <f t="shared" si="3"/>
        <v>Female AM 9015 -1</v>
      </c>
      <c r="E38" s="132">
        <v>1</v>
      </c>
      <c r="F38" s="132">
        <v>1</v>
      </c>
      <c r="G38" s="132">
        <v>1</v>
      </c>
      <c r="H38" s="132">
        <v>1</v>
      </c>
      <c r="I38" s="132">
        <v>1</v>
      </c>
      <c r="O38" s="132" t="s">
        <v>283</v>
      </c>
      <c r="P38" s="132">
        <v>42.97</v>
      </c>
      <c r="R38" s="132">
        <v>0.31</v>
      </c>
      <c r="T38" s="132" t="s">
        <v>284</v>
      </c>
      <c r="U38" s="132" t="s">
        <v>285</v>
      </c>
      <c r="V38" s="132" t="s">
        <v>286</v>
      </c>
    </row>
    <row r="39" spans="1:22" ht="14.25" customHeight="1" x14ac:dyDescent="0.25">
      <c r="A39" s="132" t="s">
        <v>249</v>
      </c>
      <c r="B39" s="132" t="s">
        <v>326</v>
      </c>
      <c r="C39" s="132">
        <v>-1</v>
      </c>
      <c r="D39" s="132" t="str">
        <f t="shared" si="3"/>
        <v>Female BB RS-550 -1</v>
      </c>
      <c r="E39" s="132">
        <v>1</v>
      </c>
      <c r="F39" s="132">
        <v>1</v>
      </c>
      <c r="G39" s="132">
        <v>1</v>
      </c>
      <c r="H39" s="132">
        <v>1</v>
      </c>
      <c r="I39" s="132">
        <v>1</v>
      </c>
      <c r="O39" s="132" t="s">
        <v>287</v>
      </c>
      <c r="P39" s="132">
        <v>56.97</v>
      </c>
      <c r="R39" s="132">
        <v>0.34</v>
      </c>
      <c r="T39" s="132" t="s">
        <v>288</v>
      </c>
      <c r="U39" s="132" t="s">
        <v>288</v>
      </c>
      <c r="V39" s="132" t="s">
        <v>288</v>
      </c>
    </row>
    <row r="40" spans="1:22" ht="14.25" customHeight="1" x14ac:dyDescent="0.25">
      <c r="A40" s="132" t="s">
        <v>249</v>
      </c>
      <c r="B40" s="132" t="s">
        <v>327</v>
      </c>
      <c r="C40" s="132">
        <v>-1</v>
      </c>
      <c r="D40" s="132" t="str">
        <f t="shared" si="3"/>
        <v>Female BB RS-775 -1</v>
      </c>
      <c r="E40" s="132">
        <v>1</v>
      </c>
      <c r="F40" s="132">
        <v>1</v>
      </c>
      <c r="G40" s="132">
        <v>1</v>
      </c>
      <c r="H40" s="132">
        <v>1</v>
      </c>
      <c r="I40" s="132">
        <v>1</v>
      </c>
      <c r="O40" s="132" t="s">
        <v>289</v>
      </c>
      <c r="P40" s="132">
        <v>57.97</v>
      </c>
      <c r="R40" s="132">
        <v>0.34</v>
      </c>
      <c r="T40" s="132" t="s">
        <v>290</v>
      </c>
      <c r="U40" s="132" t="s">
        <v>291</v>
      </c>
      <c r="V40" s="132" t="s">
        <v>292</v>
      </c>
    </row>
    <row r="41" spans="1:22" ht="14.25" customHeight="1" x14ac:dyDescent="0.25">
      <c r="A41" s="132" t="s">
        <v>249</v>
      </c>
      <c r="B41" s="132" t="s">
        <v>8</v>
      </c>
      <c r="C41" s="132">
        <v>-1</v>
      </c>
      <c r="D41" s="132" t="str">
        <f t="shared" si="3"/>
        <v>Female BAG Motor -1</v>
      </c>
      <c r="E41" s="132">
        <v>1</v>
      </c>
      <c r="F41" s="132">
        <v>1</v>
      </c>
      <c r="G41" s="132">
        <v>1</v>
      </c>
      <c r="H41" s="132">
        <v>1</v>
      </c>
      <c r="I41" s="132">
        <v>1</v>
      </c>
      <c r="O41" s="132" t="s">
        <v>293</v>
      </c>
      <c r="P41" s="132">
        <v>57.97</v>
      </c>
      <c r="R41" s="132">
        <v>0.34</v>
      </c>
      <c r="T41" s="132" t="s">
        <v>294</v>
      </c>
      <c r="U41" s="132" t="s">
        <v>295</v>
      </c>
      <c r="V41" s="132" t="s">
        <v>296</v>
      </c>
    </row>
    <row r="42" spans="1:22" ht="14.25" customHeight="1" x14ac:dyDescent="0.25">
      <c r="A42" s="132" t="s">
        <v>249</v>
      </c>
      <c r="B42" s="132" t="s">
        <v>255</v>
      </c>
      <c r="C42" s="132">
        <v>-1</v>
      </c>
      <c r="D42" s="132" t="str">
        <f t="shared" si="3"/>
        <v>Female 775pro -1</v>
      </c>
      <c r="E42" s="132">
        <v>1</v>
      </c>
      <c r="F42" s="132">
        <v>1</v>
      </c>
      <c r="G42" s="132">
        <v>1</v>
      </c>
      <c r="H42" s="132">
        <v>1</v>
      </c>
      <c r="I42" s="132">
        <v>1</v>
      </c>
      <c r="O42" s="132" t="s">
        <v>276</v>
      </c>
      <c r="P42" s="132">
        <v>14.98</v>
      </c>
      <c r="R42" s="132">
        <v>0.2</v>
      </c>
      <c r="T42" s="132" t="s">
        <v>297</v>
      </c>
    </row>
    <row r="43" spans="1:22" ht="14.25" customHeight="1" x14ac:dyDescent="0.25">
      <c r="A43" s="132" t="s">
        <v>249</v>
      </c>
      <c r="B43" s="132" t="s">
        <v>7</v>
      </c>
      <c r="C43" s="132">
        <v>-1</v>
      </c>
      <c r="D43" s="132" t="str">
        <f t="shared" si="3"/>
        <v>Female Mini CIM -1</v>
      </c>
      <c r="E43" s="132">
        <v>1</v>
      </c>
      <c r="F43" s="132">
        <v>1</v>
      </c>
      <c r="G43" s="132">
        <v>1</v>
      </c>
      <c r="H43" s="132">
        <v>1</v>
      </c>
      <c r="I43" s="132">
        <v>0</v>
      </c>
    </row>
    <row r="44" spans="1:22" ht="14.25" customHeight="1" x14ac:dyDescent="0.25">
      <c r="A44" s="132" t="s">
        <v>249</v>
      </c>
      <c r="B44" s="132" t="s">
        <v>6</v>
      </c>
      <c r="C44" s="132">
        <v>-1</v>
      </c>
      <c r="D44" s="132" t="str">
        <f t="shared" si="3"/>
        <v>Female CIM -1</v>
      </c>
      <c r="E44" s="132">
        <v>1</v>
      </c>
      <c r="F44" s="132">
        <v>1</v>
      </c>
      <c r="G44" s="132">
        <v>1</v>
      </c>
      <c r="H44" s="132">
        <v>1</v>
      </c>
      <c r="I44" s="132">
        <v>0</v>
      </c>
    </row>
    <row r="45" spans="1:22" ht="14.25" customHeight="1" x14ac:dyDescent="0.25">
      <c r="A45" s="132" t="s">
        <v>249</v>
      </c>
      <c r="B45" s="132" t="s">
        <v>9</v>
      </c>
      <c r="C45" s="132">
        <v>-1</v>
      </c>
      <c r="D45" s="132" t="str">
        <f t="shared" si="3"/>
        <v>Female NEO -1</v>
      </c>
      <c r="E45" s="132">
        <v>1</v>
      </c>
      <c r="F45" s="132">
        <v>1</v>
      </c>
      <c r="G45" s="132">
        <v>1</v>
      </c>
      <c r="H45" s="132">
        <v>1</v>
      </c>
      <c r="I45" s="132">
        <v>0</v>
      </c>
      <c r="O45" s="132" t="s">
        <v>298</v>
      </c>
    </row>
    <row r="46" spans="1:22" ht="14.25" customHeight="1" x14ac:dyDescent="0.25">
      <c r="A46" s="132" t="s">
        <v>249</v>
      </c>
      <c r="B46" s="132" t="s">
        <v>333</v>
      </c>
      <c r="C46" s="132">
        <v>-1</v>
      </c>
      <c r="D46" s="132" t="str">
        <f t="shared" si="3"/>
        <v>Female Falcon 500 -1</v>
      </c>
      <c r="E46" s="132">
        <v>1</v>
      </c>
      <c r="F46" s="132">
        <v>1</v>
      </c>
      <c r="G46" s="132">
        <v>1</v>
      </c>
      <c r="H46" s="132">
        <v>1</v>
      </c>
      <c r="I46" s="132">
        <v>0</v>
      </c>
      <c r="O46" s="132" t="s">
        <v>60</v>
      </c>
      <c r="P46" s="132">
        <v>67.95</v>
      </c>
      <c r="R46" s="132">
        <v>0.28000000000000003</v>
      </c>
      <c r="T46" s="132" t="s">
        <v>299</v>
      </c>
      <c r="U46" s="132" t="s">
        <v>300</v>
      </c>
      <c r="V46" s="132" t="s">
        <v>301</v>
      </c>
    </row>
    <row r="47" spans="1:22" ht="14.25" customHeight="1" x14ac:dyDescent="0.25">
      <c r="A47" s="132" t="s">
        <v>117</v>
      </c>
      <c r="B47" s="132" t="s">
        <v>11</v>
      </c>
      <c r="C47" s="132">
        <v>-3</v>
      </c>
      <c r="D47" s="132" t="str">
        <f>A47&amp;" "&amp;B47&amp;" "&amp;C47</f>
        <v>1/2" Hex AM 9015 -3</v>
      </c>
      <c r="E47" s="132">
        <v>1</v>
      </c>
      <c r="I47" s="132">
        <v>1</v>
      </c>
      <c r="O47" s="132" t="s">
        <v>302</v>
      </c>
      <c r="P47" s="132">
        <v>0</v>
      </c>
      <c r="R47" s="132">
        <v>0</v>
      </c>
    </row>
    <row r="48" spans="1:22" ht="14.25" customHeight="1" x14ac:dyDescent="0.25">
      <c r="A48" s="132" t="s">
        <v>117</v>
      </c>
      <c r="B48" s="132" t="s">
        <v>11</v>
      </c>
      <c r="C48" s="132">
        <v>-4</v>
      </c>
      <c r="D48" s="132" t="str">
        <f t="shared" ref="D48:D52" si="4">A48&amp;" "&amp;B48&amp;" "&amp;C48</f>
        <v>1/2" Hex AM 9015 -4</v>
      </c>
      <c r="E48" s="132">
        <v>1</v>
      </c>
      <c r="I48" s="132">
        <v>1</v>
      </c>
    </row>
    <row r="49" spans="1:20" ht="14.25" customHeight="1" x14ac:dyDescent="0.25">
      <c r="A49" s="132" t="s">
        <v>117</v>
      </c>
      <c r="B49" s="132" t="s">
        <v>11</v>
      </c>
      <c r="C49" s="132">
        <v>-5</v>
      </c>
      <c r="D49" s="132" t="str">
        <f t="shared" si="4"/>
        <v>1/2" Hex AM 9015 -5</v>
      </c>
      <c r="E49" s="132">
        <v>1</v>
      </c>
      <c r="I49" s="132">
        <v>1</v>
      </c>
    </row>
    <row r="50" spans="1:20" ht="14.25" customHeight="1" x14ac:dyDescent="0.25">
      <c r="A50" s="132" t="s">
        <v>117</v>
      </c>
      <c r="B50" s="132" t="s">
        <v>11</v>
      </c>
      <c r="C50" s="132">
        <v>-7</v>
      </c>
      <c r="D50" s="132" t="str">
        <f t="shared" si="4"/>
        <v>1/2" Hex AM 9015 -7</v>
      </c>
      <c r="E50" s="132">
        <v>1</v>
      </c>
      <c r="I50" s="132">
        <v>1</v>
      </c>
      <c r="O50" s="132" t="s">
        <v>303</v>
      </c>
    </row>
    <row r="51" spans="1:20" ht="14.25" customHeight="1" x14ac:dyDescent="0.25">
      <c r="A51" s="132" t="s">
        <v>117</v>
      </c>
      <c r="B51" s="132" t="s">
        <v>11</v>
      </c>
      <c r="C51" s="132">
        <v>-9</v>
      </c>
      <c r="D51" s="132" t="str">
        <f t="shared" si="4"/>
        <v>1/2" Hex AM 9015 -9</v>
      </c>
      <c r="E51" s="132">
        <v>1</v>
      </c>
      <c r="I51" s="132">
        <v>1</v>
      </c>
      <c r="O51" s="132" t="s">
        <v>60</v>
      </c>
      <c r="P51" s="132">
        <v>84.99</v>
      </c>
      <c r="R51" s="132">
        <v>0.57999999999999996</v>
      </c>
      <c r="T51" s="132" t="s">
        <v>304</v>
      </c>
    </row>
    <row r="52" spans="1:20" ht="14.25" customHeight="1" x14ac:dyDescent="0.25">
      <c r="A52" s="132" t="s">
        <v>117</v>
      </c>
      <c r="B52" s="132" t="s">
        <v>11</v>
      </c>
      <c r="C52" s="132">
        <v>-10</v>
      </c>
      <c r="D52" s="132" t="str">
        <f t="shared" si="4"/>
        <v>1/2" Hex AM 9015 -10</v>
      </c>
      <c r="E52" s="132">
        <v>1</v>
      </c>
      <c r="I52" s="132">
        <v>1</v>
      </c>
      <c r="O52" s="132" t="s">
        <v>302</v>
      </c>
      <c r="P52" s="132">
        <v>0</v>
      </c>
      <c r="R52" s="132">
        <v>0</v>
      </c>
    </row>
    <row r="53" spans="1:20" ht="14.25" customHeight="1" x14ac:dyDescent="0.25">
      <c r="A53" s="132" t="s">
        <v>117</v>
      </c>
      <c r="B53" s="132" t="s">
        <v>11</v>
      </c>
      <c r="C53" s="132">
        <v>9</v>
      </c>
      <c r="D53" s="132" t="str">
        <f>A53&amp;" "&amp;B53&amp;" "&amp;C53</f>
        <v>1/2" Hex AM 9015 9</v>
      </c>
      <c r="E53" s="132">
        <v>10</v>
      </c>
      <c r="I53" s="132">
        <v>10</v>
      </c>
    </row>
    <row r="54" spans="1:20" ht="14.25" customHeight="1" x14ac:dyDescent="0.25">
      <c r="A54" s="132" t="s">
        <v>117</v>
      </c>
      <c r="B54" s="132" t="s">
        <v>11</v>
      </c>
      <c r="C54" s="132">
        <v>12</v>
      </c>
      <c r="D54" s="132" t="str">
        <f t="shared" ref="D54:D79" si="5">A54&amp;" "&amp;B54&amp;" "&amp;C54</f>
        <v>1/2" Hex AM 9015 12</v>
      </c>
      <c r="E54" s="132">
        <v>10</v>
      </c>
      <c r="I54" s="132">
        <v>7</v>
      </c>
    </row>
    <row r="55" spans="1:20" ht="14.25" customHeight="1" x14ac:dyDescent="0.25">
      <c r="A55" s="132" t="s">
        <v>117</v>
      </c>
      <c r="B55" s="132" t="s">
        <v>11</v>
      </c>
      <c r="C55" s="132">
        <v>15</v>
      </c>
      <c r="D55" s="132" t="str">
        <f t="shared" si="5"/>
        <v>1/2" Hex AM 9015 15</v>
      </c>
      <c r="E55" s="132">
        <v>10</v>
      </c>
      <c r="I55" s="132">
        <v>5</v>
      </c>
      <c r="O55" s="132" t="s">
        <v>305</v>
      </c>
    </row>
    <row r="56" spans="1:20" ht="14.25" customHeight="1" x14ac:dyDescent="0.25">
      <c r="A56" s="132" t="s">
        <v>117</v>
      </c>
      <c r="B56" s="132" t="s">
        <v>11</v>
      </c>
      <c r="C56" s="132">
        <v>16</v>
      </c>
      <c r="D56" s="132" t="str">
        <f t="shared" si="5"/>
        <v>1/2" Hex AM 9015 16</v>
      </c>
      <c r="E56" s="132">
        <v>10</v>
      </c>
      <c r="I56" s="132">
        <v>5</v>
      </c>
      <c r="O56" s="132" t="s">
        <v>60</v>
      </c>
      <c r="P56" s="132">
        <v>14.99</v>
      </c>
      <c r="R56" s="132">
        <v>0.14000000000000001</v>
      </c>
      <c r="T56" s="132" t="s">
        <v>306</v>
      </c>
    </row>
    <row r="57" spans="1:20" ht="14.25" customHeight="1" x14ac:dyDescent="0.25">
      <c r="A57" s="132" t="s">
        <v>117</v>
      </c>
      <c r="B57" s="132" t="s">
        <v>11</v>
      </c>
      <c r="C57" s="132">
        <v>20</v>
      </c>
      <c r="D57" s="132" t="str">
        <f t="shared" si="5"/>
        <v>1/2" Hex AM 9015 20</v>
      </c>
      <c r="E57" s="132">
        <v>10</v>
      </c>
      <c r="I57" s="132">
        <v>4</v>
      </c>
      <c r="O57" s="132" t="s">
        <v>302</v>
      </c>
      <c r="P57" s="132">
        <v>0</v>
      </c>
      <c r="R57" s="132">
        <v>0</v>
      </c>
    </row>
    <row r="58" spans="1:20" ht="14.25" customHeight="1" x14ac:dyDescent="0.25">
      <c r="A58" s="132" t="s">
        <v>117</v>
      </c>
      <c r="B58" s="132" t="s">
        <v>11</v>
      </c>
      <c r="C58" s="132">
        <v>21</v>
      </c>
      <c r="D58" s="132" t="str">
        <f t="shared" si="5"/>
        <v>1/2" Hex AM 9015 21</v>
      </c>
      <c r="E58" s="132">
        <v>10</v>
      </c>
      <c r="I58" s="132">
        <v>4</v>
      </c>
    </row>
    <row r="59" spans="1:20" ht="14.25" customHeight="1" x14ac:dyDescent="0.25">
      <c r="A59" s="132" t="s">
        <v>117</v>
      </c>
      <c r="B59" s="132" t="s">
        <v>11</v>
      </c>
      <c r="C59" s="132">
        <v>25</v>
      </c>
      <c r="D59" s="132" t="str">
        <f t="shared" si="5"/>
        <v>1/2" Hex AM 9015 25</v>
      </c>
      <c r="E59" s="132">
        <v>7</v>
      </c>
      <c r="I59" s="132">
        <v>3</v>
      </c>
      <c r="O59" s="132" t="s">
        <v>307</v>
      </c>
    </row>
    <row r="60" spans="1:20" ht="14.25" customHeight="1" x14ac:dyDescent="0.25">
      <c r="A60" s="132" t="s">
        <v>117</v>
      </c>
      <c r="B60" s="132" t="s">
        <v>11</v>
      </c>
      <c r="C60" s="132">
        <v>27</v>
      </c>
      <c r="D60" s="132" t="str">
        <f t="shared" si="5"/>
        <v>1/2" Hex AM 9015 27</v>
      </c>
      <c r="E60" s="132">
        <v>7</v>
      </c>
      <c r="I60" s="132">
        <v>3</v>
      </c>
      <c r="O60" s="132" t="s">
        <v>60</v>
      </c>
      <c r="P60" s="132">
        <v>49.99</v>
      </c>
      <c r="R60" s="132">
        <v>0.08</v>
      </c>
      <c r="T60" s="132" t="s">
        <v>308</v>
      </c>
    </row>
    <row r="61" spans="1:20" ht="14.25" customHeight="1" x14ac:dyDescent="0.25">
      <c r="A61" s="132" t="s">
        <v>117</v>
      </c>
      <c r="B61" s="132" t="s">
        <v>11</v>
      </c>
      <c r="C61" s="132">
        <v>28</v>
      </c>
      <c r="D61" s="132" t="str">
        <f t="shared" si="5"/>
        <v>1/2" Hex AM 9015 28</v>
      </c>
      <c r="E61" s="132">
        <v>7</v>
      </c>
      <c r="I61" s="132">
        <v>3</v>
      </c>
      <c r="O61" s="132" t="s">
        <v>302</v>
      </c>
      <c r="P61" s="132">
        <v>0</v>
      </c>
      <c r="R61" s="132">
        <v>0</v>
      </c>
    </row>
    <row r="62" spans="1:20" ht="14.25" customHeight="1" x14ac:dyDescent="0.25">
      <c r="A62" s="132" t="s">
        <v>117</v>
      </c>
      <c r="B62" s="132" t="s">
        <v>11</v>
      </c>
      <c r="C62" s="132">
        <v>30</v>
      </c>
      <c r="D62" s="132" t="str">
        <f t="shared" si="5"/>
        <v>1/2" Hex AM 9015 30</v>
      </c>
      <c r="E62" s="132">
        <v>7</v>
      </c>
      <c r="I62" s="132">
        <v>3</v>
      </c>
    </row>
    <row r="63" spans="1:20" ht="14.25" customHeight="1" x14ac:dyDescent="0.25">
      <c r="A63" s="132" t="s">
        <v>117</v>
      </c>
      <c r="B63" s="132" t="s">
        <v>11</v>
      </c>
      <c r="C63" s="132">
        <v>35</v>
      </c>
      <c r="D63" s="132" t="str">
        <f t="shared" si="5"/>
        <v>1/2" Hex AM 9015 35</v>
      </c>
      <c r="E63" s="132">
        <v>5</v>
      </c>
      <c r="I63" s="132">
        <v>1</v>
      </c>
    </row>
    <row r="64" spans="1:20" ht="14.25" customHeight="1" x14ac:dyDescent="0.25">
      <c r="A64" s="132" t="s">
        <v>117</v>
      </c>
      <c r="B64" s="132" t="s">
        <v>11</v>
      </c>
      <c r="C64" s="132">
        <v>36</v>
      </c>
      <c r="D64" s="132" t="str">
        <f t="shared" si="5"/>
        <v>1/2" Hex AM 9015 36</v>
      </c>
      <c r="E64" s="132">
        <v>5</v>
      </c>
      <c r="I64" s="132">
        <v>1</v>
      </c>
    </row>
    <row r="65" spans="1:9" ht="14.25" customHeight="1" x14ac:dyDescent="0.25">
      <c r="A65" s="132" t="s">
        <v>117</v>
      </c>
      <c r="B65" s="132" t="s">
        <v>11</v>
      </c>
      <c r="C65" s="132">
        <v>40</v>
      </c>
      <c r="D65" s="132" t="str">
        <f t="shared" si="5"/>
        <v>1/2" Hex AM 9015 40</v>
      </c>
      <c r="E65" s="132">
        <v>5</v>
      </c>
      <c r="I65" s="132">
        <v>1</v>
      </c>
    </row>
    <row r="66" spans="1:9" ht="14.25" customHeight="1" x14ac:dyDescent="0.25">
      <c r="A66" s="132" t="s">
        <v>117</v>
      </c>
      <c r="B66" s="132" t="s">
        <v>11</v>
      </c>
      <c r="C66" s="132">
        <v>45</v>
      </c>
      <c r="D66" s="132" t="str">
        <f t="shared" si="5"/>
        <v>1/2" Hex AM 9015 45</v>
      </c>
      <c r="E66" s="132">
        <v>5</v>
      </c>
      <c r="I66" s="132">
        <v>1</v>
      </c>
    </row>
    <row r="67" spans="1:9" ht="14.25" customHeight="1" x14ac:dyDescent="0.25">
      <c r="A67" s="132" t="s">
        <v>117</v>
      </c>
      <c r="B67" s="132" t="s">
        <v>11</v>
      </c>
      <c r="C67" s="132">
        <v>49</v>
      </c>
      <c r="D67" s="132" t="str">
        <f t="shared" si="5"/>
        <v>1/2" Hex AM 9015 49</v>
      </c>
      <c r="E67" s="132">
        <v>5</v>
      </c>
      <c r="I67" s="132">
        <v>1</v>
      </c>
    </row>
    <row r="68" spans="1:9" ht="14.25" customHeight="1" x14ac:dyDescent="0.25">
      <c r="A68" s="132" t="s">
        <v>117</v>
      </c>
      <c r="B68" s="132" t="s">
        <v>11</v>
      </c>
      <c r="C68" s="132">
        <v>50</v>
      </c>
      <c r="D68" s="132" t="str">
        <f t="shared" si="5"/>
        <v>1/2" Hex AM 9015 50</v>
      </c>
      <c r="E68" s="132">
        <v>5</v>
      </c>
      <c r="I68" s="132">
        <v>1</v>
      </c>
    </row>
    <row r="69" spans="1:9" ht="14.25" customHeight="1" x14ac:dyDescent="0.25">
      <c r="A69" s="132" t="s">
        <v>117</v>
      </c>
      <c r="B69" s="132" t="s">
        <v>11</v>
      </c>
      <c r="C69" s="132">
        <v>63</v>
      </c>
      <c r="D69" s="132" t="str">
        <f t="shared" si="5"/>
        <v>1/2" Hex AM 9015 63</v>
      </c>
      <c r="E69" s="132">
        <v>5</v>
      </c>
      <c r="I69" s="132">
        <v>1</v>
      </c>
    </row>
    <row r="70" spans="1:9" ht="14.25" customHeight="1" x14ac:dyDescent="0.25">
      <c r="A70" s="132" t="s">
        <v>117</v>
      </c>
      <c r="B70" s="132" t="s">
        <v>11</v>
      </c>
      <c r="C70" s="132">
        <v>70</v>
      </c>
      <c r="D70" s="132" t="str">
        <f t="shared" si="5"/>
        <v>1/2" Hex AM 9015 70</v>
      </c>
      <c r="E70" s="132">
        <v>4</v>
      </c>
      <c r="I70" s="132">
        <v>1</v>
      </c>
    </row>
    <row r="71" spans="1:9" ht="14.25" customHeight="1" x14ac:dyDescent="0.25">
      <c r="A71" s="132" t="s">
        <v>117</v>
      </c>
      <c r="B71" s="132" t="s">
        <v>11</v>
      </c>
      <c r="C71" s="132">
        <v>81</v>
      </c>
      <c r="D71" s="132" t="str">
        <f t="shared" si="5"/>
        <v>1/2" Hex AM 9015 81</v>
      </c>
      <c r="E71" s="132">
        <v>4</v>
      </c>
      <c r="I71" s="132">
        <v>1</v>
      </c>
    </row>
    <row r="72" spans="1:9" ht="14.25" customHeight="1" x14ac:dyDescent="0.25">
      <c r="A72" s="132" t="s">
        <v>117</v>
      </c>
      <c r="B72" s="132" t="s">
        <v>11</v>
      </c>
      <c r="C72" s="132">
        <v>90</v>
      </c>
      <c r="D72" s="132" t="str">
        <f t="shared" si="5"/>
        <v>1/2" Hex AM 9015 90</v>
      </c>
      <c r="E72" s="132">
        <v>3</v>
      </c>
      <c r="I72" s="132">
        <v>1</v>
      </c>
    </row>
    <row r="73" spans="1:9" ht="14.25" customHeight="1" x14ac:dyDescent="0.25">
      <c r="A73" s="132" t="s">
        <v>117</v>
      </c>
      <c r="B73" s="132" t="s">
        <v>11</v>
      </c>
      <c r="C73" s="132">
        <v>100</v>
      </c>
      <c r="D73" s="132" t="str">
        <f t="shared" si="5"/>
        <v>1/2" Hex AM 9015 100</v>
      </c>
      <c r="E73" s="132">
        <v>3</v>
      </c>
      <c r="I73" s="132">
        <v>0</v>
      </c>
    </row>
    <row r="74" spans="1:9" ht="14.25" customHeight="1" x14ac:dyDescent="0.25">
      <c r="A74" s="132" t="s">
        <v>117</v>
      </c>
      <c r="B74" s="132" t="s">
        <v>326</v>
      </c>
      <c r="C74" s="132">
        <v>-3</v>
      </c>
      <c r="D74" s="132" t="str">
        <f t="shared" si="5"/>
        <v>1/2" Hex BB RS-550 -3</v>
      </c>
      <c r="E74" s="132">
        <v>1</v>
      </c>
      <c r="F74" s="132">
        <v>1</v>
      </c>
      <c r="G74" s="132">
        <v>1</v>
      </c>
      <c r="H74" s="132">
        <v>1</v>
      </c>
      <c r="I74" s="132">
        <v>1</v>
      </c>
    </row>
    <row r="75" spans="1:9" ht="14.25" customHeight="1" x14ac:dyDescent="0.25">
      <c r="A75" s="132" t="s">
        <v>117</v>
      </c>
      <c r="B75" s="132" t="s">
        <v>326</v>
      </c>
      <c r="C75" s="132">
        <v>-4</v>
      </c>
      <c r="D75" s="132" t="str">
        <f t="shared" si="5"/>
        <v>1/2" Hex BB RS-550 -4</v>
      </c>
      <c r="E75" s="132">
        <v>1</v>
      </c>
      <c r="F75" s="132">
        <v>1</v>
      </c>
      <c r="G75" s="132">
        <v>1</v>
      </c>
      <c r="H75" s="132">
        <v>1</v>
      </c>
      <c r="I75" s="132">
        <v>1</v>
      </c>
    </row>
    <row r="76" spans="1:9" ht="14.25" customHeight="1" x14ac:dyDescent="0.25">
      <c r="A76" s="132" t="s">
        <v>117</v>
      </c>
      <c r="B76" s="132" t="s">
        <v>326</v>
      </c>
      <c r="C76" s="132">
        <v>-5</v>
      </c>
      <c r="D76" s="132" t="str">
        <f t="shared" si="5"/>
        <v>1/2" Hex BB RS-550 -5</v>
      </c>
      <c r="E76" s="132">
        <v>1</v>
      </c>
      <c r="F76" s="132">
        <v>1</v>
      </c>
      <c r="G76" s="132">
        <v>1</v>
      </c>
      <c r="H76" s="132">
        <v>1</v>
      </c>
      <c r="I76" s="132">
        <v>1</v>
      </c>
    </row>
    <row r="77" spans="1:9" ht="14.25" customHeight="1" x14ac:dyDescent="0.25">
      <c r="A77" s="132" t="s">
        <v>117</v>
      </c>
      <c r="B77" s="132" t="s">
        <v>326</v>
      </c>
      <c r="C77" s="132">
        <v>-7</v>
      </c>
      <c r="D77" s="132" t="str">
        <f t="shared" si="5"/>
        <v>1/2" Hex BB RS-550 -7</v>
      </c>
      <c r="E77" s="132">
        <v>1</v>
      </c>
      <c r="F77" s="132">
        <v>1</v>
      </c>
      <c r="G77" s="132">
        <v>1</v>
      </c>
      <c r="H77" s="132">
        <v>0</v>
      </c>
      <c r="I77" s="132">
        <v>1</v>
      </c>
    </row>
    <row r="78" spans="1:9" ht="14.25" customHeight="1" x14ac:dyDescent="0.25">
      <c r="A78" s="132" t="s">
        <v>117</v>
      </c>
      <c r="B78" s="132" t="s">
        <v>326</v>
      </c>
      <c r="C78" s="132">
        <v>-9</v>
      </c>
      <c r="D78" s="132" t="str">
        <f t="shared" si="5"/>
        <v>1/2" Hex BB RS-550 -9</v>
      </c>
      <c r="E78" s="132">
        <v>1</v>
      </c>
      <c r="F78" s="132">
        <v>1</v>
      </c>
      <c r="G78" s="132">
        <v>0</v>
      </c>
      <c r="H78" s="132">
        <v>0</v>
      </c>
      <c r="I78" s="132">
        <v>1</v>
      </c>
    </row>
    <row r="79" spans="1:9" ht="14.25" customHeight="1" x14ac:dyDescent="0.25">
      <c r="A79" s="132" t="s">
        <v>117</v>
      </c>
      <c r="B79" s="132" t="s">
        <v>326</v>
      </c>
      <c r="C79" s="132">
        <v>-10</v>
      </c>
      <c r="D79" s="132" t="str">
        <f t="shared" si="5"/>
        <v>1/2" Hex BB RS-550 -10</v>
      </c>
      <c r="E79" s="132">
        <v>1</v>
      </c>
      <c r="F79" s="132">
        <v>1</v>
      </c>
      <c r="G79" s="132">
        <v>0</v>
      </c>
      <c r="H79" s="132">
        <v>0</v>
      </c>
      <c r="I79" s="132">
        <v>1</v>
      </c>
    </row>
    <row r="80" spans="1:9" ht="14.25" customHeight="1" x14ac:dyDescent="0.25">
      <c r="A80" s="132" t="s">
        <v>117</v>
      </c>
      <c r="B80" s="132" t="s">
        <v>326</v>
      </c>
      <c r="C80" s="132">
        <v>9</v>
      </c>
      <c r="D80" s="132" t="str">
        <f>A80&amp;" "&amp;B80&amp;" "&amp;C80</f>
        <v>1/2" Hex BB RS-550 9</v>
      </c>
      <c r="E80" s="132">
        <v>10</v>
      </c>
      <c r="F80" s="132">
        <v>10</v>
      </c>
      <c r="G80" s="132">
        <v>1</v>
      </c>
      <c r="H80" s="132">
        <v>0</v>
      </c>
      <c r="I80" s="132">
        <v>10</v>
      </c>
    </row>
    <row r="81" spans="1:9" ht="14.25" customHeight="1" x14ac:dyDescent="0.25">
      <c r="A81" s="132" t="s">
        <v>117</v>
      </c>
      <c r="B81" s="132" t="s">
        <v>326</v>
      </c>
      <c r="C81" s="132">
        <v>12</v>
      </c>
      <c r="D81" s="132" t="str">
        <f t="shared" ref="D81:D106" si="6">A81&amp;" "&amp;B81&amp;" "&amp;C81</f>
        <v>1/2" Hex BB RS-550 12</v>
      </c>
      <c r="E81" s="132">
        <v>10</v>
      </c>
      <c r="F81" s="132">
        <v>7</v>
      </c>
      <c r="G81" s="132">
        <v>0</v>
      </c>
      <c r="H81" s="132">
        <v>0</v>
      </c>
      <c r="I81" s="132">
        <v>7</v>
      </c>
    </row>
    <row r="82" spans="1:9" ht="14.25" customHeight="1" x14ac:dyDescent="0.25">
      <c r="A82" s="132" t="s">
        <v>117</v>
      </c>
      <c r="B82" s="132" t="s">
        <v>326</v>
      </c>
      <c r="C82" s="132">
        <v>15</v>
      </c>
      <c r="D82" s="132" t="str">
        <f t="shared" si="6"/>
        <v>1/2" Hex BB RS-550 15</v>
      </c>
      <c r="E82" s="132">
        <v>10</v>
      </c>
      <c r="F82" s="132">
        <v>5</v>
      </c>
      <c r="G82" s="132">
        <v>0</v>
      </c>
      <c r="H82" s="132">
        <v>0</v>
      </c>
      <c r="I82" s="132">
        <v>5</v>
      </c>
    </row>
    <row r="83" spans="1:9" ht="14.25" customHeight="1" x14ac:dyDescent="0.25">
      <c r="A83" s="132" t="s">
        <v>117</v>
      </c>
      <c r="B83" s="132" t="s">
        <v>326</v>
      </c>
      <c r="C83" s="132">
        <v>16</v>
      </c>
      <c r="D83" s="132" t="str">
        <f t="shared" si="6"/>
        <v>1/2" Hex BB RS-550 16</v>
      </c>
      <c r="E83" s="132">
        <v>10</v>
      </c>
      <c r="F83" s="132">
        <v>5</v>
      </c>
      <c r="G83" s="132">
        <v>0</v>
      </c>
      <c r="H83" s="132">
        <v>0</v>
      </c>
      <c r="I83" s="132">
        <v>5</v>
      </c>
    </row>
    <row r="84" spans="1:9" ht="14.25" customHeight="1" x14ac:dyDescent="0.25">
      <c r="A84" s="132" t="s">
        <v>117</v>
      </c>
      <c r="B84" s="132" t="s">
        <v>326</v>
      </c>
      <c r="C84" s="132">
        <v>20</v>
      </c>
      <c r="D84" s="132" t="str">
        <f t="shared" si="6"/>
        <v>1/2" Hex BB RS-550 20</v>
      </c>
      <c r="E84" s="132">
        <v>9</v>
      </c>
      <c r="F84" s="132">
        <v>5</v>
      </c>
      <c r="G84" s="132">
        <v>0</v>
      </c>
      <c r="H84" s="132">
        <v>0</v>
      </c>
      <c r="I84" s="132">
        <v>4</v>
      </c>
    </row>
    <row r="85" spans="1:9" ht="14.25" customHeight="1" x14ac:dyDescent="0.25">
      <c r="A85" s="132" t="s">
        <v>117</v>
      </c>
      <c r="B85" s="132" t="s">
        <v>326</v>
      </c>
      <c r="C85" s="132">
        <v>21</v>
      </c>
      <c r="D85" s="132" t="str">
        <f t="shared" si="6"/>
        <v>1/2" Hex BB RS-550 21</v>
      </c>
      <c r="E85" s="132">
        <v>9</v>
      </c>
      <c r="F85" s="132">
        <v>5</v>
      </c>
      <c r="G85" s="132">
        <v>0</v>
      </c>
      <c r="H85" s="132">
        <v>0</v>
      </c>
      <c r="I85" s="132">
        <v>4</v>
      </c>
    </row>
    <row r="86" spans="1:9" ht="14.25" customHeight="1" x14ac:dyDescent="0.25">
      <c r="A86" s="132" t="s">
        <v>117</v>
      </c>
      <c r="B86" s="132" t="s">
        <v>326</v>
      </c>
      <c r="C86" s="132">
        <v>25</v>
      </c>
      <c r="D86" s="132" t="str">
        <f t="shared" si="6"/>
        <v>1/2" Hex BB RS-550 25</v>
      </c>
      <c r="E86" s="132">
        <v>7</v>
      </c>
      <c r="F86" s="132">
        <v>5</v>
      </c>
      <c r="G86" s="132">
        <v>0</v>
      </c>
      <c r="H86" s="132">
        <v>0</v>
      </c>
      <c r="I86" s="132">
        <v>3</v>
      </c>
    </row>
    <row r="87" spans="1:9" ht="14.25" customHeight="1" x14ac:dyDescent="0.25">
      <c r="A87" s="132" t="s">
        <v>117</v>
      </c>
      <c r="B87" s="132" t="s">
        <v>326</v>
      </c>
      <c r="C87" s="132">
        <v>27</v>
      </c>
      <c r="D87" s="132" t="str">
        <f t="shared" si="6"/>
        <v>1/2" Hex BB RS-550 27</v>
      </c>
      <c r="E87" s="132">
        <v>7</v>
      </c>
      <c r="F87" s="132">
        <v>5</v>
      </c>
      <c r="G87" s="132">
        <v>0</v>
      </c>
      <c r="H87" s="132">
        <v>0</v>
      </c>
      <c r="I87" s="132">
        <v>3</v>
      </c>
    </row>
    <row r="88" spans="1:9" ht="14.25" customHeight="1" x14ac:dyDescent="0.25">
      <c r="A88" s="132" t="s">
        <v>117</v>
      </c>
      <c r="B88" s="132" t="s">
        <v>326</v>
      </c>
      <c r="C88" s="132">
        <v>28</v>
      </c>
      <c r="D88" s="132" t="str">
        <f t="shared" si="6"/>
        <v>1/2" Hex BB RS-550 28</v>
      </c>
      <c r="E88" s="132">
        <v>7</v>
      </c>
      <c r="F88" s="132">
        <v>5</v>
      </c>
      <c r="G88" s="132">
        <v>0</v>
      </c>
      <c r="H88" s="132">
        <v>0</v>
      </c>
      <c r="I88" s="132">
        <v>3</v>
      </c>
    </row>
    <row r="89" spans="1:9" ht="14.25" customHeight="1" x14ac:dyDescent="0.25">
      <c r="A89" s="132" t="s">
        <v>117</v>
      </c>
      <c r="B89" s="132" t="s">
        <v>326</v>
      </c>
      <c r="C89" s="132">
        <v>30</v>
      </c>
      <c r="D89" s="132" t="str">
        <f t="shared" si="6"/>
        <v>1/2" Hex BB RS-550 30</v>
      </c>
      <c r="E89" s="132">
        <v>5</v>
      </c>
      <c r="F89" s="132">
        <v>5</v>
      </c>
      <c r="G89" s="132">
        <v>0</v>
      </c>
      <c r="H89" s="132">
        <v>0</v>
      </c>
      <c r="I89" s="132">
        <v>3</v>
      </c>
    </row>
    <row r="90" spans="1:9" ht="14.25" customHeight="1" x14ac:dyDescent="0.25">
      <c r="A90" s="132" t="s">
        <v>117</v>
      </c>
      <c r="B90" s="132" t="s">
        <v>326</v>
      </c>
      <c r="C90" s="132">
        <v>35</v>
      </c>
      <c r="D90" s="132" t="str">
        <f t="shared" si="6"/>
        <v>1/2" Hex BB RS-550 35</v>
      </c>
      <c r="E90" s="132">
        <v>5</v>
      </c>
      <c r="F90" s="132">
        <v>4</v>
      </c>
      <c r="G90" s="132">
        <v>0</v>
      </c>
      <c r="H90" s="132">
        <v>0</v>
      </c>
      <c r="I90" s="132">
        <v>1</v>
      </c>
    </row>
    <row r="91" spans="1:9" ht="14.25" customHeight="1" x14ac:dyDescent="0.25">
      <c r="A91" s="132" t="s">
        <v>117</v>
      </c>
      <c r="B91" s="132" t="s">
        <v>326</v>
      </c>
      <c r="C91" s="132">
        <v>36</v>
      </c>
      <c r="D91" s="132" t="str">
        <f t="shared" si="6"/>
        <v>1/2" Hex BB RS-550 36</v>
      </c>
      <c r="E91" s="132">
        <v>5</v>
      </c>
      <c r="F91" s="132">
        <v>4</v>
      </c>
      <c r="G91" s="132">
        <v>0</v>
      </c>
      <c r="H91" s="132">
        <v>0</v>
      </c>
      <c r="I91" s="132">
        <v>1</v>
      </c>
    </row>
    <row r="92" spans="1:9" ht="14.25" customHeight="1" x14ac:dyDescent="0.25">
      <c r="A92" s="132" t="s">
        <v>117</v>
      </c>
      <c r="B92" s="132" t="s">
        <v>326</v>
      </c>
      <c r="C92" s="132">
        <v>40</v>
      </c>
      <c r="D92" s="132" t="str">
        <f t="shared" si="6"/>
        <v>1/2" Hex BB RS-550 40</v>
      </c>
      <c r="E92" s="132">
        <v>5</v>
      </c>
      <c r="F92" s="132">
        <v>3</v>
      </c>
      <c r="G92" s="132">
        <v>0</v>
      </c>
      <c r="H92" s="132">
        <v>0</v>
      </c>
      <c r="I92" s="132">
        <v>5</v>
      </c>
    </row>
    <row r="93" spans="1:9" ht="14.25" customHeight="1" x14ac:dyDescent="0.25">
      <c r="A93" s="132" t="s">
        <v>117</v>
      </c>
      <c r="B93" s="132" t="s">
        <v>326</v>
      </c>
      <c r="C93" s="132">
        <v>45</v>
      </c>
      <c r="D93" s="132" t="str">
        <f t="shared" si="6"/>
        <v>1/2" Hex BB RS-550 45</v>
      </c>
      <c r="E93" s="132">
        <v>5</v>
      </c>
      <c r="F93" s="132">
        <v>3</v>
      </c>
      <c r="G93" s="132">
        <v>0</v>
      </c>
      <c r="H93" s="132">
        <v>0</v>
      </c>
      <c r="I93" s="132">
        <v>4</v>
      </c>
    </row>
    <row r="94" spans="1:9" ht="14.25" customHeight="1" x14ac:dyDescent="0.25">
      <c r="A94" s="132" t="s">
        <v>117</v>
      </c>
      <c r="B94" s="132" t="s">
        <v>326</v>
      </c>
      <c r="C94" s="132">
        <v>49</v>
      </c>
      <c r="D94" s="132" t="str">
        <f t="shared" si="6"/>
        <v>1/2" Hex BB RS-550 49</v>
      </c>
      <c r="E94" s="132">
        <v>5</v>
      </c>
      <c r="F94" s="132">
        <v>3</v>
      </c>
      <c r="G94" s="132">
        <v>0</v>
      </c>
      <c r="H94" s="132">
        <v>0</v>
      </c>
      <c r="I94" s="132">
        <v>4</v>
      </c>
    </row>
    <row r="95" spans="1:9" ht="14.25" customHeight="1" x14ac:dyDescent="0.25">
      <c r="A95" s="132" t="s">
        <v>117</v>
      </c>
      <c r="B95" s="132" t="s">
        <v>326</v>
      </c>
      <c r="C95" s="132">
        <v>50</v>
      </c>
      <c r="D95" s="132" t="str">
        <f t="shared" si="6"/>
        <v>1/2" Hex BB RS-550 50</v>
      </c>
      <c r="E95" s="132">
        <v>5</v>
      </c>
      <c r="F95" s="132">
        <v>3</v>
      </c>
      <c r="G95" s="132">
        <v>0</v>
      </c>
      <c r="H95" s="132">
        <v>0</v>
      </c>
      <c r="I95" s="132">
        <v>1</v>
      </c>
    </row>
    <row r="96" spans="1:9" ht="14.25" customHeight="1" x14ac:dyDescent="0.25">
      <c r="A96" s="132" t="s">
        <v>117</v>
      </c>
      <c r="B96" s="132" t="s">
        <v>326</v>
      </c>
      <c r="C96" s="132">
        <v>63</v>
      </c>
      <c r="D96" s="132" t="str">
        <f t="shared" si="6"/>
        <v>1/2" Hex BB RS-550 63</v>
      </c>
      <c r="E96" s="132">
        <v>4</v>
      </c>
      <c r="F96" s="132">
        <v>1</v>
      </c>
      <c r="G96" s="132">
        <v>0</v>
      </c>
      <c r="H96" s="132">
        <v>0</v>
      </c>
      <c r="I96" s="132">
        <v>1</v>
      </c>
    </row>
    <row r="97" spans="1:9" ht="14.25" customHeight="1" x14ac:dyDescent="0.25">
      <c r="A97" s="132" t="s">
        <v>117</v>
      </c>
      <c r="B97" s="132" t="s">
        <v>326</v>
      </c>
      <c r="C97" s="132">
        <v>70</v>
      </c>
      <c r="D97" s="132" t="str">
        <f t="shared" si="6"/>
        <v>1/2" Hex BB RS-550 70</v>
      </c>
      <c r="E97" s="132">
        <v>4</v>
      </c>
      <c r="F97" s="132">
        <v>1</v>
      </c>
      <c r="G97" s="132">
        <v>0</v>
      </c>
      <c r="H97" s="132">
        <v>0</v>
      </c>
      <c r="I97" s="132">
        <v>1</v>
      </c>
    </row>
    <row r="98" spans="1:9" ht="14.25" customHeight="1" x14ac:dyDescent="0.25">
      <c r="A98" s="132" t="s">
        <v>117</v>
      </c>
      <c r="B98" s="132" t="s">
        <v>326</v>
      </c>
      <c r="C98" s="132">
        <v>81</v>
      </c>
      <c r="D98" s="132" t="str">
        <f t="shared" si="6"/>
        <v>1/2" Hex BB RS-550 81</v>
      </c>
      <c r="E98" s="132">
        <v>3</v>
      </c>
      <c r="F98" s="132">
        <v>1</v>
      </c>
      <c r="G98" s="132">
        <v>0</v>
      </c>
      <c r="H98" s="132">
        <v>0</v>
      </c>
      <c r="I98" s="132">
        <v>1</v>
      </c>
    </row>
    <row r="99" spans="1:9" ht="14.25" customHeight="1" x14ac:dyDescent="0.25">
      <c r="A99" s="132" t="s">
        <v>117</v>
      </c>
      <c r="B99" s="132" t="s">
        <v>326</v>
      </c>
      <c r="C99" s="132">
        <v>90</v>
      </c>
      <c r="D99" s="132" t="str">
        <f t="shared" si="6"/>
        <v>1/2" Hex BB RS-550 90</v>
      </c>
      <c r="E99" s="132">
        <v>3</v>
      </c>
      <c r="F99" s="132">
        <v>1</v>
      </c>
      <c r="G99" s="132">
        <v>0</v>
      </c>
      <c r="H99" s="132">
        <v>0</v>
      </c>
      <c r="I99" s="132">
        <v>1</v>
      </c>
    </row>
    <row r="100" spans="1:9" ht="14.25" customHeight="1" x14ac:dyDescent="0.25">
      <c r="A100" s="132" t="s">
        <v>117</v>
      </c>
      <c r="B100" s="132" t="s">
        <v>326</v>
      </c>
      <c r="C100" s="132">
        <v>100</v>
      </c>
      <c r="D100" s="132" t="str">
        <f t="shared" si="6"/>
        <v>1/2" Hex BB RS-550 100</v>
      </c>
      <c r="E100" s="132">
        <v>3</v>
      </c>
      <c r="F100" s="132">
        <v>0</v>
      </c>
      <c r="G100" s="132">
        <v>0</v>
      </c>
      <c r="H100" s="132">
        <v>0</v>
      </c>
      <c r="I100" s="132">
        <v>0</v>
      </c>
    </row>
    <row r="101" spans="1:9" ht="14.25" customHeight="1" x14ac:dyDescent="0.25">
      <c r="A101" s="132" t="s">
        <v>117</v>
      </c>
      <c r="B101" s="132" t="s">
        <v>327</v>
      </c>
      <c r="C101" s="132">
        <v>-3</v>
      </c>
      <c r="D101" s="132" t="str">
        <f t="shared" si="6"/>
        <v>1/2" Hex BB RS-775 -3</v>
      </c>
      <c r="E101" s="132">
        <v>1</v>
      </c>
      <c r="F101" s="132">
        <v>1</v>
      </c>
      <c r="G101" s="132">
        <v>1</v>
      </c>
      <c r="H101" s="132">
        <v>0</v>
      </c>
      <c r="I101" s="132">
        <v>1</v>
      </c>
    </row>
    <row r="102" spans="1:9" ht="14.25" customHeight="1" x14ac:dyDescent="0.25">
      <c r="A102" s="132" t="s">
        <v>117</v>
      </c>
      <c r="B102" s="132" t="s">
        <v>327</v>
      </c>
      <c r="C102" s="132">
        <v>-4</v>
      </c>
      <c r="D102" s="132" t="str">
        <f t="shared" si="6"/>
        <v>1/2" Hex BB RS-775 -4</v>
      </c>
      <c r="E102" s="132">
        <v>1</v>
      </c>
      <c r="F102" s="132">
        <v>1</v>
      </c>
      <c r="G102" s="132">
        <v>1</v>
      </c>
      <c r="H102" s="132">
        <v>0</v>
      </c>
      <c r="I102" s="132">
        <v>1</v>
      </c>
    </row>
    <row r="103" spans="1:9" ht="14.25" customHeight="1" x14ac:dyDescent="0.25">
      <c r="A103" s="132" t="s">
        <v>117</v>
      </c>
      <c r="B103" s="132" t="s">
        <v>327</v>
      </c>
      <c r="C103" s="132">
        <v>-5</v>
      </c>
      <c r="D103" s="132" t="str">
        <f t="shared" si="6"/>
        <v>1/2" Hex BB RS-775 -5</v>
      </c>
      <c r="E103" s="132">
        <v>1</v>
      </c>
      <c r="F103" s="132">
        <v>1</v>
      </c>
      <c r="G103" s="132">
        <v>1</v>
      </c>
      <c r="H103" s="132">
        <v>0</v>
      </c>
      <c r="I103" s="132">
        <v>1</v>
      </c>
    </row>
    <row r="104" spans="1:9" ht="14.25" customHeight="1" x14ac:dyDescent="0.25">
      <c r="A104" s="132" t="s">
        <v>117</v>
      </c>
      <c r="B104" s="132" t="s">
        <v>327</v>
      </c>
      <c r="C104" s="132">
        <v>-7</v>
      </c>
      <c r="D104" s="132" t="str">
        <f t="shared" si="6"/>
        <v>1/2" Hex BB RS-775 -7</v>
      </c>
      <c r="E104" s="132">
        <v>1</v>
      </c>
      <c r="F104" s="132">
        <v>1</v>
      </c>
      <c r="G104" s="132">
        <v>0</v>
      </c>
      <c r="H104" s="132">
        <v>0</v>
      </c>
      <c r="I104" s="132">
        <v>1</v>
      </c>
    </row>
    <row r="105" spans="1:9" ht="14.25" customHeight="1" x14ac:dyDescent="0.25">
      <c r="A105" s="132" t="s">
        <v>117</v>
      </c>
      <c r="B105" s="132" t="s">
        <v>327</v>
      </c>
      <c r="C105" s="132">
        <v>-9</v>
      </c>
      <c r="D105" s="132" t="str">
        <f t="shared" si="6"/>
        <v>1/2" Hex BB RS-775 -9</v>
      </c>
      <c r="E105" s="132">
        <v>1</v>
      </c>
      <c r="F105" s="132">
        <v>1</v>
      </c>
      <c r="G105" s="132">
        <v>0</v>
      </c>
      <c r="H105" s="132">
        <v>0</v>
      </c>
      <c r="I105" s="132">
        <v>1</v>
      </c>
    </row>
    <row r="106" spans="1:9" ht="14.25" customHeight="1" x14ac:dyDescent="0.25">
      <c r="A106" s="132" t="s">
        <v>117</v>
      </c>
      <c r="B106" s="132" t="s">
        <v>327</v>
      </c>
      <c r="C106" s="132">
        <v>-10</v>
      </c>
      <c r="D106" s="132" t="str">
        <f t="shared" si="6"/>
        <v>1/2" Hex BB RS-775 -10</v>
      </c>
      <c r="E106" s="132">
        <v>1</v>
      </c>
      <c r="F106" s="132">
        <v>1</v>
      </c>
      <c r="G106" s="132">
        <v>0</v>
      </c>
      <c r="H106" s="132">
        <v>0</v>
      </c>
      <c r="I106" s="132">
        <v>1</v>
      </c>
    </row>
    <row r="107" spans="1:9" ht="14.25" customHeight="1" x14ac:dyDescent="0.25">
      <c r="A107" s="132" t="s">
        <v>117</v>
      </c>
      <c r="B107" s="132" t="s">
        <v>327</v>
      </c>
      <c r="C107" s="132">
        <v>9</v>
      </c>
      <c r="D107" s="132" t="str">
        <f>A107&amp;" "&amp;B107&amp;" "&amp;C107</f>
        <v>1/2" Hex BB RS-775 9</v>
      </c>
      <c r="E107" s="132">
        <v>10</v>
      </c>
      <c r="F107" s="132">
        <v>5</v>
      </c>
      <c r="G107" s="132">
        <v>0</v>
      </c>
      <c r="H107" s="132">
        <v>0</v>
      </c>
      <c r="I107" s="132">
        <v>10</v>
      </c>
    </row>
    <row r="108" spans="1:9" ht="14.25" customHeight="1" x14ac:dyDescent="0.25">
      <c r="A108" s="132" t="s">
        <v>117</v>
      </c>
      <c r="B108" s="132" t="s">
        <v>327</v>
      </c>
      <c r="C108" s="132">
        <v>12</v>
      </c>
      <c r="D108" s="132" t="str">
        <f t="shared" ref="D108:D133" si="7">A108&amp;" "&amp;B108&amp;" "&amp;C108</f>
        <v>1/2" Hex BB RS-775 12</v>
      </c>
      <c r="E108" s="132">
        <v>10</v>
      </c>
      <c r="F108" s="132">
        <v>5</v>
      </c>
      <c r="G108" s="132">
        <v>0</v>
      </c>
      <c r="H108" s="132">
        <v>0</v>
      </c>
      <c r="I108" s="132">
        <v>10</v>
      </c>
    </row>
    <row r="109" spans="1:9" ht="14.25" customHeight="1" x14ac:dyDescent="0.25">
      <c r="A109" s="132" t="s">
        <v>117</v>
      </c>
      <c r="B109" s="132" t="s">
        <v>327</v>
      </c>
      <c r="C109" s="132">
        <v>15</v>
      </c>
      <c r="D109" s="132" t="str">
        <f t="shared" si="7"/>
        <v>1/2" Hex BB RS-775 15</v>
      </c>
      <c r="E109" s="132">
        <v>10</v>
      </c>
      <c r="F109" s="132">
        <v>5</v>
      </c>
      <c r="G109" s="132">
        <v>0</v>
      </c>
      <c r="H109" s="132">
        <v>0</v>
      </c>
      <c r="I109" s="132">
        <v>7</v>
      </c>
    </row>
    <row r="110" spans="1:9" ht="14.25" customHeight="1" x14ac:dyDescent="0.25">
      <c r="A110" s="132" t="s">
        <v>117</v>
      </c>
      <c r="B110" s="132" t="s">
        <v>327</v>
      </c>
      <c r="C110" s="132">
        <v>16</v>
      </c>
      <c r="D110" s="132" t="str">
        <f t="shared" si="7"/>
        <v>1/2" Hex BB RS-775 16</v>
      </c>
      <c r="E110" s="132">
        <v>10</v>
      </c>
      <c r="F110" s="132">
        <v>5</v>
      </c>
      <c r="G110" s="132">
        <v>0</v>
      </c>
      <c r="H110" s="132">
        <v>0</v>
      </c>
      <c r="I110" s="132">
        <v>7</v>
      </c>
    </row>
    <row r="111" spans="1:9" ht="14.25" customHeight="1" x14ac:dyDescent="0.25">
      <c r="A111" s="132" t="s">
        <v>117</v>
      </c>
      <c r="B111" s="132" t="s">
        <v>327</v>
      </c>
      <c r="C111" s="132">
        <v>20</v>
      </c>
      <c r="D111" s="132" t="str">
        <f t="shared" si="7"/>
        <v>1/2" Hex BB RS-775 20</v>
      </c>
      <c r="E111" s="132">
        <v>10</v>
      </c>
      <c r="F111" s="132">
        <v>4</v>
      </c>
      <c r="G111" s="132">
        <v>0</v>
      </c>
      <c r="H111" s="132">
        <v>0</v>
      </c>
      <c r="I111" s="132">
        <v>5</v>
      </c>
    </row>
    <row r="112" spans="1:9" ht="14.25" customHeight="1" x14ac:dyDescent="0.25">
      <c r="A112" s="132" t="s">
        <v>117</v>
      </c>
      <c r="B112" s="132" t="s">
        <v>327</v>
      </c>
      <c r="C112" s="132">
        <v>21</v>
      </c>
      <c r="D112" s="132" t="str">
        <f t="shared" si="7"/>
        <v>1/2" Hex BB RS-775 21</v>
      </c>
      <c r="E112" s="132">
        <v>10</v>
      </c>
      <c r="F112" s="132">
        <v>4</v>
      </c>
      <c r="G112" s="132">
        <v>0</v>
      </c>
      <c r="H112" s="132">
        <v>0</v>
      </c>
      <c r="I112" s="132">
        <v>5</v>
      </c>
    </row>
    <row r="113" spans="1:9" ht="14.25" customHeight="1" x14ac:dyDescent="0.25">
      <c r="A113" s="132" t="s">
        <v>117</v>
      </c>
      <c r="B113" s="132" t="s">
        <v>327</v>
      </c>
      <c r="C113" s="132">
        <v>25</v>
      </c>
      <c r="D113" s="132" t="str">
        <f t="shared" si="7"/>
        <v>1/2" Hex BB RS-775 25</v>
      </c>
      <c r="E113" s="132">
        <v>7</v>
      </c>
      <c r="F113" s="132">
        <v>3</v>
      </c>
      <c r="G113" s="132">
        <v>0</v>
      </c>
      <c r="H113" s="132">
        <v>0</v>
      </c>
      <c r="I113" s="132">
        <v>5</v>
      </c>
    </row>
    <row r="114" spans="1:9" ht="14.25" customHeight="1" x14ac:dyDescent="0.25">
      <c r="A114" s="132" t="s">
        <v>117</v>
      </c>
      <c r="B114" s="132" t="s">
        <v>327</v>
      </c>
      <c r="C114" s="132">
        <v>27</v>
      </c>
      <c r="D114" s="132" t="str">
        <f t="shared" si="7"/>
        <v>1/2" Hex BB RS-775 27</v>
      </c>
      <c r="E114" s="132">
        <v>7</v>
      </c>
      <c r="F114" s="132">
        <v>3</v>
      </c>
      <c r="G114" s="132">
        <v>0</v>
      </c>
      <c r="H114" s="132">
        <v>0</v>
      </c>
      <c r="I114" s="132">
        <v>4</v>
      </c>
    </row>
    <row r="115" spans="1:9" ht="14.25" customHeight="1" x14ac:dyDescent="0.25">
      <c r="A115" s="132" t="s">
        <v>117</v>
      </c>
      <c r="B115" s="132" t="s">
        <v>327</v>
      </c>
      <c r="C115" s="132">
        <v>28</v>
      </c>
      <c r="D115" s="132" t="str">
        <f t="shared" si="7"/>
        <v>1/2" Hex BB RS-775 28</v>
      </c>
      <c r="E115" s="132">
        <v>7</v>
      </c>
      <c r="F115" s="132">
        <v>3</v>
      </c>
      <c r="G115" s="132">
        <v>0</v>
      </c>
      <c r="H115" s="132">
        <v>0</v>
      </c>
      <c r="I115" s="132">
        <v>4</v>
      </c>
    </row>
    <row r="116" spans="1:9" ht="14.25" customHeight="1" x14ac:dyDescent="0.25">
      <c r="A116" s="132" t="s">
        <v>117</v>
      </c>
      <c r="B116" s="132" t="s">
        <v>327</v>
      </c>
      <c r="C116" s="132">
        <v>30</v>
      </c>
      <c r="D116" s="132" t="str">
        <f t="shared" si="7"/>
        <v>1/2" Hex BB RS-775 30</v>
      </c>
      <c r="E116" s="132">
        <v>7</v>
      </c>
      <c r="F116" s="132">
        <v>3</v>
      </c>
      <c r="G116" s="132">
        <v>0</v>
      </c>
      <c r="H116" s="132">
        <v>0</v>
      </c>
      <c r="I116" s="132">
        <v>4</v>
      </c>
    </row>
    <row r="117" spans="1:9" ht="14.25" customHeight="1" x14ac:dyDescent="0.25">
      <c r="A117" s="132" t="s">
        <v>117</v>
      </c>
      <c r="B117" s="132" t="s">
        <v>327</v>
      </c>
      <c r="C117" s="132">
        <v>35</v>
      </c>
      <c r="D117" s="132" t="str">
        <f t="shared" si="7"/>
        <v>1/2" Hex BB RS-775 35</v>
      </c>
      <c r="E117" s="132">
        <v>5</v>
      </c>
      <c r="F117" s="132">
        <v>1</v>
      </c>
      <c r="G117" s="132">
        <v>0</v>
      </c>
      <c r="H117" s="132">
        <v>0</v>
      </c>
      <c r="I117" s="132">
        <v>3</v>
      </c>
    </row>
    <row r="118" spans="1:9" ht="14.25" customHeight="1" x14ac:dyDescent="0.25">
      <c r="A118" s="132" t="s">
        <v>117</v>
      </c>
      <c r="B118" s="132" t="s">
        <v>327</v>
      </c>
      <c r="C118" s="132">
        <v>36</v>
      </c>
      <c r="D118" s="132" t="str">
        <f t="shared" si="7"/>
        <v>1/2" Hex BB RS-775 36</v>
      </c>
      <c r="E118" s="132">
        <v>5</v>
      </c>
      <c r="F118" s="132">
        <v>1</v>
      </c>
      <c r="G118" s="132">
        <v>0</v>
      </c>
      <c r="H118" s="132">
        <v>0</v>
      </c>
      <c r="I118" s="132">
        <v>3</v>
      </c>
    </row>
    <row r="119" spans="1:9" ht="14.25" customHeight="1" x14ac:dyDescent="0.25">
      <c r="A119" s="132" t="s">
        <v>117</v>
      </c>
      <c r="B119" s="132" t="s">
        <v>327</v>
      </c>
      <c r="C119" s="132">
        <v>40</v>
      </c>
      <c r="D119" s="132" t="str">
        <f t="shared" si="7"/>
        <v>1/2" Hex BB RS-775 40</v>
      </c>
      <c r="E119" s="132">
        <v>5</v>
      </c>
      <c r="F119" s="132">
        <v>1</v>
      </c>
      <c r="G119" s="132">
        <v>0</v>
      </c>
      <c r="H119" s="132">
        <v>0</v>
      </c>
      <c r="I119" s="132">
        <v>3</v>
      </c>
    </row>
    <row r="120" spans="1:9" ht="14.25" customHeight="1" x14ac:dyDescent="0.25">
      <c r="A120" s="132" t="s">
        <v>117</v>
      </c>
      <c r="B120" s="132" t="s">
        <v>327</v>
      </c>
      <c r="C120" s="132">
        <v>45</v>
      </c>
      <c r="D120" s="132" t="str">
        <f t="shared" si="7"/>
        <v>1/2" Hex BB RS-775 45</v>
      </c>
      <c r="E120" s="132">
        <v>5</v>
      </c>
      <c r="F120" s="132">
        <v>1</v>
      </c>
      <c r="G120" s="132">
        <v>0</v>
      </c>
      <c r="H120" s="132">
        <v>0</v>
      </c>
      <c r="I120" s="132">
        <v>1</v>
      </c>
    </row>
    <row r="121" spans="1:9" ht="14.25" customHeight="1" x14ac:dyDescent="0.25">
      <c r="A121" s="132" t="s">
        <v>117</v>
      </c>
      <c r="B121" s="132" t="s">
        <v>327</v>
      </c>
      <c r="C121" s="132">
        <v>49</v>
      </c>
      <c r="D121" s="132" t="str">
        <f t="shared" si="7"/>
        <v>1/2" Hex BB RS-775 49</v>
      </c>
      <c r="E121" s="132">
        <v>5</v>
      </c>
      <c r="F121" s="132">
        <v>1</v>
      </c>
      <c r="G121" s="132">
        <v>0</v>
      </c>
      <c r="H121" s="132">
        <v>0</v>
      </c>
      <c r="I121" s="132">
        <v>1</v>
      </c>
    </row>
    <row r="122" spans="1:9" ht="14.25" customHeight="1" x14ac:dyDescent="0.25">
      <c r="A122" s="132" t="s">
        <v>117</v>
      </c>
      <c r="B122" s="132" t="s">
        <v>327</v>
      </c>
      <c r="C122" s="132">
        <v>50</v>
      </c>
      <c r="D122" s="132" t="str">
        <f t="shared" si="7"/>
        <v>1/2" Hex BB RS-775 50</v>
      </c>
      <c r="E122" s="132">
        <v>5</v>
      </c>
      <c r="F122" s="132">
        <v>1</v>
      </c>
      <c r="G122" s="132">
        <v>0</v>
      </c>
      <c r="H122" s="132">
        <v>0</v>
      </c>
      <c r="I122" s="132">
        <v>1</v>
      </c>
    </row>
    <row r="123" spans="1:9" ht="14.25" customHeight="1" x14ac:dyDescent="0.25">
      <c r="A123" s="132" t="s">
        <v>117</v>
      </c>
      <c r="B123" s="132" t="s">
        <v>327</v>
      </c>
      <c r="C123" s="132">
        <v>63</v>
      </c>
      <c r="D123" s="132" t="str">
        <f t="shared" si="7"/>
        <v>1/2" Hex BB RS-775 63</v>
      </c>
      <c r="E123" s="132">
        <v>5</v>
      </c>
      <c r="F123" s="132">
        <v>0</v>
      </c>
      <c r="G123" s="132">
        <v>0</v>
      </c>
      <c r="H123" s="132">
        <v>0</v>
      </c>
      <c r="I123" s="132">
        <v>1</v>
      </c>
    </row>
    <row r="124" spans="1:9" ht="14.25" customHeight="1" x14ac:dyDescent="0.25">
      <c r="A124" s="132" t="s">
        <v>117</v>
      </c>
      <c r="B124" s="132" t="s">
        <v>327</v>
      </c>
      <c r="C124" s="132">
        <v>70</v>
      </c>
      <c r="D124" s="132" t="str">
        <f t="shared" si="7"/>
        <v>1/2" Hex BB RS-775 70</v>
      </c>
      <c r="E124" s="132">
        <v>4</v>
      </c>
      <c r="F124" s="132">
        <v>0</v>
      </c>
      <c r="G124" s="132">
        <v>0</v>
      </c>
      <c r="H124" s="132">
        <v>0</v>
      </c>
      <c r="I124" s="132">
        <v>1</v>
      </c>
    </row>
    <row r="125" spans="1:9" ht="14.25" customHeight="1" x14ac:dyDescent="0.25">
      <c r="A125" s="132" t="s">
        <v>117</v>
      </c>
      <c r="B125" s="132" t="s">
        <v>327</v>
      </c>
      <c r="C125" s="132">
        <v>81</v>
      </c>
      <c r="D125" s="132" t="str">
        <f t="shared" si="7"/>
        <v>1/2" Hex BB RS-775 81</v>
      </c>
      <c r="E125" s="132">
        <v>4</v>
      </c>
      <c r="F125" s="132">
        <v>0</v>
      </c>
      <c r="G125" s="132">
        <v>0</v>
      </c>
      <c r="H125" s="132">
        <v>0</v>
      </c>
      <c r="I125" s="132">
        <v>1</v>
      </c>
    </row>
    <row r="126" spans="1:9" ht="14.25" customHeight="1" x14ac:dyDescent="0.25">
      <c r="A126" s="132" t="s">
        <v>117</v>
      </c>
      <c r="B126" s="132" t="s">
        <v>327</v>
      </c>
      <c r="C126" s="132">
        <v>90</v>
      </c>
      <c r="D126" s="132" t="str">
        <f t="shared" si="7"/>
        <v>1/2" Hex BB RS-775 90</v>
      </c>
      <c r="E126" s="132">
        <v>3</v>
      </c>
      <c r="F126" s="132">
        <v>0</v>
      </c>
      <c r="G126" s="132">
        <v>0</v>
      </c>
      <c r="H126" s="132">
        <v>0</v>
      </c>
      <c r="I126" s="132">
        <v>1</v>
      </c>
    </row>
    <row r="127" spans="1:9" ht="14.25" customHeight="1" x14ac:dyDescent="0.25">
      <c r="A127" s="132" t="s">
        <v>117</v>
      </c>
      <c r="B127" s="132" t="s">
        <v>327</v>
      </c>
      <c r="C127" s="132">
        <v>100</v>
      </c>
      <c r="D127" s="132" t="str">
        <f t="shared" si="7"/>
        <v>1/2" Hex BB RS-775 100</v>
      </c>
      <c r="E127" s="132">
        <v>3</v>
      </c>
      <c r="F127" s="132">
        <v>0</v>
      </c>
      <c r="G127" s="132">
        <v>0</v>
      </c>
      <c r="H127" s="132">
        <v>0</v>
      </c>
      <c r="I127" s="132">
        <v>1</v>
      </c>
    </row>
    <row r="128" spans="1:9" ht="14.25" customHeight="1" x14ac:dyDescent="0.25">
      <c r="A128" s="132" t="s">
        <v>117</v>
      </c>
      <c r="B128" s="132" t="s">
        <v>8</v>
      </c>
      <c r="C128" s="132">
        <v>-3</v>
      </c>
      <c r="D128" s="132" t="str">
        <f t="shared" si="7"/>
        <v>1/2" Hex BAG Motor -3</v>
      </c>
      <c r="E128" s="132">
        <v>1</v>
      </c>
      <c r="F128" s="132">
        <v>1</v>
      </c>
      <c r="G128" s="132">
        <v>1</v>
      </c>
      <c r="H128" s="132">
        <v>0</v>
      </c>
      <c r="I128" s="132">
        <v>1</v>
      </c>
    </row>
    <row r="129" spans="1:9" ht="14.25" customHeight="1" x14ac:dyDescent="0.25">
      <c r="A129" s="132" t="s">
        <v>117</v>
      </c>
      <c r="B129" s="132" t="s">
        <v>8</v>
      </c>
      <c r="C129" s="132">
        <v>-4</v>
      </c>
      <c r="D129" s="132" t="str">
        <f t="shared" si="7"/>
        <v>1/2" Hex BAG Motor -4</v>
      </c>
      <c r="E129" s="132">
        <v>1</v>
      </c>
      <c r="F129" s="132">
        <v>1</v>
      </c>
      <c r="G129" s="132">
        <v>1</v>
      </c>
      <c r="H129" s="132">
        <v>0</v>
      </c>
      <c r="I129" s="132">
        <v>1</v>
      </c>
    </row>
    <row r="130" spans="1:9" ht="14.25" customHeight="1" x14ac:dyDescent="0.25">
      <c r="A130" s="132" t="s">
        <v>117</v>
      </c>
      <c r="B130" s="132" t="s">
        <v>8</v>
      </c>
      <c r="C130" s="132">
        <v>-5</v>
      </c>
      <c r="D130" s="132" t="str">
        <f t="shared" si="7"/>
        <v>1/2" Hex BAG Motor -5</v>
      </c>
      <c r="E130" s="132">
        <v>1</v>
      </c>
      <c r="F130" s="132">
        <v>1</v>
      </c>
      <c r="G130" s="132">
        <v>1</v>
      </c>
      <c r="H130" s="132">
        <v>0</v>
      </c>
      <c r="I130" s="132">
        <v>1</v>
      </c>
    </row>
    <row r="131" spans="1:9" ht="14.25" customHeight="1" x14ac:dyDescent="0.25">
      <c r="A131" s="132" t="s">
        <v>117</v>
      </c>
      <c r="B131" s="132" t="s">
        <v>8</v>
      </c>
      <c r="C131" s="132">
        <v>-7</v>
      </c>
      <c r="D131" s="132" t="str">
        <f t="shared" si="7"/>
        <v>1/2" Hex BAG Motor -7</v>
      </c>
      <c r="E131" s="132">
        <v>1</v>
      </c>
      <c r="F131" s="132">
        <v>1</v>
      </c>
      <c r="G131" s="132">
        <v>1</v>
      </c>
      <c r="H131" s="132">
        <v>0</v>
      </c>
      <c r="I131" s="132">
        <v>1</v>
      </c>
    </row>
    <row r="132" spans="1:9" ht="14.25" customHeight="1" x14ac:dyDescent="0.25">
      <c r="A132" s="132" t="s">
        <v>117</v>
      </c>
      <c r="B132" s="132" t="s">
        <v>8</v>
      </c>
      <c r="C132" s="132">
        <v>-9</v>
      </c>
      <c r="D132" s="132" t="str">
        <f t="shared" si="7"/>
        <v>1/2" Hex BAG Motor -9</v>
      </c>
      <c r="E132" s="132">
        <v>1</v>
      </c>
      <c r="F132" s="132">
        <v>1</v>
      </c>
      <c r="G132" s="132">
        <v>0</v>
      </c>
      <c r="H132" s="132">
        <v>0</v>
      </c>
      <c r="I132" s="132">
        <v>1</v>
      </c>
    </row>
    <row r="133" spans="1:9" ht="14.25" customHeight="1" x14ac:dyDescent="0.25">
      <c r="A133" s="132" t="s">
        <v>117</v>
      </c>
      <c r="B133" s="132" t="s">
        <v>8</v>
      </c>
      <c r="C133" s="132">
        <v>-10</v>
      </c>
      <c r="D133" s="132" t="str">
        <f t="shared" si="7"/>
        <v>1/2" Hex BAG Motor -10</v>
      </c>
      <c r="E133" s="132">
        <v>1</v>
      </c>
      <c r="F133" s="132">
        <v>1</v>
      </c>
      <c r="G133" s="132">
        <v>0</v>
      </c>
      <c r="H133" s="132">
        <v>0</v>
      </c>
      <c r="I133" s="132">
        <v>1</v>
      </c>
    </row>
    <row r="134" spans="1:9" ht="14.25" customHeight="1" x14ac:dyDescent="0.25">
      <c r="A134" s="132" t="s">
        <v>117</v>
      </c>
      <c r="B134" s="132" t="s">
        <v>8</v>
      </c>
      <c r="C134" s="132">
        <v>9</v>
      </c>
      <c r="D134" s="132" t="str">
        <f t="shared" ref="D134:D154" si="8">A134&amp;" "&amp;B134&amp;" "&amp;C134</f>
        <v>1/2" Hex BAG Motor 9</v>
      </c>
      <c r="E134" s="132">
        <v>10</v>
      </c>
      <c r="F134" s="132">
        <v>10</v>
      </c>
      <c r="G134" s="132">
        <v>1</v>
      </c>
      <c r="H134" s="132">
        <v>0</v>
      </c>
      <c r="I134" s="132">
        <v>9</v>
      </c>
    </row>
    <row r="135" spans="1:9" ht="14.25" customHeight="1" x14ac:dyDescent="0.25">
      <c r="A135" s="132" t="s">
        <v>117</v>
      </c>
      <c r="B135" s="132" t="s">
        <v>8</v>
      </c>
      <c r="C135" s="132">
        <v>12</v>
      </c>
      <c r="D135" s="132" t="str">
        <f t="shared" si="8"/>
        <v>1/2" Hex BAG Motor 12</v>
      </c>
      <c r="E135" s="132">
        <v>10</v>
      </c>
      <c r="F135" s="132">
        <v>9</v>
      </c>
      <c r="G135" s="132">
        <v>1</v>
      </c>
      <c r="H135" s="132">
        <v>0</v>
      </c>
      <c r="I135" s="132">
        <v>5</v>
      </c>
    </row>
    <row r="136" spans="1:9" ht="14.25" customHeight="1" x14ac:dyDescent="0.25">
      <c r="A136" s="132" t="s">
        <v>117</v>
      </c>
      <c r="B136" s="132" t="s">
        <v>8</v>
      </c>
      <c r="C136" s="132">
        <v>15</v>
      </c>
      <c r="D136" s="132" t="str">
        <f t="shared" si="8"/>
        <v>1/2" Hex BAG Motor 15</v>
      </c>
      <c r="E136" s="132">
        <v>10</v>
      </c>
      <c r="F136" s="132">
        <v>7</v>
      </c>
      <c r="G136" s="132">
        <v>0</v>
      </c>
      <c r="H136" s="132">
        <v>0</v>
      </c>
      <c r="I136" s="132">
        <v>5</v>
      </c>
    </row>
    <row r="137" spans="1:9" ht="14.25" customHeight="1" x14ac:dyDescent="0.25">
      <c r="A137" s="132" t="s">
        <v>117</v>
      </c>
      <c r="B137" s="132" t="s">
        <v>8</v>
      </c>
      <c r="C137" s="132">
        <v>16</v>
      </c>
      <c r="D137" s="132" t="str">
        <f t="shared" si="8"/>
        <v>1/2" Hex BAG Motor 16</v>
      </c>
      <c r="E137" s="132">
        <v>10</v>
      </c>
      <c r="F137" s="132">
        <v>5</v>
      </c>
      <c r="G137" s="132">
        <v>0</v>
      </c>
      <c r="H137" s="132">
        <v>0</v>
      </c>
      <c r="I137" s="132">
        <v>5</v>
      </c>
    </row>
    <row r="138" spans="1:9" ht="14.25" customHeight="1" x14ac:dyDescent="0.25">
      <c r="A138" s="132" t="s">
        <v>117</v>
      </c>
      <c r="B138" s="132" t="s">
        <v>8</v>
      </c>
      <c r="C138" s="132">
        <v>20</v>
      </c>
      <c r="D138" s="132" t="str">
        <f t="shared" si="8"/>
        <v>1/2" Hex BAG Motor 20</v>
      </c>
      <c r="E138" s="132">
        <v>9</v>
      </c>
      <c r="F138" s="132">
        <v>5</v>
      </c>
      <c r="G138" s="132">
        <v>0</v>
      </c>
      <c r="H138" s="132">
        <v>0</v>
      </c>
      <c r="I138" s="132">
        <v>4</v>
      </c>
    </row>
    <row r="139" spans="1:9" ht="14.25" customHeight="1" x14ac:dyDescent="0.25">
      <c r="A139" s="132" t="s">
        <v>117</v>
      </c>
      <c r="B139" s="132" t="s">
        <v>8</v>
      </c>
      <c r="C139" s="132">
        <v>21</v>
      </c>
      <c r="D139" s="132" t="str">
        <f t="shared" si="8"/>
        <v>1/2" Hex BAG Motor 21</v>
      </c>
      <c r="E139" s="132">
        <v>9</v>
      </c>
      <c r="F139" s="132">
        <v>5</v>
      </c>
      <c r="G139" s="132">
        <v>0</v>
      </c>
      <c r="H139" s="132">
        <v>0</v>
      </c>
      <c r="I139" s="132">
        <v>3</v>
      </c>
    </row>
    <row r="140" spans="1:9" ht="14.25" customHeight="1" x14ac:dyDescent="0.25">
      <c r="A140" s="132" t="s">
        <v>117</v>
      </c>
      <c r="B140" s="132" t="s">
        <v>8</v>
      </c>
      <c r="C140" s="132">
        <v>25</v>
      </c>
      <c r="D140" s="132" t="str">
        <f t="shared" si="8"/>
        <v>1/2" Hex BAG Motor 25</v>
      </c>
      <c r="E140" s="132">
        <v>7</v>
      </c>
      <c r="F140" s="132">
        <v>5</v>
      </c>
      <c r="G140" s="132">
        <v>0</v>
      </c>
      <c r="H140" s="132">
        <v>0</v>
      </c>
      <c r="I140" s="132">
        <v>3</v>
      </c>
    </row>
    <row r="141" spans="1:9" ht="14.25" customHeight="1" x14ac:dyDescent="0.25">
      <c r="A141" s="132" t="s">
        <v>117</v>
      </c>
      <c r="B141" s="132" t="s">
        <v>8</v>
      </c>
      <c r="C141" s="132">
        <v>27</v>
      </c>
      <c r="D141" s="132" t="str">
        <f t="shared" si="8"/>
        <v>1/2" Hex BAG Motor 27</v>
      </c>
      <c r="E141" s="132">
        <v>7</v>
      </c>
      <c r="F141" s="132">
        <v>5</v>
      </c>
      <c r="G141" s="132">
        <v>0</v>
      </c>
      <c r="H141" s="132">
        <v>0</v>
      </c>
      <c r="I141" s="132">
        <v>3</v>
      </c>
    </row>
    <row r="142" spans="1:9" ht="14.25" customHeight="1" x14ac:dyDescent="0.25">
      <c r="A142" s="132" t="s">
        <v>117</v>
      </c>
      <c r="B142" s="132" t="s">
        <v>8</v>
      </c>
      <c r="C142" s="132">
        <v>28</v>
      </c>
      <c r="D142" s="132" t="str">
        <f t="shared" si="8"/>
        <v>1/2" Hex BAG Motor 28</v>
      </c>
      <c r="E142" s="132">
        <v>7</v>
      </c>
      <c r="F142" s="132">
        <v>5</v>
      </c>
      <c r="G142" s="132">
        <v>0</v>
      </c>
      <c r="H142" s="132">
        <v>0</v>
      </c>
      <c r="I142" s="132">
        <v>1</v>
      </c>
    </row>
    <row r="143" spans="1:9" ht="14.25" customHeight="1" x14ac:dyDescent="0.25">
      <c r="A143" s="132" t="s">
        <v>117</v>
      </c>
      <c r="B143" s="132" t="s">
        <v>8</v>
      </c>
      <c r="C143" s="132">
        <v>30</v>
      </c>
      <c r="D143" s="132" t="str">
        <f t="shared" si="8"/>
        <v>1/2" Hex BAG Motor 30</v>
      </c>
      <c r="E143" s="132">
        <v>5</v>
      </c>
      <c r="F143" s="132">
        <v>5</v>
      </c>
      <c r="G143" s="132">
        <v>0</v>
      </c>
      <c r="H143" s="132">
        <v>0</v>
      </c>
      <c r="I143" s="132">
        <v>1</v>
      </c>
    </row>
    <row r="144" spans="1:9" ht="14.25" customHeight="1" x14ac:dyDescent="0.25">
      <c r="A144" s="132" t="s">
        <v>117</v>
      </c>
      <c r="B144" s="132" t="s">
        <v>8</v>
      </c>
      <c r="C144" s="132">
        <v>35</v>
      </c>
      <c r="D144" s="132" t="str">
        <f t="shared" si="8"/>
        <v>1/2" Hex BAG Motor 35</v>
      </c>
      <c r="E144" s="132">
        <v>5</v>
      </c>
      <c r="F144" s="132">
        <v>4</v>
      </c>
      <c r="G144" s="132">
        <v>0</v>
      </c>
      <c r="H144" s="132">
        <v>0</v>
      </c>
      <c r="I144" s="132">
        <v>1</v>
      </c>
    </row>
    <row r="145" spans="1:9" ht="14.25" customHeight="1" x14ac:dyDescent="0.25">
      <c r="A145" s="132" t="s">
        <v>117</v>
      </c>
      <c r="B145" s="132" t="s">
        <v>8</v>
      </c>
      <c r="C145" s="132">
        <v>36</v>
      </c>
      <c r="D145" s="132" t="str">
        <f t="shared" si="8"/>
        <v>1/2" Hex BAG Motor 36</v>
      </c>
      <c r="E145" s="132">
        <v>5</v>
      </c>
      <c r="F145" s="132">
        <v>4</v>
      </c>
      <c r="G145" s="132">
        <v>0</v>
      </c>
      <c r="H145" s="132">
        <v>0</v>
      </c>
      <c r="I145" s="132">
        <v>1</v>
      </c>
    </row>
    <row r="146" spans="1:9" ht="14.25" customHeight="1" x14ac:dyDescent="0.25">
      <c r="A146" s="132" t="s">
        <v>117</v>
      </c>
      <c r="B146" s="132" t="s">
        <v>8</v>
      </c>
      <c r="C146" s="132">
        <v>40</v>
      </c>
      <c r="D146" s="132" t="str">
        <f t="shared" si="8"/>
        <v>1/2" Hex BAG Motor 40</v>
      </c>
      <c r="E146" s="132">
        <v>5</v>
      </c>
      <c r="F146" s="132">
        <v>4</v>
      </c>
      <c r="G146" s="132">
        <v>0</v>
      </c>
      <c r="H146" s="132">
        <v>0</v>
      </c>
      <c r="I146" s="132">
        <v>1</v>
      </c>
    </row>
    <row r="147" spans="1:9" ht="14.25" customHeight="1" x14ac:dyDescent="0.25">
      <c r="A147" s="132" t="s">
        <v>117</v>
      </c>
      <c r="B147" s="132" t="s">
        <v>8</v>
      </c>
      <c r="C147" s="132">
        <v>45</v>
      </c>
      <c r="D147" s="132" t="str">
        <f t="shared" si="8"/>
        <v>1/2" Hex BAG Motor 45</v>
      </c>
      <c r="E147" s="132">
        <v>5</v>
      </c>
      <c r="F147" s="132">
        <v>3</v>
      </c>
      <c r="G147" s="132">
        <v>0</v>
      </c>
      <c r="H147" s="132">
        <v>0</v>
      </c>
      <c r="I147" s="132">
        <v>1</v>
      </c>
    </row>
    <row r="148" spans="1:9" ht="14.25" customHeight="1" x14ac:dyDescent="0.25">
      <c r="A148" s="132" t="s">
        <v>117</v>
      </c>
      <c r="B148" s="132" t="s">
        <v>8</v>
      </c>
      <c r="C148" s="132">
        <v>49</v>
      </c>
      <c r="D148" s="132" t="str">
        <f t="shared" si="8"/>
        <v>1/2" Hex BAG Motor 49</v>
      </c>
      <c r="E148" s="132">
        <v>5</v>
      </c>
      <c r="F148" s="132">
        <v>3</v>
      </c>
      <c r="G148" s="132">
        <v>0</v>
      </c>
      <c r="H148" s="132">
        <v>0</v>
      </c>
      <c r="I148" s="132">
        <v>1</v>
      </c>
    </row>
    <row r="149" spans="1:9" ht="14.25" customHeight="1" x14ac:dyDescent="0.25">
      <c r="A149" s="132" t="s">
        <v>117</v>
      </c>
      <c r="B149" s="132" t="s">
        <v>8</v>
      </c>
      <c r="C149" s="132">
        <v>50</v>
      </c>
      <c r="D149" s="132" t="str">
        <f t="shared" si="8"/>
        <v>1/2" Hex BAG Motor 50</v>
      </c>
      <c r="E149" s="132">
        <v>5</v>
      </c>
      <c r="F149" s="132">
        <v>3</v>
      </c>
      <c r="G149" s="132">
        <v>0</v>
      </c>
      <c r="H149" s="132">
        <v>0</v>
      </c>
      <c r="I149" s="132">
        <v>1</v>
      </c>
    </row>
    <row r="150" spans="1:9" ht="14.25" customHeight="1" x14ac:dyDescent="0.25">
      <c r="A150" s="132" t="s">
        <v>117</v>
      </c>
      <c r="B150" s="132" t="s">
        <v>8</v>
      </c>
      <c r="C150" s="132">
        <v>63</v>
      </c>
      <c r="D150" s="132" t="str">
        <f t="shared" si="8"/>
        <v>1/2" Hex BAG Motor 63</v>
      </c>
      <c r="E150" s="132">
        <v>4</v>
      </c>
      <c r="F150" s="132">
        <v>1</v>
      </c>
      <c r="G150" s="132">
        <v>0</v>
      </c>
      <c r="H150" s="132">
        <v>0</v>
      </c>
      <c r="I150" s="132">
        <v>1</v>
      </c>
    </row>
    <row r="151" spans="1:9" ht="14.25" customHeight="1" x14ac:dyDescent="0.25">
      <c r="A151" s="132" t="s">
        <v>117</v>
      </c>
      <c r="B151" s="132" t="s">
        <v>8</v>
      </c>
      <c r="C151" s="132">
        <v>70</v>
      </c>
      <c r="D151" s="132" t="str">
        <f t="shared" si="8"/>
        <v>1/2" Hex BAG Motor 70</v>
      </c>
      <c r="E151" s="132">
        <v>4</v>
      </c>
      <c r="F151" s="132">
        <v>1</v>
      </c>
      <c r="G151" s="132">
        <v>0</v>
      </c>
      <c r="H151" s="132">
        <v>0</v>
      </c>
      <c r="I151" s="132">
        <v>1</v>
      </c>
    </row>
    <row r="152" spans="1:9" ht="14.25" customHeight="1" x14ac:dyDescent="0.25">
      <c r="A152" s="132" t="s">
        <v>117</v>
      </c>
      <c r="B152" s="132" t="s">
        <v>8</v>
      </c>
      <c r="C152" s="132">
        <v>81</v>
      </c>
      <c r="D152" s="132" t="str">
        <f t="shared" si="8"/>
        <v>1/2" Hex BAG Motor 81</v>
      </c>
      <c r="E152" s="132">
        <v>3</v>
      </c>
      <c r="F152" s="132">
        <v>1</v>
      </c>
      <c r="G152" s="132">
        <v>0</v>
      </c>
      <c r="H152" s="132">
        <v>0</v>
      </c>
      <c r="I152" s="132">
        <v>1</v>
      </c>
    </row>
    <row r="153" spans="1:9" ht="14.25" customHeight="1" x14ac:dyDescent="0.25">
      <c r="A153" s="132" t="s">
        <v>117</v>
      </c>
      <c r="B153" s="132" t="s">
        <v>8</v>
      </c>
      <c r="C153" s="132">
        <v>90</v>
      </c>
      <c r="D153" s="132" t="str">
        <f t="shared" si="8"/>
        <v>1/2" Hex BAG Motor 90</v>
      </c>
      <c r="E153" s="132">
        <v>3</v>
      </c>
      <c r="F153" s="132">
        <v>1</v>
      </c>
      <c r="G153" s="132">
        <v>0</v>
      </c>
      <c r="H153" s="132">
        <v>0</v>
      </c>
      <c r="I153" s="132">
        <v>0</v>
      </c>
    </row>
    <row r="154" spans="1:9" ht="14.25" customHeight="1" x14ac:dyDescent="0.25">
      <c r="A154" s="132" t="s">
        <v>117</v>
      </c>
      <c r="B154" s="132" t="s">
        <v>8</v>
      </c>
      <c r="C154" s="132">
        <v>100</v>
      </c>
      <c r="D154" s="132" t="str">
        <f t="shared" si="8"/>
        <v>1/2" Hex BAG Motor 100</v>
      </c>
      <c r="E154" s="132">
        <v>3</v>
      </c>
      <c r="F154" s="132">
        <v>1</v>
      </c>
      <c r="G154" s="132">
        <v>0</v>
      </c>
      <c r="H154" s="132">
        <v>0</v>
      </c>
      <c r="I154" s="132">
        <v>0</v>
      </c>
    </row>
    <row r="155" spans="1:9" ht="14.25" customHeight="1" x14ac:dyDescent="0.25">
      <c r="A155" s="132" t="s">
        <v>117</v>
      </c>
      <c r="B155" s="132" t="s">
        <v>255</v>
      </c>
      <c r="C155" s="132">
        <v>-3</v>
      </c>
      <c r="D155" s="132" t="str">
        <f t="shared" ref="D155:D160" si="9">A155&amp;" "&amp;B155&amp;" "&amp;C155</f>
        <v>1/2" Hex 775pro -3</v>
      </c>
      <c r="E155" s="132">
        <v>1</v>
      </c>
      <c r="F155" s="132">
        <v>1</v>
      </c>
      <c r="G155" s="132">
        <v>1</v>
      </c>
      <c r="H155" s="132">
        <v>0</v>
      </c>
      <c r="I155" s="132">
        <v>1</v>
      </c>
    </row>
    <row r="156" spans="1:9" ht="14.25" customHeight="1" x14ac:dyDescent="0.25">
      <c r="A156" s="132" t="s">
        <v>117</v>
      </c>
      <c r="B156" s="132" t="s">
        <v>255</v>
      </c>
      <c r="C156" s="132">
        <v>-4</v>
      </c>
      <c r="D156" s="132" t="str">
        <f t="shared" si="9"/>
        <v>1/2" Hex 775pro -4</v>
      </c>
      <c r="E156" s="132">
        <v>1</v>
      </c>
      <c r="F156" s="132">
        <v>1</v>
      </c>
      <c r="G156" s="132">
        <v>1</v>
      </c>
      <c r="H156" s="132">
        <v>0</v>
      </c>
      <c r="I156" s="132">
        <v>1</v>
      </c>
    </row>
    <row r="157" spans="1:9" ht="14.25" customHeight="1" x14ac:dyDescent="0.25">
      <c r="A157" s="132" t="s">
        <v>117</v>
      </c>
      <c r="B157" s="132" t="s">
        <v>255</v>
      </c>
      <c r="C157" s="132">
        <v>-5</v>
      </c>
      <c r="D157" s="132" t="str">
        <f t="shared" si="9"/>
        <v>1/2" Hex 775pro -5</v>
      </c>
      <c r="E157" s="132">
        <v>1</v>
      </c>
      <c r="F157" s="132">
        <v>1</v>
      </c>
      <c r="G157" s="132">
        <v>1</v>
      </c>
      <c r="H157" s="132">
        <v>0</v>
      </c>
      <c r="I157" s="132">
        <v>1</v>
      </c>
    </row>
    <row r="158" spans="1:9" ht="14.25" customHeight="1" x14ac:dyDescent="0.25">
      <c r="A158" s="132" t="s">
        <v>117</v>
      </c>
      <c r="B158" s="132" t="s">
        <v>255</v>
      </c>
      <c r="C158" s="132">
        <v>-7</v>
      </c>
      <c r="D158" s="132" t="str">
        <f t="shared" si="9"/>
        <v>1/2" Hex 775pro -7</v>
      </c>
      <c r="E158" s="132">
        <v>1</v>
      </c>
      <c r="F158" s="132">
        <v>1</v>
      </c>
      <c r="G158" s="132">
        <v>0</v>
      </c>
      <c r="H158" s="132">
        <v>0</v>
      </c>
      <c r="I158" s="132">
        <v>1</v>
      </c>
    </row>
    <row r="159" spans="1:9" ht="14.25" customHeight="1" x14ac:dyDescent="0.25">
      <c r="A159" s="132" t="s">
        <v>117</v>
      </c>
      <c r="B159" s="132" t="s">
        <v>255</v>
      </c>
      <c r="C159" s="132">
        <v>-9</v>
      </c>
      <c r="D159" s="132" t="str">
        <f t="shared" si="9"/>
        <v>1/2" Hex 775pro -9</v>
      </c>
      <c r="E159" s="132">
        <v>1</v>
      </c>
      <c r="F159" s="132">
        <v>1</v>
      </c>
      <c r="G159" s="132">
        <v>0</v>
      </c>
      <c r="H159" s="132">
        <v>0</v>
      </c>
      <c r="I159" s="132">
        <v>1</v>
      </c>
    </row>
    <row r="160" spans="1:9" ht="14.25" customHeight="1" x14ac:dyDescent="0.25">
      <c r="A160" s="132" t="s">
        <v>117</v>
      </c>
      <c r="B160" s="132" t="s">
        <v>255</v>
      </c>
      <c r="C160" s="132">
        <v>-10</v>
      </c>
      <c r="D160" s="132" t="str">
        <f t="shared" si="9"/>
        <v>1/2" Hex 775pro -10</v>
      </c>
      <c r="E160" s="132">
        <v>1</v>
      </c>
      <c r="F160" s="132">
        <v>1</v>
      </c>
      <c r="G160" s="132">
        <v>0</v>
      </c>
      <c r="H160" s="132">
        <v>0</v>
      </c>
      <c r="I160" s="132">
        <v>1</v>
      </c>
    </row>
    <row r="161" spans="1:9" ht="14.25" customHeight="1" x14ac:dyDescent="0.25">
      <c r="A161" s="132" t="s">
        <v>117</v>
      </c>
      <c r="B161" s="132" t="s">
        <v>255</v>
      </c>
      <c r="C161" s="132">
        <v>9</v>
      </c>
      <c r="D161" s="132" t="str">
        <f t="shared" ref="D161:D181" si="10">A161&amp;" "&amp;B161&amp;" "&amp;C161</f>
        <v>1/2" Hex 775pro 9</v>
      </c>
      <c r="E161" s="132">
        <v>10</v>
      </c>
      <c r="F161" s="132">
        <v>7</v>
      </c>
      <c r="G161" s="132">
        <v>0</v>
      </c>
      <c r="H161" s="132">
        <v>0</v>
      </c>
      <c r="I161" s="132">
        <v>5</v>
      </c>
    </row>
    <row r="162" spans="1:9" ht="14.25" customHeight="1" x14ac:dyDescent="0.25">
      <c r="A162" s="132" t="s">
        <v>117</v>
      </c>
      <c r="B162" s="132" t="s">
        <v>255</v>
      </c>
      <c r="C162" s="132">
        <v>12</v>
      </c>
      <c r="D162" s="132" t="str">
        <f t="shared" si="10"/>
        <v>1/2" Hex 775pro 12</v>
      </c>
      <c r="E162" s="132">
        <v>10</v>
      </c>
      <c r="F162" s="132">
        <v>5</v>
      </c>
      <c r="G162" s="132">
        <v>0</v>
      </c>
      <c r="H162" s="132">
        <v>0</v>
      </c>
      <c r="I162" s="132">
        <v>4</v>
      </c>
    </row>
    <row r="163" spans="1:9" ht="14.25" customHeight="1" x14ac:dyDescent="0.25">
      <c r="A163" s="132" t="s">
        <v>117</v>
      </c>
      <c r="B163" s="132" t="s">
        <v>255</v>
      </c>
      <c r="C163" s="132">
        <v>15</v>
      </c>
      <c r="D163" s="132" t="str">
        <f t="shared" si="10"/>
        <v>1/2" Hex 775pro 15</v>
      </c>
      <c r="E163" s="132">
        <v>9</v>
      </c>
      <c r="F163" s="132">
        <v>5</v>
      </c>
      <c r="G163" s="132">
        <v>0</v>
      </c>
      <c r="H163" s="132">
        <v>0</v>
      </c>
      <c r="I163" s="132">
        <v>3</v>
      </c>
    </row>
    <row r="164" spans="1:9" ht="14.25" customHeight="1" x14ac:dyDescent="0.25">
      <c r="A164" s="132" t="s">
        <v>117</v>
      </c>
      <c r="B164" s="132" t="s">
        <v>255</v>
      </c>
      <c r="C164" s="132">
        <v>16</v>
      </c>
      <c r="D164" s="132" t="str">
        <f t="shared" si="10"/>
        <v>1/2" Hex 775pro 16</v>
      </c>
      <c r="E164" s="132">
        <v>7</v>
      </c>
      <c r="F164" s="132">
        <v>5</v>
      </c>
      <c r="G164" s="132">
        <v>0</v>
      </c>
      <c r="H164" s="132">
        <v>0</v>
      </c>
      <c r="I164" s="132">
        <v>3</v>
      </c>
    </row>
    <row r="165" spans="1:9" ht="14.25" customHeight="1" x14ac:dyDescent="0.25">
      <c r="A165" s="132" t="s">
        <v>117</v>
      </c>
      <c r="B165" s="132" t="s">
        <v>255</v>
      </c>
      <c r="C165" s="132">
        <v>20</v>
      </c>
      <c r="D165" s="132" t="str">
        <f t="shared" si="10"/>
        <v>1/2" Hex 775pro 20</v>
      </c>
      <c r="E165" s="132">
        <v>5</v>
      </c>
      <c r="F165" s="132">
        <v>5</v>
      </c>
      <c r="G165" s="132">
        <v>0</v>
      </c>
      <c r="H165" s="132">
        <v>0</v>
      </c>
      <c r="I165" s="132">
        <v>1</v>
      </c>
    </row>
    <row r="166" spans="1:9" ht="14.25" customHeight="1" x14ac:dyDescent="0.25">
      <c r="A166" s="132" t="s">
        <v>117</v>
      </c>
      <c r="B166" s="132" t="s">
        <v>255</v>
      </c>
      <c r="C166" s="132">
        <v>21</v>
      </c>
      <c r="D166" s="132" t="str">
        <f t="shared" si="10"/>
        <v>1/2" Hex 775pro 21</v>
      </c>
      <c r="E166" s="132">
        <v>5</v>
      </c>
      <c r="F166" s="132">
        <v>5</v>
      </c>
      <c r="G166" s="132">
        <v>0</v>
      </c>
      <c r="H166" s="132">
        <v>0</v>
      </c>
      <c r="I166" s="132">
        <v>1</v>
      </c>
    </row>
    <row r="167" spans="1:9" ht="14.25" customHeight="1" x14ac:dyDescent="0.25">
      <c r="A167" s="132" t="s">
        <v>117</v>
      </c>
      <c r="B167" s="132" t="s">
        <v>255</v>
      </c>
      <c r="C167" s="132">
        <v>25</v>
      </c>
      <c r="D167" s="132" t="str">
        <f t="shared" si="10"/>
        <v>1/2" Hex 775pro 25</v>
      </c>
      <c r="E167" s="132">
        <v>5</v>
      </c>
      <c r="F167" s="132">
        <v>4</v>
      </c>
      <c r="G167" s="132">
        <v>0</v>
      </c>
      <c r="H167" s="132">
        <v>0</v>
      </c>
      <c r="I167" s="132">
        <v>1</v>
      </c>
    </row>
    <row r="168" spans="1:9" ht="14.25" customHeight="1" x14ac:dyDescent="0.25">
      <c r="A168" s="132" t="s">
        <v>117</v>
      </c>
      <c r="B168" s="132" t="s">
        <v>255</v>
      </c>
      <c r="C168" s="132">
        <v>27</v>
      </c>
      <c r="D168" s="132" t="str">
        <f t="shared" si="10"/>
        <v>1/2" Hex 775pro 27</v>
      </c>
      <c r="E168" s="132">
        <v>5</v>
      </c>
      <c r="F168" s="132">
        <v>4</v>
      </c>
      <c r="G168" s="132">
        <v>0</v>
      </c>
      <c r="H168" s="132">
        <v>0</v>
      </c>
      <c r="I168" s="132">
        <v>1</v>
      </c>
    </row>
    <row r="169" spans="1:9" ht="14.25" customHeight="1" x14ac:dyDescent="0.25">
      <c r="A169" s="132" t="s">
        <v>117</v>
      </c>
      <c r="B169" s="132" t="s">
        <v>255</v>
      </c>
      <c r="C169" s="132">
        <v>28</v>
      </c>
      <c r="D169" s="132" t="str">
        <f t="shared" si="10"/>
        <v>1/2" Hex 775pro 28</v>
      </c>
      <c r="E169" s="132">
        <v>5</v>
      </c>
      <c r="F169" s="132">
        <v>3</v>
      </c>
      <c r="G169" s="132">
        <v>0</v>
      </c>
      <c r="H169" s="132">
        <v>0</v>
      </c>
      <c r="I169" s="132">
        <v>1</v>
      </c>
    </row>
    <row r="170" spans="1:9" ht="14.25" customHeight="1" x14ac:dyDescent="0.25">
      <c r="A170" s="132" t="s">
        <v>117</v>
      </c>
      <c r="B170" s="132" t="s">
        <v>255</v>
      </c>
      <c r="C170" s="132">
        <v>30</v>
      </c>
      <c r="D170" s="132" t="str">
        <f t="shared" si="10"/>
        <v>1/2" Hex 775pro 30</v>
      </c>
      <c r="E170" s="132">
        <v>5</v>
      </c>
      <c r="F170" s="132">
        <v>3</v>
      </c>
      <c r="G170" s="132">
        <v>0</v>
      </c>
      <c r="H170" s="132">
        <v>0</v>
      </c>
      <c r="I170" s="132">
        <v>1</v>
      </c>
    </row>
    <row r="171" spans="1:9" ht="14.25" customHeight="1" x14ac:dyDescent="0.25">
      <c r="A171" s="132" t="s">
        <v>117</v>
      </c>
      <c r="B171" s="132" t="s">
        <v>255</v>
      </c>
      <c r="C171" s="132">
        <v>35</v>
      </c>
      <c r="D171" s="132" t="str">
        <f t="shared" si="10"/>
        <v>1/2" Hex 775pro 35</v>
      </c>
      <c r="E171" s="132">
        <v>5</v>
      </c>
      <c r="F171" s="132">
        <v>3</v>
      </c>
      <c r="G171" s="132">
        <v>0</v>
      </c>
      <c r="H171" s="132">
        <v>0</v>
      </c>
      <c r="I171" s="132">
        <v>1</v>
      </c>
    </row>
    <row r="172" spans="1:9" ht="14.25" customHeight="1" x14ac:dyDescent="0.25">
      <c r="A172" s="132" t="s">
        <v>117</v>
      </c>
      <c r="B172" s="132" t="s">
        <v>255</v>
      </c>
      <c r="C172" s="132">
        <v>36</v>
      </c>
      <c r="D172" s="132" t="str">
        <f t="shared" si="10"/>
        <v>1/2" Hex 775pro 36</v>
      </c>
      <c r="E172" s="132">
        <v>5</v>
      </c>
      <c r="F172" s="132">
        <v>3</v>
      </c>
      <c r="G172" s="132">
        <v>0</v>
      </c>
      <c r="H172" s="132">
        <v>0</v>
      </c>
      <c r="I172" s="132">
        <v>1</v>
      </c>
    </row>
    <row r="173" spans="1:9" ht="14.25" customHeight="1" x14ac:dyDescent="0.25">
      <c r="A173" s="132" t="s">
        <v>117</v>
      </c>
      <c r="B173" s="132" t="s">
        <v>255</v>
      </c>
      <c r="C173" s="132">
        <v>40</v>
      </c>
      <c r="D173" s="132" t="str">
        <f t="shared" si="10"/>
        <v>1/2" Hex 775pro 40</v>
      </c>
      <c r="E173" s="132">
        <v>5</v>
      </c>
      <c r="F173" s="132">
        <v>1</v>
      </c>
      <c r="G173" s="132">
        <v>0</v>
      </c>
      <c r="H173" s="132">
        <v>0</v>
      </c>
      <c r="I173" s="132">
        <v>1</v>
      </c>
    </row>
    <row r="174" spans="1:9" ht="14.25" customHeight="1" x14ac:dyDescent="0.25">
      <c r="A174" s="132" t="s">
        <v>117</v>
      </c>
      <c r="B174" s="132" t="s">
        <v>255</v>
      </c>
      <c r="C174" s="132">
        <v>45</v>
      </c>
      <c r="D174" s="132" t="str">
        <f t="shared" si="10"/>
        <v>1/2" Hex 775pro 45</v>
      </c>
      <c r="E174" s="132">
        <v>4</v>
      </c>
      <c r="F174" s="132">
        <v>1</v>
      </c>
      <c r="G174" s="132">
        <v>0</v>
      </c>
      <c r="H174" s="132">
        <v>0</v>
      </c>
      <c r="I174" s="132">
        <v>1</v>
      </c>
    </row>
    <row r="175" spans="1:9" ht="14.25" customHeight="1" x14ac:dyDescent="0.25">
      <c r="A175" s="132" t="s">
        <v>117</v>
      </c>
      <c r="B175" s="132" t="s">
        <v>255</v>
      </c>
      <c r="C175" s="132">
        <v>49</v>
      </c>
      <c r="D175" s="132" t="str">
        <f t="shared" si="10"/>
        <v>1/2" Hex 775pro 49</v>
      </c>
      <c r="E175" s="132">
        <v>4</v>
      </c>
      <c r="F175" s="132">
        <v>1</v>
      </c>
      <c r="G175" s="132">
        <v>0</v>
      </c>
      <c r="H175" s="132">
        <v>0</v>
      </c>
      <c r="I175" s="132">
        <v>1</v>
      </c>
    </row>
    <row r="176" spans="1:9" ht="14.25" customHeight="1" x14ac:dyDescent="0.25">
      <c r="A176" s="132" t="s">
        <v>117</v>
      </c>
      <c r="B176" s="132" t="s">
        <v>255</v>
      </c>
      <c r="C176" s="132">
        <v>50</v>
      </c>
      <c r="D176" s="132" t="str">
        <f t="shared" si="10"/>
        <v>1/2" Hex 775pro 50</v>
      </c>
      <c r="E176" s="132">
        <v>4</v>
      </c>
      <c r="F176" s="132">
        <v>1</v>
      </c>
      <c r="G176" s="132">
        <v>0</v>
      </c>
      <c r="H176" s="132">
        <v>0</v>
      </c>
      <c r="I176" s="132">
        <v>0</v>
      </c>
    </row>
    <row r="177" spans="1:9" ht="14.25" customHeight="1" x14ac:dyDescent="0.25">
      <c r="A177" s="132" t="s">
        <v>117</v>
      </c>
      <c r="B177" s="132" t="s">
        <v>255</v>
      </c>
      <c r="C177" s="132">
        <v>63</v>
      </c>
      <c r="D177" s="132" t="str">
        <f t="shared" si="10"/>
        <v>1/2" Hex 775pro 63</v>
      </c>
      <c r="E177" s="132">
        <v>3</v>
      </c>
      <c r="F177" s="132">
        <v>1</v>
      </c>
      <c r="G177" s="132">
        <v>0</v>
      </c>
      <c r="H177" s="132">
        <v>0</v>
      </c>
      <c r="I177" s="132">
        <v>0</v>
      </c>
    </row>
    <row r="178" spans="1:9" ht="14.25" customHeight="1" x14ac:dyDescent="0.25">
      <c r="A178" s="132" t="s">
        <v>117</v>
      </c>
      <c r="B178" s="132" t="s">
        <v>255</v>
      </c>
      <c r="C178" s="132">
        <v>70</v>
      </c>
      <c r="D178" s="132" t="str">
        <f t="shared" si="10"/>
        <v>1/2" Hex 775pro 70</v>
      </c>
      <c r="E178" s="132">
        <v>3</v>
      </c>
      <c r="F178" s="132">
        <v>0</v>
      </c>
      <c r="G178" s="132">
        <v>0</v>
      </c>
      <c r="H178" s="132">
        <v>0</v>
      </c>
      <c r="I178" s="132">
        <v>0</v>
      </c>
    </row>
    <row r="179" spans="1:9" ht="14.25" customHeight="1" x14ac:dyDescent="0.25">
      <c r="A179" s="132" t="s">
        <v>117</v>
      </c>
      <c r="B179" s="132" t="s">
        <v>255</v>
      </c>
      <c r="C179" s="132">
        <v>81</v>
      </c>
      <c r="D179" s="132" t="str">
        <f t="shared" si="10"/>
        <v>1/2" Hex 775pro 81</v>
      </c>
      <c r="E179" s="132">
        <v>1</v>
      </c>
      <c r="F179" s="132">
        <v>0</v>
      </c>
      <c r="G179" s="132">
        <v>0</v>
      </c>
      <c r="H179" s="132">
        <v>0</v>
      </c>
      <c r="I179" s="132">
        <v>0</v>
      </c>
    </row>
    <row r="180" spans="1:9" ht="14.25" customHeight="1" x14ac:dyDescent="0.25">
      <c r="A180" s="132" t="s">
        <v>117</v>
      </c>
      <c r="B180" s="132" t="s">
        <v>255</v>
      </c>
      <c r="C180" s="132">
        <v>90</v>
      </c>
      <c r="D180" s="132" t="str">
        <f t="shared" si="10"/>
        <v>1/2" Hex 775pro 90</v>
      </c>
      <c r="E180" s="132">
        <v>1</v>
      </c>
      <c r="F180" s="132">
        <v>0</v>
      </c>
      <c r="G180" s="132">
        <v>0</v>
      </c>
      <c r="H180" s="132">
        <v>0</v>
      </c>
      <c r="I180" s="132">
        <v>0</v>
      </c>
    </row>
    <row r="181" spans="1:9" ht="14.25" customHeight="1" x14ac:dyDescent="0.25">
      <c r="A181" s="132" t="s">
        <v>117</v>
      </c>
      <c r="B181" s="132" t="s">
        <v>255</v>
      </c>
      <c r="C181" s="132">
        <v>100</v>
      </c>
      <c r="D181" s="132" t="str">
        <f t="shared" si="10"/>
        <v>1/2" Hex 775pro 100</v>
      </c>
      <c r="E181" s="132">
        <v>1</v>
      </c>
      <c r="F181" s="132">
        <v>0</v>
      </c>
      <c r="G181" s="132">
        <v>0</v>
      </c>
      <c r="H181" s="132">
        <v>0</v>
      </c>
      <c r="I181" s="132">
        <v>0</v>
      </c>
    </row>
    <row r="182" spans="1:9" ht="14.25" customHeight="1" x14ac:dyDescent="0.25">
      <c r="A182" s="132" t="s">
        <v>117</v>
      </c>
      <c r="B182" s="132" t="s">
        <v>7</v>
      </c>
      <c r="C182" s="132">
        <v>-3</v>
      </c>
      <c r="D182" s="132" t="str">
        <f t="shared" ref="D182:D187" si="11">A182&amp;" "&amp;B182&amp;" "&amp;C182</f>
        <v>1/2" Hex Mini CIM -3</v>
      </c>
      <c r="E182" s="132">
        <v>1</v>
      </c>
      <c r="I182" s="132">
        <v>0</v>
      </c>
    </row>
    <row r="183" spans="1:9" ht="14.25" customHeight="1" x14ac:dyDescent="0.25">
      <c r="A183" s="132" t="s">
        <v>117</v>
      </c>
      <c r="B183" s="132" t="s">
        <v>7</v>
      </c>
      <c r="C183" s="132">
        <v>-4</v>
      </c>
      <c r="D183" s="132" t="str">
        <f t="shared" si="11"/>
        <v>1/2" Hex Mini CIM -4</v>
      </c>
      <c r="E183" s="132">
        <v>1</v>
      </c>
      <c r="I183" s="132">
        <v>0</v>
      </c>
    </row>
    <row r="184" spans="1:9" ht="14.25" customHeight="1" x14ac:dyDescent="0.25">
      <c r="A184" s="132" t="s">
        <v>117</v>
      </c>
      <c r="B184" s="132" t="s">
        <v>7</v>
      </c>
      <c r="C184" s="132">
        <v>-5</v>
      </c>
      <c r="D184" s="132" t="str">
        <f t="shared" si="11"/>
        <v>1/2" Hex Mini CIM -5</v>
      </c>
      <c r="E184" s="132">
        <v>1</v>
      </c>
      <c r="I184" s="132">
        <v>0</v>
      </c>
    </row>
    <row r="185" spans="1:9" ht="14.25" customHeight="1" x14ac:dyDescent="0.25">
      <c r="A185" s="132" t="s">
        <v>117</v>
      </c>
      <c r="B185" s="132" t="s">
        <v>7</v>
      </c>
      <c r="C185" s="132">
        <v>-7</v>
      </c>
      <c r="D185" s="132" t="str">
        <f t="shared" si="11"/>
        <v>1/2" Hex Mini CIM -7</v>
      </c>
      <c r="E185" s="132">
        <v>1</v>
      </c>
      <c r="I185" s="132">
        <v>0</v>
      </c>
    </row>
    <row r="186" spans="1:9" ht="14.25" customHeight="1" x14ac:dyDescent="0.25">
      <c r="A186" s="132" t="s">
        <v>117</v>
      </c>
      <c r="B186" s="132" t="s">
        <v>7</v>
      </c>
      <c r="C186" s="132">
        <v>-9</v>
      </c>
      <c r="D186" s="132" t="str">
        <f t="shared" si="11"/>
        <v>1/2" Hex Mini CIM -9</v>
      </c>
      <c r="E186" s="132">
        <v>1</v>
      </c>
      <c r="I186" s="132">
        <v>0</v>
      </c>
    </row>
    <row r="187" spans="1:9" ht="14.25" customHeight="1" x14ac:dyDescent="0.25">
      <c r="A187" s="132" t="s">
        <v>117</v>
      </c>
      <c r="B187" s="132" t="s">
        <v>7</v>
      </c>
      <c r="C187" s="132">
        <v>-10</v>
      </c>
      <c r="D187" s="132" t="str">
        <f t="shared" si="11"/>
        <v>1/2" Hex Mini CIM -10</v>
      </c>
      <c r="E187" s="132">
        <v>1</v>
      </c>
      <c r="I187" s="132">
        <v>0</v>
      </c>
    </row>
    <row r="188" spans="1:9" ht="14.25" customHeight="1" x14ac:dyDescent="0.25">
      <c r="A188" s="132" t="s">
        <v>117</v>
      </c>
      <c r="B188" s="132" t="s">
        <v>7</v>
      </c>
      <c r="C188" s="132">
        <v>9</v>
      </c>
      <c r="D188" s="132" t="str">
        <f t="shared" ref="D188:D208" si="12">A188&amp;" "&amp;B188&amp;" "&amp;C188</f>
        <v>1/2" Hex Mini CIM 9</v>
      </c>
      <c r="E188" s="132">
        <v>7</v>
      </c>
      <c r="I188" s="132">
        <v>0</v>
      </c>
    </row>
    <row r="189" spans="1:9" ht="14.25" customHeight="1" x14ac:dyDescent="0.25">
      <c r="A189" s="132" t="s">
        <v>117</v>
      </c>
      <c r="B189" s="132" t="s">
        <v>7</v>
      </c>
      <c r="C189" s="132">
        <v>12</v>
      </c>
      <c r="D189" s="132" t="str">
        <f t="shared" si="12"/>
        <v>1/2" Hex Mini CIM 12</v>
      </c>
      <c r="E189" s="132">
        <v>5</v>
      </c>
      <c r="I189" s="132">
        <v>0</v>
      </c>
    </row>
    <row r="190" spans="1:9" ht="14.25" customHeight="1" x14ac:dyDescent="0.25">
      <c r="A190" s="132" t="s">
        <v>117</v>
      </c>
      <c r="B190" s="132" t="s">
        <v>7</v>
      </c>
      <c r="C190" s="132">
        <v>15</v>
      </c>
      <c r="D190" s="132" t="str">
        <f t="shared" si="12"/>
        <v>1/2" Hex Mini CIM 15</v>
      </c>
      <c r="E190" s="132">
        <v>5</v>
      </c>
      <c r="I190" s="132">
        <v>0</v>
      </c>
    </row>
    <row r="191" spans="1:9" ht="14.25" customHeight="1" x14ac:dyDescent="0.25">
      <c r="A191" s="132" t="s">
        <v>117</v>
      </c>
      <c r="B191" s="132" t="s">
        <v>7</v>
      </c>
      <c r="C191" s="132">
        <v>16</v>
      </c>
      <c r="D191" s="132" t="str">
        <f t="shared" si="12"/>
        <v>1/2" Hex Mini CIM 16</v>
      </c>
      <c r="E191" s="132">
        <v>5</v>
      </c>
      <c r="I191" s="132">
        <v>0</v>
      </c>
    </row>
    <row r="192" spans="1:9" ht="14.25" customHeight="1" x14ac:dyDescent="0.25">
      <c r="A192" s="132" t="s">
        <v>117</v>
      </c>
      <c r="B192" s="132" t="s">
        <v>7</v>
      </c>
      <c r="C192" s="132">
        <v>20</v>
      </c>
      <c r="D192" s="132" t="str">
        <f t="shared" si="12"/>
        <v>1/2" Hex Mini CIM 20</v>
      </c>
      <c r="E192" s="132">
        <v>5</v>
      </c>
      <c r="I192" s="132">
        <v>0</v>
      </c>
    </row>
    <row r="193" spans="1:9" ht="14.25" customHeight="1" x14ac:dyDescent="0.25">
      <c r="A193" s="132" t="s">
        <v>117</v>
      </c>
      <c r="B193" s="132" t="s">
        <v>7</v>
      </c>
      <c r="C193" s="132">
        <v>21</v>
      </c>
      <c r="D193" s="132" t="str">
        <f t="shared" si="12"/>
        <v>1/2" Hex Mini CIM 21</v>
      </c>
      <c r="E193" s="132">
        <v>5</v>
      </c>
      <c r="I193" s="132">
        <v>0</v>
      </c>
    </row>
    <row r="194" spans="1:9" ht="14.25" customHeight="1" x14ac:dyDescent="0.25">
      <c r="A194" s="132" t="s">
        <v>117</v>
      </c>
      <c r="B194" s="132" t="s">
        <v>7</v>
      </c>
      <c r="C194" s="132">
        <v>25</v>
      </c>
      <c r="D194" s="132" t="str">
        <f t="shared" si="12"/>
        <v>1/2" Hex Mini CIM 25</v>
      </c>
      <c r="E194" s="132">
        <v>4</v>
      </c>
      <c r="I194" s="132">
        <v>0</v>
      </c>
    </row>
    <row r="195" spans="1:9" ht="14.25" customHeight="1" x14ac:dyDescent="0.25">
      <c r="A195" s="132" t="s">
        <v>117</v>
      </c>
      <c r="B195" s="132" t="s">
        <v>7</v>
      </c>
      <c r="C195" s="132">
        <v>27</v>
      </c>
      <c r="D195" s="132" t="str">
        <f t="shared" si="12"/>
        <v>1/2" Hex Mini CIM 27</v>
      </c>
      <c r="E195" s="132">
        <v>4</v>
      </c>
      <c r="I195" s="132">
        <v>0</v>
      </c>
    </row>
    <row r="196" spans="1:9" ht="14.25" customHeight="1" x14ac:dyDescent="0.25">
      <c r="A196" s="132" t="s">
        <v>117</v>
      </c>
      <c r="B196" s="132" t="s">
        <v>7</v>
      </c>
      <c r="C196" s="132">
        <v>28</v>
      </c>
      <c r="D196" s="132" t="str">
        <f t="shared" si="12"/>
        <v>1/2" Hex Mini CIM 28</v>
      </c>
      <c r="E196" s="132">
        <v>3</v>
      </c>
      <c r="I196" s="132">
        <v>0</v>
      </c>
    </row>
    <row r="197" spans="1:9" ht="14.25" customHeight="1" x14ac:dyDescent="0.25">
      <c r="A197" s="132" t="s">
        <v>117</v>
      </c>
      <c r="B197" s="132" t="s">
        <v>7</v>
      </c>
      <c r="C197" s="132">
        <v>30</v>
      </c>
      <c r="D197" s="132" t="str">
        <f t="shared" si="12"/>
        <v>1/2" Hex Mini CIM 30</v>
      </c>
      <c r="E197" s="132">
        <v>3</v>
      </c>
      <c r="I197" s="132">
        <v>0</v>
      </c>
    </row>
    <row r="198" spans="1:9" ht="14.25" customHeight="1" x14ac:dyDescent="0.25">
      <c r="A198" s="132" t="s">
        <v>117</v>
      </c>
      <c r="B198" s="132" t="s">
        <v>7</v>
      </c>
      <c r="C198" s="132">
        <v>35</v>
      </c>
      <c r="D198" s="132" t="str">
        <f t="shared" si="12"/>
        <v>1/2" Hex Mini CIM 35</v>
      </c>
      <c r="E198" s="132">
        <v>3</v>
      </c>
      <c r="I198" s="132">
        <v>0</v>
      </c>
    </row>
    <row r="199" spans="1:9" ht="14.25" customHeight="1" x14ac:dyDescent="0.25">
      <c r="A199" s="132" t="s">
        <v>117</v>
      </c>
      <c r="B199" s="132" t="s">
        <v>7</v>
      </c>
      <c r="C199" s="132">
        <v>36</v>
      </c>
      <c r="D199" s="132" t="str">
        <f t="shared" si="12"/>
        <v>1/2" Hex Mini CIM 36</v>
      </c>
      <c r="E199" s="132">
        <v>3</v>
      </c>
      <c r="I199" s="132">
        <v>0</v>
      </c>
    </row>
    <row r="200" spans="1:9" ht="14.25" customHeight="1" x14ac:dyDescent="0.25">
      <c r="A200" s="132" t="s">
        <v>117</v>
      </c>
      <c r="B200" s="132" t="s">
        <v>7</v>
      </c>
      <c r="C200" s="132">
        <v>40</v>
      </c>
      <c r="D200" s="132" t="str">
        <f t="shared" si="12"/>
        <v>1/2" Hex Mini CIM 40</v>
      </c>
      <c r="E200" s="132">
        <v>1</v>
      </c>
      <c r="I200" s="132">
        <v>0</v>
      </c>
    </row>
    <row r="201" spans="1:9" ht="14.25" customHeight="1" x14ac:dyDescent="0.25">
      <c r="A201" s="132" t="s">
        <v>117</v>
      </c>
      <c r="B201" s="132" t="s">
        <v>7</v>
      </c>
      <c r="C201" s="132">
        <v>45</v>
      </c>
      <c r="D201" s="132" t="str">
        <f t="shared" si="12"/>
        <v>1/2" Hex Mini CIM 45</v>
      </c>
      <c r="E201" s="132">
        <v>1</v>
      </c>
      <c r="I201" s="132">
        <v>0</v>
      </c>
    </row>
    <row r="202" spans="1:9" ht="14.25" customHeight="1" x14ac:dyDescent="0.25">
      <c r="A202" s="132" t="s">
        <v>117</v>
      </c>
      <c r="B202" s="132" t="s">
        <v>7</v>
      </c>
      <c r="C202" s="132">
        <v>49</v>
      </c>
      <c r="D202" s="132" t="str">
        <f t="shared" si="12"/>
        <v>1/2" Hex Mini CIM 49</v>
      </c>
      <c r="E202" s="132">
        <v>1</v>
      </c>
      <c r="I202" s="132">
        <v>0</v>
      </c>
    </row>
    <row r="203" spans="1:9" ht="14.25" customHeight="1" x14ac:dyDescent="0.25">
      <c r="A203" s="132" t="s">
        <v>117</v>
      </c>
      <c r="B203" s="132" t="s">
        <v>7</v>
      </c>
      <c r="C203" s="132">
        <v>50</v>
      </c>
      <c r="D203" s="132" t="str">
        <f t="shared" si="12"/>
        <v>1/2" Hex Mini CIM 50</v>
      </c>
      <c r="E203" s="132">
        <v>1</v>
      </c>
      <c r="I203" s="132">
        <v>0</v>
      </c>
    </row>
    <row r="204" spans="1:9" ht="14.25" customHeight="1" x14ac:dyDescent="0.25">
      <c r="A204" s="132" t="s">
        <v>117</v>
      </c>
      <c r="B204" s="132" t="s">
        <v>7</v>
      </c>
      <c r="C204" s="132">
        <v>63</v>
      </c>
      <c r="D204" s="132" t="str">
        <f t="shared" si="12"/>
        <v>1/2" Hex Mini CIM 63</v>
      </c>
      <c r="E204" s="132">
        <v>1</v>
      </c>
      <c r="I204" s="132">
        <v>0</v>
      </c>
    </row>
    <row r="205" spans="1:9" ht="14.25" customHeight="1" x14ac:dyDescent="0.25">
      <c r="A205" s="132" t="s">
        <v>117</v>
      </c>
      <c r="B205" s="132" t="s">
        <v>7</v>
      </c>
      <c r="C205" s="132">
        <v>70</v>
      </c>
      <c r="D205" s="132" t="str">
        <f t="shared" si="12"/>
        <v>1/2" Hex Mini CIM 70</v>
      </c>
      <c r="E205" s="132">
        <v>0</v>
      </c>
      <c r="I205" s="132">
        <v>0</v>
      </c>
    </row>
    <row r="206" spans="1:9" ht="14.25" customHeight="1" x14ac:dyDescent="0.25">
      <c r="A206" s="132" t="s">
        <v>117</v>
      </c>
      <c r="B206" s="132" t="s">
        <v>7</v>
      </c>
      <c r="C206" s="132">
        <v>81</v>
      </c>
      <c r="D206" s="132" t="str">
        <f t="shared" si="12"/>
        <v>1/2" Hex Mini CIM 81</v>
      </c>
      <c r="E206" s="132">
        <v>0</v>
      </c>
      <c r="I206" s="132">
        <v>0</v>
      </c>
    </row>
    <row r="207" spans="1:9" ht="14.25" customHeight="1" x14ac:dyDescent="0.25">
      <c r="A207" s="132" t="s">
        <v>117</v>
      </c>
      <c r="B207" s="132" t="s">
        <v>7</v>
      </c>
      <c r="C207" s="132">
        <v>90</v>
      </c>
      <c r="D207" s="132" t="str">
        <f t="shared" si="12"/>
        <v>1/2" Hex Mini CIM 90</v>
      </c>
      <c r="E207" s="132">
        <v>0</v>
      </c>
      <c r="I207" s="132">
        <v>0</v>
      </c>
    </row>
    <row r="208" spans="1:9" ht="14.25" customHeight="1" x14ac:dyDescent="0.25">
      <c r="A208" s="132" t="s">
        <v>117</v>
      </c>
      <c r="B208" s="132" t="s">
        <v>7</v>
      </c>
      <c r="C208" s="132">
        <v>100</v>
      </c>
      <c r="D208" s="132" t="str">
        <f t="shared" si="12"/>
        <v>1/2" Hex Mini CIM 100</v>
      </c>
      <c r="E208" s="132">
        <v>0</v>
      </c>
      <c r="I208" s="132">
        <v>0</v>
      </c>
    </row>
    <row r="209" spans="1:9" ht="14.25" customHeight="1" x14ac:dyDescent="0.25">
      <c r="A209" s="132" t="s">
        <v>117</v>
      </c>
      <c r="B209" s="132" t="s">
        <v>6</v>
      </c>
      <c r="C209" s="132">
        <v>-3</v>
      </c>
      <c r="D209" s="132" t="str">
        <f t="shared" ref="D209:D214" si="13">A209&amp;" "&amp;B209&amp;" "&amp;C209</f>
        <v>1/2" Hex CIM -3</v>
      </c>
      <c r="E209" s="132">
        <v>1</v>
      </c>
      <c r="I209" s="132">
        <v>0</v>
      </c>
    </row>
    <row r="210" spans="1:9" ht="14.25" customHeight="1" x14ac:dyDescent="0.25">
      <c r="A210" s="132" t="s">
        <v>117</v>
      </c>
      <c r="B210" s="132" t="s">
        <v>6</v>
      </c>
      <c r="C210" s="132">
        <v>-4</v>
      </c>
      <c r="D210" s="132" t="str">
        <f t="shared" si="13"/>
        <v>1/2" Hex CIM -4</v>
      </c>
      <c r="E210" s="132">
        <v>1</v>
      </c>
      <c r="I210" s="132">
        <v>0</v>
      </c>
    </row>
    <row r="211" spans="1:9" ht="14.25" customHeight="1" x14ac:dyDescent="0.25">
      <c r="A211" s="132" t="s">
        <v>117</v>
      </c>
      <c r="B211" s="132" t="s">
        <v>6</v>
      </c>
      <c r="C211" s="132">
        <v>-5</v>
      </c>
      <c r="D211" s="132" t="str">
        <f t="shared" si="13"/>
        <v>1/2" Hex CIM -5</v>
      </c>
      <c r="E211" s="132">
        <v>1</v>
      </c>
      <c r="I211" s="132">
        <v>0</v>
      </c>
    </row>
    <row r="212" spans="1:9" ht="14.25" customHeight="1" x14ac:dyDescent="0.25">
      <c r="A212" s="132" t="s">
        <v>117</v>
      </c>
      <c r="B212" s="132" t="s">
        <v>6</v>
      </c>
      <c r="C212" s="132">
        <v>-7</v>
      </c>
      <c r="D212" s="132" t="str">
        <f t="shared" si="13"/>
        <v>1/2" Hex CIM -7</v>
      </c>
      <c r="E212" s="132">
        <v>1</v>
      </c>
      <c r="I212" s="132">
        <v>0</v>
      </c>
    </row>
    <row r="213" spans="1:9" ht="14.25" customHeight="1" x14ac:dyDescent="0.25">
      <c r="A213" s="132" t="s">
        <v>117</v>
      </c>
      <c r="B213" s="132" t="s">
        <v>6</v>
      </c>
      <c r="C213" s="132">
        <v>-9</v>
      </c>
      <c r="D213" s="132" t="str">
        <f t="shared" si="13"/>
        <v>1/2" Hex CIM -9</v>
      </c>
      <c r="E213" s="132">
        <v>1</v>
      </c>
      <c r="I213" s="132">
        <v>0</v>
      </c>
    </row>
    <row r="214" spans="1:9" ht="14.25" customHeight="1" x14ac:dyDescent="0.25">
      <c r="A214" s="132" t="s">
        <v>117</v>
      </c>
      <c r="B214" s="132" t="s">
        <v>6</v>
      </c>
      <c r="C214" s="132">
        <v>-10</v>
      </c>
      <c r="D214" s="132" t="str">
        <f t="shared" si="13"/>
        <v>1/2" Hex CIM -10</v>
      </c>
      <c r="E214" s="132">
        <v>1</v>
      </c>
      <c r="I214" s="132">
        <v>0</v>
      </c>
    </row>
    <row r="215" spans="1:9" ht="14.25" customHeight="1" x14ac:dyDescent="0.25">
      <c r="A215" s="132" t="s">
        <v>117</v>
      </c>
      <c r="B215" s="132" t="s">
        <v>6</v>
      </c>
      <c r="C215" s="132">
        <v>9</v>
      </c>
      <c r="D215" s="132" t="str">
        <f t="shared" ref="D215:D235" si="14">A215&amp;" "&amp;B215&amp;" "&amp;C215</f>
        <v>1/2" Hex CIM 9</v>
      </c>
      <c r="E215" s="132">
        <v>5</v>
      </c>
      <c r="I215" s="132">
        <v>0</v>
      </c>
    </row>
    <row r="216" spans="1:9" ht="14.25" customHeight="1" x14ac:dyDescent="0.25">
      <c r="A216" s="132" t="s">
        <v>117</v>
      </c>
      <c r="B216" s="132" t="s">
        <v>6</v>
      </c>
      <c r="C216" s="132">
        <v>12</v>
      </c>
      <c r="D216" s="132" t="str">
        <f t="shared" si="14"/>
        <v>1/2" Hex CIM 12</v>
      </c>
      <c r="E216" s="132">
        <v>5</v>
      </c>
      <c r="I216" s="132">
        <v>0</v>
      </c>
    </row>
    <row r="217" spans="1:9" ht="14.25" customHeight="1" x14ac:dyDescent="0.25">
      <c r="A217" s="132" t="s">
        <v>117</v>
      </c>
      <c r="B217" s="132" t="s">
        <v>6</v>
      </c>
      <c r="C217" s="132">
        <v>15</v>
      </c>
      <c r="D217" s="132" t="str">
        <f t="shared" si="14"/>
        <v>1/2" Hex CIM 15</v>
      </c>
      <c r="E217" s="132">
        <v>4</v>
      </c>
      <c r="I217" s="132">
        <v>0</v>
      </c>
    </row>
    <row r="218" spans="1:9" ht="14.25" customHeight="1" x14ac:dyDescent="0.25">
      <c r="A218" s="132" t="s">
        <v>117</v>
      </c>
      <c r="B218" s="132" t="s">
        <v>6</v>
      </c>
      <c r="C218" s="132">
        <v>16</v>
      </c>
      <c r="D218" s="132" t="str">
        <f t="shared" si="14"/>
        <v>1/2" Hex CIM 16</v>
      </c>
      <c r="E218" s="132">
        <v>4</v>
      </c>
      <c r="I218" s="132">
        <v>0</v>
      </c>
    </row>
    <row r="219" spans="1:9" ht="14.25" customHeight="1" x14ac:dyDescent="0.25">
      <c r="A219" s="132" t="s">
        <v>117</v>
      </c>
      <c r="B219" s="132" t="s">
        <v>6</v>
      </c>
      <c r="C219" s="132">
        <v>20</v>
      </c>
      <c r="D219" s="132" t="str">
        <f t="shared" si="14"/>
        <v>1/2" Hex CIM 20</v>
      </c>
      <c r="E219" s="132">
        <v>3</v>
      </c>
      <c r="I219" s="132">
        <v>0</v>
      </c>
    </row>
    <row r="220" spans="1:9" ht="14.25" customHeight="1" x14ac:dyDescent="0.25">
      <c r="A220" s="132" t="s">
        <v>117</v>
      </c>
      <c r="B220" s="132" t="s">
        <v>6</v>
      </c>
      <c r="C220" s="132">
        <v>21</v>
      </c>
      <c r="D220" s="132" t="str">
        <f t="shared" si="14"/>
        <v>1/2" Hex CIM 21</v>
      </c>
      <c r="E220" s="132">
        <v>3</v>
      </c>
      <c r="I220" s="132">
        <v>0</v>
      </c>
    </row>
    <row r="221" spans="1:9" ht="14.25" customHeight="1" x14ac:dyDescent="0.25">
      <c r="A221" s="132" t="s">
        <v>117</v>
      </c>
      <c r="B221" s="132" t="s">
        <v>6</v>
      </c>
      <c r="C221" s="132">
        <v>25</v>
      </c>
      <c r="D221" s="132" t="str">
        <f t="shared" si="14"/>
        <v>1/2" Hex CIM 25</v>
      </c>
      <c r="E221" s="132">
        <v>1</v>
      </c>
      <c r="I221" s="132">
        <v>0</v>
      </c>
    </row>
    <row r="222" spans="1:9" ht="14.25" customHeight="1" x14ac:dyDescent="0.25">
      <c r="A222" s="132" t="s">
        <v>117</v>
      </c>
      <c r="B222" s="132" t="s">
        <v>6</v>
      </c>
      <c r="C222" s="132">
        <v>27</v>
      </c>
      <c r="D222" s="132" t="str">
        <f t="shared" si="14"/>
        <v>1/2" Hex CIM 27</v>
      </c>
      <c r="E222" s="132">
        <v>1</v>
      </c>
      <c r="I222" s="132">
        <v>0</v>
      </c>
    </row>
    <row r="223" spans="1:9" ht="14.25" customHeight="1" x14ac:dyDescent="0.25">
      <c r="A223" s="132" t="s">
        <v>117</v>
      </c>
      <c r="B223" s="132" t="s">
        <v>6</v>
      </c>
      <c r="C223" s="132">
        <v>28</v>
      </c>
      <c r="D223" s="132" t="str">
        <f t="shared" si="14"/>
        <v>1/2" Hex CIM 28</v>
      </c>
      <c r="E223" s="132">
        <v>1</v>
      </c>
      <c r="I223" s="132">
        <v>0</v>
      </c>
    </row>
    <row r="224" spans="1:9" ht="14.25" customHeight="1" x14ac:dyDescent="0.25">
      <c r="A224" s="132" t="s">
        <v>117</v>
      </c>
      <c r="B224" s="132" t="s">
        <v>6</v>
      </c>
      <c r="C224" s="132">
        <v>30</v>
      </c>
      <c r="D224" s="132" t="str">
        <f t="shared" si="14"/>
        <v>1/2" Hex CIM 30</v>
      </c>
      <c r="E224" s="132">
        <v>1</v>
      </c>
      <c r="I224" s="132">
        <v>0</v>
      </c>
    </row>
    <row r="225" spans="1:9" ht="14.25" customHeight="1" x14ac:dyDescent="0.25">
      <c r="A225" s="132" t="s">
        <v>117</v>
      </c>
      <c r="B225" s="132" t="s">
        <v>6</v>
      </c>
      <c r="C225" s="132">
        <v>35</v>
      </c>
      <c r="D225" s="132" t="str">
        <f t="shared" si="14"/>
        <v>1/2" Hex CIM 35</v>
      </c>
      <c r="E225" s="132">
        <v>1</v>
      </c>
      <c r="I225" s="132">
        <v>0</v>
      </c>
    </row>
    <row r="226" spans="1:9" ht="14.25" customHeight="1" x14ac:dyDescent="0.25">
      <c r="A226" s="132" t="s">
        <v>117</v>
      </c>
      <c r="B226" s="132" t="s">
        <v>6</v>
      </c>
      <c r="C226" s="132">
        <v>36</v>
      </c>
      <c r="D226" s="132" t="str">
        <f t="shared" si="14"/>
        <v>1/2" Hex CIM 36</v>
      </c>
      <c r="E226" s="132">
        <v>1</v>
      </c>
      <c r="I226" s="132">
        <v>0</v>
      </c>
    </row>
    <row r="227" spans="1:9" ht="14.25" customHeight="1" x14ac:dyDescent="0.25">
      <c r="A227" s="132" t="s">
        <v>117</v>
      </c>
      <c r="B227" s="132" t="s">
        <v>6</v>
      </c>
      <c r="C227" s="132">
        <v>40</v>
      </c>
      <c r="D227" s="132" t="str">
        <f t="shared" si="14"/>
        <v>1/2" Hex CIM 40</v>
      </c>
      <c r="E227" s="132">
        <v>1</v>
      </c>
      <c r="I227" s="132">
        <v>0</v>
      </c>
    </row>
    <row r="228" spans="1:9" ht="14.25" customHeight="1" x14ac:dyDescent="0.25">
      <c r="A228" s="132" t="s">
        <v>117</v>
      </c>
      <c r="B228" s="132" t="s">
        <v>6</v>
      </c>
      <c r="C228" s="132">
        <v>45</v>
      </c>
      <c r="D228" s="132" t="str">
        <f t="shared" si="14"/>
        <v>1/2" Hex CIM 45</v>
      </c>
      <c r="E228" s="132">
        <v>1</v>
      </c>
      <c r="I228" s="132">
        <v>0</v>
      </c>
    </row>
    <row r="229" spans="1:9" ht="14.25" customHeight="1" x14ac:dyDescent="0.25">
      <c r="A229" s="132" t="s">
        <v>117</v>
      </c>
      <c r="B229" s="132" t="s">
        <v>6</v>
      </c>
      <c r="C229" s="132">
        <v>49</v>
      </c>
      <c r="D229" s="132" t="str">
        <f t="shared" si="14"/>
        <v>1/2" Hex CIM 49</v>
      </c>
      <c r="E229" s="132">
        <v>0</v>
      </c>
      <c r="I229" s="132">
        <v>0</v>
      </c>
    </row>
    <row r="230" spans="1:9" ht="14.25" customHeight="1" x14ac:dyDescent="0.25">
      <c r="A230" s="132" t="s">
        <v>117</v>
      </c>
      <c r="B230" s="132" t="s">
        <v>6</v>
      </c>
      <c r="C230" s="132">
        <v>50</v>
      </c>
      <c r="D230" s="132" t="str">
        <f t="shared" si="14"/>
        <v>1/2" Hex CIM 50</v>
      </c>
      <c r="E230" s="132">
        <v>1</v>
      </c>
      <c r="I230" s="132">
        <v>0</v>
      </c>
    </row>
    <row r="231" spans="1:9" ht="14.25" customHeight="1" x14ac:dyDescent="0.25">
      <c r="A231" s="132" t="s">
        <v>117</v>
      </c>
      <c r="B231" s="132" t="s">
        <v>6</v>
      </c>
      <c r="C231" s="132">
        <v>63</v>
      </c>
      <c r="D231" s="132" t="str">
        <f t="shared" si="14"/>
        <v>1/2" Hex CIM 63</v>
      </c>
      <c r="E231" s="132">
        <v>0</v>
      </c>
      <c r="I231" s="132">
        <v>0</v>
      </c>
    </row>
    <row r="232" spans="1:9" ht="14.25" customHeight="1" x14ac:dyDescent="0.25">
      <c r="A232" s="132" t="s">
        <v>117</v>
      </c>
      <c r="B232" s="132" t="s">
        <v>6</v>
      </c>
      <c r="C232" s="132">
        <v>70</v>
      </c>
      <c r="D232" s="132" t="str">
        <f t="shared" si="14"/>
        <v>1/2" Hex CIM 70</v>
      </c>
      <c r="E232" s="132">
        <v>0</v>
      </c>
      <c r="I232" s="132">
        <v>0</v>
      </c>
    </row>
    <row r="233" spans="1:9" ht="14.25" customHeight="1" x14ac:dyDescent="0.25">
      <c r="A233" s="132" t="s">
        <v>117</v>
      </c>
      <c r="B233" s="132" t="s">
        <v>6</v>
      </c>
      <c r="C233" s="132">
        <v>81</v>
      </c>
      <c r="D233" s="132" t="str">
        <f t="shared" si="14"/>
        <v>1/2" Hex CIM 81</v>
      </c>
      <c r="E233" s="132">
        <v>0</v>
      </c>
      <c r="I233" s="132">
        <v>0</v>
      </c>
    </row>
    <row r="234" spans="1:9" ht="14.25" customHeight="1" x14ac:dyDescent="0.25">
      <c r="A234" s="132" t="s">
        <v>117</v>
      </c>
      <c r="B234" s="132" t="s">
        <v>6</v>
      </c>
      <c r="C234" s="132">
        <v>90</v>
      </c>
      <c r="D234" s="132" t="str">
        <f t="shared" si="14"/>
        <v>1/2" Hex CIM 90</v>
      </c>
      <c r="E234" s="132">
        <v>0</v>
      </c>
      <c r="I234" s="132">
        <v>0</v>
      </c>
    </row>
    <row r="235" spans="1:9" ht="14.25" customHeight="1" x14ac:dyDescent="0.25">
      <c r="A235" s="132" t="s">
        <v>117</v>
      </c>
      <c r="B235" s="132" t="s">
        <v>6</v>
      </c>
      <c r="C235" s="132">
        <v>100</v>
      </c>
      <c r="D235" s="132" t="str">
        <f t="shared" si="14"/>
        <v>1/2" Hex CIM 100</v>
      </c>
      <c r="E235" s="132">
        <v>0</v>
      </c>
      <c r="I235" s="132">
        <v>0</v>
      </c>
    </row>
    <row r="236" spans="1:9" ht="14.25" customHeight="1" x14ac:dyDescent="0.25">
      <c r="A236" s="132" t="s">
        <v>117</v>
      </c>
      <c r="B236" s="132" t="s">
        <v>9</v>
      </c>
      <c r="C236" s="132">
        <v>-3</v>
      </c>
      <c r="D236" s="132" t="str">
        <f t="shared" ref="D236:D241" si="15">A236&amp;" "&amp;B236&amp;" "&amp;C236</f>
        <v>1/2" Hex NEO -3</v>
      </c>
      <c r="E236" s="132">
        <v>1</v>
      </c>
      <c r="I236" s="132">
        <v>0</v>
      </c>
    </row>
    <row r="237" spans="1:9" ht="14.25" customHeight="1" x14ac:dyDescent="0.25">
      <c r="A237" s="132" t="s">
        <v>117</v>
      </c>
      <c r="B237" s="132" t="s">
        <v>9</v>
      </c>
      <c r="C237" s="132">
        <v>-4</v>
      </c>
      <c r="D237" s="132" t="str">
        <f t="shared" si="15"/>
        <v>1/2" Hex NEO -4</v>
      </c>
      <c r="E237" s="132">
        <v>1</v>
      </c>
      <c r="I237" s="132">
        <v>0</v>
      </c>
    </row>
    <row r="238" spans="1:9" ht="14.25" customHeight="1" x14ac:dyDescent="0.25">
      <c r="A238" s="132" t="s">
        <v>117</v>
      </c>
      <c r="B238" s="132" t="s">
        <v>9</v>
      </c>
      <c r="C238" s="132">
        <v>-5</v>
      </c>
      <c r="D238" s="132" t="str">
        <f t="shared" si="15"/>
        <v>1/2" Hex NEO -5</v>
      </c>
      <c r="E238" s="132">
        <v>1</v>
      </c>
      <c r="I238" s="132">
        <v>0</v>
      </c>
    </row>
    <row r="239" spans="1:9" ht="14.25" customHeight="1" x14ac:dyDescent="0.25">
      <c r="A239" s="132" t="s">
        <v>117</v>
      </c>
      <c r="B239" s="132" t="s">
        <v>9</v>
      </c>
      <c r="C239" s="132">
        <v>-7</v>
      </c>
      <c r="D239" s="132" t="str">
        <f t="shared" si="15"/>
        <v>1/2" Hex NEO -7</v>
      </c>
      <c r="E239" s="132">
        <v>1</v>
      </c>
      <c r="I239" s="132">
        <v>0</v>
      </c>
    </row>
    <row r="240" spans="1:9" ht="14.25" customHeight="1" x14ac:dyDescent="0.25">
      <c r="A240" s="132" t="s">
        <v>117</v>
      </c>
      <c r="B240" s="132" t="s">
        <v>9</v>
      </c>
      <c r="C240" s="132">
        <v>-9</v>
      </c>
      <c r="D240" s="132" t="str">
        <f t="shared" si="15"/>
        <v>1/2" Hex NEO -9</v>
      </c>
      <c r="E240" s="132">
        <v>1</v>
      </c>
      <c r="I240" s="132">
        <v>0</v>
      </c>
    </row>
    <row r="241" spans="1:9" ht="14.25" customHeight="1" x14ac:dyDescent="0.25">
      <c r="A241" s="132" t="s">
        <v>117</v>
      </c>
      <c r="B241" s="132" t="s">
        <v>9</v>
      </c>
      <c r="C241" s="132">
        <v>-10</v>
      </c>
      <c r="D241" s="132" t="str">
        <f t="shared" si="15"/>
        <v>1/2" Hex NEO -10</v>
      </c>
      <c r="E241" s="132">
        <v>1</v>
      </c>
      <c r="I241" s="132">
        <v>0</v>
      </c>
    </row>
    <row r="242" spans="1:9" ht="14.25" customHeight="1" x14ac:dyDescent="0.25">
      <c r="A242" s="132" t="s">
        <v>117</v>
      </c>
      <c r="B242" s="132" t="s">
        <v>9</v>
      </c>
      <c r="C242" s="132">
        <v>9</v>
      </c>
      <c r="D242" s="132" t="str">
        <f t="shared" ref="D242:D262" si="16">A242&amp;" "&amp;B242&amp;" "&amp;C242</f>
        <v>1/2" Hex NEO 9</v>
      </c>
      <c r="E242" s="132">
        <v>5</v>
      </c>
      <c r="I242" s="132">
        <v>0</v>
      </c>
    </row>
    <row r="243" spans="1:9" ht="14.25" customHeight="1" x14ac:dyDescent="0.25">
      <c r="A243" s="132" t="s">
        <v>117</v>
      </c>
      <c r="B243" s="132" t="s">
        <v>9</v>
      </c>
      <c r="C243" s="132">
        <v>12</v>
      </c>
      <c r="D243" s="132" t="str">
        <f t="shared" si="16"/>
        <v>1/2" Hex NEO 12</v>
      </c>
      <c r="E243" s="132">
        <v>3</v>
      </c>
      <c r="I243" s="132">
        <v>0</v>
      </c>
    </row>
    <row r="244" spans="1:9" ht="14.25" customHeight="1" x14ac:dyDescent="0.25">
      <c r="A244" s="132" t="s">
        <v>117</v>
      </c>
      <c r="B244" s="132" t="s">
        <v>9</v>
      </c>
      <c r="C244" s="132">
        <v>15</v>
      </c>
      <c r="D244" s="132" t="str">
        <f t="shared" si="16"/>
        <v>1/2" Hex NEO 15</v>
      </c>
      <c r="E244" s="132">
        <v>3</v>
      </c>
      <c r="I244" s="132">
        <v>0</v>
      </c>
    </row>
    <row r="245" spans="1:9" ht="14.25" customHeight="1" x14ac:dyDescent="0.25">
      <c r="A245" s="132" t="s">
        <v>117</v>
      </c>
      <c r="B245" s="132" t="s">
        <v>9</v>
      </c>
      <c r="C245" s="132">
        <v>16</v>
      </c>
      <c r="D245" s="132" t="str">
        <f t="shared" si="16"/>
        <v>1/2" Hex NEO 16</v>
      </c>
      <c r="E245" s="132">
        <v>1</v>
      </c>
      <c r="I245" s="132">
        <v>0</v>
      </c>
    </row>
    <row r="246" spans="1:9" ht="14.25" customHeight="1" x14ac:dyDescent="0.25">
      <c r="A246" s="132" t="s">
        <v>117</v>
      </c>
      <c r="B246" s="132" t="s">
        <v>9</v>
      </c>
      <c r="C246" s="132">
        <v>20</v>
      </c>
      <c r="D246" s="132" t="str">
        <f t="shared" si="16"/>
        <v>1/2" Hex NEO 20</v>
      </c>
      <c r="E246" s="132">
        <v>1</v>
      </c>
      <c r="I246" s="132">
        <v>0</v>
      </c>
    </row>
    <row r="247" spans="1:9" ht="14.25" customHeight="1" x14ac:dyDescent="0.25">
      <c r="A247" s="132" t="s">
        <v>117</v>
      </c>
      <c r="B247" s="132" t="s">
        <v>9</v>
      </c>
      <c r="C247" s="132">
        <v>21</v>
      </c>
      <c r="D247" s="132" t="str">
        <f t="shared" si="16"/>
        <v>1/2" Hex NEO 21</v>
      </c>
      <c r="E247" s="132">
        <v>1</v>
      </c>
      <c r="I247" s="132">
        <v>0</v>
      </c>
    </row>
    <row r="248" spans="1:9" ht="14.25" customHeight="1" x14ac:dyDescent="0.25">
      <c r="A248" s="132" t="s">
        <v>117</v>
      </c>
      <c r="B248" s="132" t="s">
        <v>9</v>
      </c>
      <c r="C248" s="132">
        <v>25</v>
      </c>
      <c r="D248" s="132" t="str">
        <f t="shared" si="16"/>
        <v>1/2" Hex NEO 25</v>
      </c>
      <c r="E248" s="132">
        <v>1</v>
      </c>
      <c r="I248" s="132">
        <v>0</v>
      </c>
    </row>
    <row r="249" spans="1:9" ht="14.25" customHeight="1" x14ac:dyDescent="0.25">
      <c r="A249" s="132" t="s">
        <v>117</v>
      </c>
      <c r="B249" s="132" t="s">
        <v>9</v>
      </c>
      <c r="C249" s="132">
        <v>27</v>
      </c>
      <c r="D249" s="132" t="str">
        <f t="shared" si="16"/>
        <v>1/2" Hex NEO 27</v>
      </c>
      <c r="E249" s="132">
        <v>1</v>
      </c>
      <c r="I249" s="132">
        <v>0</v>
      </c>
    </row>
    <row r="250" spans="1:9" ht="14.25" customHeight="1" x14ac:dyDescent="0.25">
      <c r="A250" s="132" t="s">
        <v>117</v>
      </c>
      <c r="B250" s="132" t="s">
        <v>9</v>
      </c>
      <c r="C250" s="132">
        <v>28</v>
      </c>
      <c r="D250" s="132" t="str">
        <f t="shared" si="16"/>
        <v>1/2" Hex NEO 28</v>
      </c>
      <c r="E250" s="132">
        <v>1</v>
      </c>
      <c r="I250" s="132">
        <v>0</v>
      </c>
    </row>
    <row r="251" spans="1:9" ht="14.25" customHeight="1" x14ac:dyDescent="0.25">
      <c r="A251" s="132" t="s">
        <v>117</v>
      </c>
      <c r="B251" s="132" t="s">
        <v>9</v>
      </c>
      <c r="C251" s="132">
        <v>30</v>
      </c>
      <c r="D251" s="132" t="str">
        <f t="shared" si="16"/>
        <v>1/2" Hex NEO 30</v>
      </c>
      <c r="E251" s="132">
        <v>1</v>
      </c>
      <c r="I251" s="132">
        <v>0</v>
      </c>
    </row>
    <row r="252" spans="1:9" ht="14.25" customHeight="1" x14ac:dyDescent="0.25">
      <c r="A252" s="132" t="s">
        <v>117</v>
      </c>
      <c r="B252" s="132" t="s">
        <v>9</v>
      </c>
      <c r="C252" s="132">
        <v>35</v>
      </c>
      <c r="D252" s="132" t="str">
        <f t="shared" si="16"/>
        <v>1/2" Hex NEO 35</v>
      </c>
      <c r="E252" s="132">
        <v>1</v>
      </c>
      <c r="I252" s="132">
        <v>0</v>
      </c>
    </row>
    <row r="253" spans="1:9" ht="14.25" customHeight="1" x14ac:dyDescent="0.25">
      <c r="A253" s="132" t="s">
        <v>117</v>
      </c>
      <c r="B253" s="132" t="s">
        <v>9</v>
      </c>
      <c r="C253" s="132">
        <v>36</v>
      </c>
      <c r="D253" s="132" t="str">
        <f t="shared" si="16"/>
        <v>1/2" Hex NEO 36</v>
      </c>
      <c r="E253" s="132">
        <v>1</v>
      </c>
      <c r="I253" s="132">
        <v>0</v>
      </c>
    </row>
    <row r="254" spans="1:9" ht="14.25" customHeight="1" x14ac:dyDescent="0.25">
      <c r="A254" s="132" t="s">
        <v>117</v>
      </c>
      <c r="B254" s="132" t="s">
        <v>9</v>
      </c>
      <c r="C254" s="132">
        <v>40</v>
      </c>
      <c r="D254" s="132" t="str">
        <f t="shared" si="16"/>
        <v>1/2" Hex NEO 40</v>
      </c>
      <c r="E254" s="132">
        <v>1</v>
      </c>
      <c r="I254" s="132">
        <v>0</v>
      </c>
    </row>
    <row r="255" spans="1:9" ht="14.25" customHeight="1" x14ac:dyDescent="0.25">
      <c r="A255" s="132" t="s">
        <v>117</v>
      </c>
      <c r="B255" s="132" t="s">
        <v>9</v>
      </c>
      <c r="C255" s="132">
        <v>45</v>
      </c>
      <c r="D255" s="132" t="str">
        <f t="shared" si="16"/>
        <v>1/2" Hex NEO 45</v>
      </c>
      <c r="E255" s="132">
        <v>1</v>
      </c>
      <c r="I255" s="132">
        <v>0</v>
      </c>
    </row>
    <row r="256" spans="1:9" ht="14.25" customHeight="1" x14ac:dyDescent="0.25">
      <c r="A256" s="132" t="s">
        <v>117</v>
      </c>
      <c r="B256" s="132" t="s">
        <v>9</v>
      </c>
      <c r="C256" s="132">
        <v>49</v>
      </c>
      <c r="D256" s="132" t="str">
        <f t="shared" si="16"/>
        <v>1/2" Hex NEO 49</v>
      </c>
      <c r="E256" s="132">
        <v>0</v>
      </c>
      <c r="I256" s="132">
        <v>0</v>
      </c>
    </row>
    <row r="257" spans="1:9" ht="14.25" customHeight="1" x14ac:dyDescent="0.25">
      <c r="A257" s="132" t="s">
        <v>117</v>
      </c>
      <c r="B257" s="132" t="s">
        <v>9</v>
      </c>
      <c r="C257" s="132">
        <v>50</v>
      </c>
      <c r="D257" s="132" t="str">
        <f t="shared" si="16"/>
        <v>1/2" Hex NEO 50</v>
      </c>
      <c r="E257" s="132">
        <v>0</v>
      </c>
      <c r="I257" s="132">
        <v>0</v>
      </c>
    </row>
    <row r="258" spans="1:9" ht="14.25" customHeight="1" x14ac:dyDescent="0.25">
      <c r="A258" s="132" t="s">
        <v>117</v>
      </c>
      <c r="B258" s="132" t="s">
        <v>9</v>
      </c>
      <c r="C258" s="132">
        <v>63</v>
      </c>
      <c r="D258" s="132" t="str">
        <f t="shared" si="16"/>
        <v>1/2" Hex NEO 63</v>
      </c>
      <c r="E258" s="132">
        <v>0</v>
      </c>
      <c r="I258" s="132">
        <v>0</v>
      </c>
    </row>
    <row r="259" spans="1:9" ht="14.25" customHeight="1" x14ac:dyDescent="0.25">
      <c r="A259" s="132" t="s">
        <v>117</v>
      </c>
      <c r="B259" s="132" t="s">
        <v>9</v>
      </c>
      <c r="C259" s="132">
        <v>70</v>
      </c>
      <c r="D259" s="132" t="str">
        <f t="shared" si="16"/>
        <v>1/2" Hex NEO 70</v>
      </c>
      <c r="E259" s="132">
        <v>0</v>
      </c>
      <c r="I259" s="132">
        <v>0</v>
      </c>
    </row>
    <row r="260" spans="1:9" ht="14.25" customHeight="1" x14ac:dyDescent="0.25">
      <c r="A260" s="132" t="s">
        <v>117</v>
      </c>
      <c r="B260" s="132" t="s">
        <v>9</v>
      </c>
      <c r="C260" s="132">
        <v>81</v>
      </c>
      <c r="D260" s="132" t="str">
        <f t="shared" si="16"/>
        <v>1/2" Hex NEO 81</v>
      </c>
      <c r="E260" s="132">
        <v>0</v>
      </c>
      <c r="I260" s="132">
        <v>0</v>
      </c>
    </row>
    <row r="261" spans="1:9" ht="14.25" customHeight="1" x14ac:dyDescent="0.25">
      <c r="A261" s="132" t="s">
        <v>117</v>
      </c>
      <c r="B261" s="132" t="s">
        <v>9</v>
      </c>
      <c r="C261" s="132">
        <v>90</v>
      </c>
      <c r="D261" s="132" t="str">
        <f t="shared" si="16"/>
        <v>1/2" Hex NEO 90</v>
      </c>
      <c r="E261" s="132">
        <v>0</v>
      </c>
      <c r="I261" s="132">
        <v>0</v>
      </c>
    </row>
    <row r="262" spans="1:9" ht="14.25" customHeight="1" x14ac:dyDescent="0.25">
      <c r="A262" s="132" t="s">
        <v>117</v>
      </c>
      <c r="B262" s="132" t="s">
        <v>9</v>
      </c>
      <c r="C262" s="132">
        <v>100</v>
      </c>
      <c r="D262" s="132" t="str">
        <f t="shared" si="16"/>
        <v>1/2" Hex NEO 100</v>
      </c>
      <c r="E262" s="132">
        <v>0</v>
      </c>
      <c r="I262" s="132">
        <v>0</v>
      </c>
    </row>
    <row r="263" spans="1:9" ht="14.25" customHeight="1" x14ac:dyDescent="0.25">
      <c r="A263" s="132" t="s">
        <v>117</v>
      </c>
      <c r="B263" s="132" t="s">
        <v>333</v>
      </c>
      <c r="C263" s="132">
        <v>-3</v>
      </c>
      <c r="D263" s="132" t="str">
        <f t="shared" ref="D263:D268" si="17">A263&amp;" "&amp;B263&amp;" "&amp;C263</f>
        <v>1/2" Hex Falcon 500 -3</v>
      </c>
      <c r="E263" s="132">
        <v>1</v>
      </c>
      <c r="I263" s="132">
        <v>0</v>
      </c>
    </row>
    <row r="264" spans="1:9" ht="14.25" customHeight="1" x14ac:dyDescent="0.25">
      <c r="A264" s="132" t="s">
        <v>117</v>
      </c>
      <c r="B264" s="132" t="s">
        <v>333</v>
      </c>
      <c r="C264" s="132">
        <v>-4</v>
      </c>
      <c r="D264" s="132" t="str">
        <f t="shared" si="17"/>
        <v>1/2" Hex Falcon 500 -4</v>
      </c>
      <c r="E264" s="132">
        <v>1</v>
      </c>
      <c r="I264" s="132">
        <v>0</v>
      </c>
    </row>
    <row r="265" spans="1:9" ht="14.25" customHeight="1" x14ac:dyDescent="0.25">
      <c r="A265" s="132" t="s">
        <v>117</v>
      </c>
      <c r="B265" s="132" t="s">
        <v>333</v>
      </c>
      <c r="C265" s="132">
        <v>-5</v>
      </c>
      <c r="D265" s="132" t="str">
        <f t="shared" si="17"/>
        <v>1/2" Hex Falcon 500 -5</v>
      </c>
      <c r="E265" s="132">
        <v>1</v>
      </c>
      <c r="I265" s="132">
        <v>0</v>
      </c>
    </row>
    <row r="266" spans="1:9" ht="14.25" customHeight="1" x14ac:dyDescent="0.25">
      <c r="A266" s="132" t="s">
        <v>117</v>
      </c>
      <c r="B266" s="132" t="s">
        <v>333</v>
      </c>
      <c r="C266" s="132">
        <v>-7</v>
      </c>
      <c r="D266" s="132" t="str">
        <f t="shared" si="17"/>
        <v>1/2" Hex Falcon 500 -7</v>
      </c>
      <c r="E266" s="132">
        <v>1</v>
      </c>
      <c r="I266" s="132">
        <v>0</v>
      </c>
    </row>
    <row r="267" spans="1:9" ht="14.25" customHeight="1" x14ac:dyDescent="0.25">
      <c r="A267" s="132" t="s">
        <v>117</v>
      </c>
      <c r="B267" s="132" t="s">
        <v>333</v>
      </c>
      <c r="C267" s="132">
        <v>-9</v>
      </c>
      <c r="D267" s="132" t="str">
        <f t="shared" si="17"/>
        <v>1/2" Hex Falcon 500 -9</v>
      </c>
      <c r="E267" s="132">
        <v>1</v>
      </c>
      <c r="I267" s="132">
        <v>0</v>
      </c>
    </row>
    <row r="268" spans="1:9" ht="14.25" customHeight="1" x14ac:dyDescent="0.25">
      <c r="A268" s="132" t="s">
        <v>117</v>
      </c>
      <c r="B268" s="132" t="s">
        <v>333</v>
      </c>
      <c r="C268" s="132">
        <v>-10</v>
      </c>
      <c r="D268" s="132" t="str">
        <f t="shared" si="17"/>
        <v>1/2" Hex Falcon 500 -10</v>
      </c>
      <c r="E268" s="132">
        <v>1</v>
      </c>
      <c r="I268" s="132">
        <v>0</v>
      </c>
    </row>
    <row r="269" spans="1:9" ht="14.25" customHeight="1" x14ac:dyDescent="0.25">
      <c r="A269" s="132" t="s">
        <v>117</v>
      </c>
      <c r="B269" s="132" t="s">
        <v>333</v>
      </c>
      <c r="C269" s="132">
        <v>9</v>
      </c>
      <c r="D269" s="132" t="str">
        <f t="shared" ref="D269:D289" si="18">A269&amp;" "&amp;B269&amp;" "&amp;C269</f>
        <v>1/2" Hex Falcon 500 9</v>
      </c>
      <c r="E269" s="132">
        <v>3</v>
      </c>
      <c r="I269" s="132">
        <v>0</v>
      </c>
    </row>
    <row r="270" spans="1:9" ht="14.25" customHeight="1" x14ac:dyDescent="0.25">
      <c r="A270" s="132" t="s">
        <v>117</v>
      </c>
      <c r="B270" s="132" t="s">
        <v>333</v>
      </c>
      <c r="C270" s="132">
        <v>12</v>
      </c>
      <c r="D270" s="132" t="str">
        <f t="shared" si="18"/>
        <v>1/2" Hex Falcon 500 12</v>
      </c>
      <c r="E270" s="132">
        <v>1</v>
      </c>
      <c r="I270" s="132">
        <v>0</v>
      </c>
    </row>
    <row r="271" spans="1:9" ht="14.25" customHeight="1" x14ac:dyDescent="0.25">
      <c r="A271" s="132" t="s">
        <v>117</v>
      </c>
      <c r="B271" s="132" t="s">
        <v>333</v>
      </c>
      <c r="C271" s="132">
        <v>15</v>
      </c>
      <c r="D271" s="132" t="str">
        <f t="shared" si="18"/>
        <v>1/2" Hex Falcon 500 15</v>
      </c>
      <c r="E271" s="132">
        <v>1</v>
      </c>
      <c r="I271" s="132">
        <v>0</v>
      </c>
    </row>
    <row r="272" spans="1:9" ht="14.25" customHeight="1" x14ac:dyDescent="0.25">
      <c r="A272" s="132" t="s">
        <v>117</v>
      </c>
      <c r="B272" s="132" t="s">
        <v>333</v>
      </c>
      <c r="C272" s="132">
        <v>16</v>
      </c>
      <c r="D272" s="132" t="str">
        <f t="shared" si="18"/>
        <v>1/2" Hex Falcon 500 16</v>
      </c>
      <c r="E272" s="132">
        <v>1</v>
      </c>
      <c r="I272" s="132">
        <v>0</v>
      </c>
    </row>
    <row r="273" spans="1:9" ht="14.25" customHeight="1" x14ac:dyDescent="0.25">
      <c r="A273" s="132" t="s">
        <v>117</v>
      </c>
      <c r="B273" s="132" t="s">
        <v>333</v>
      </c>
      <c r="C273" s="132">
        <v>20</v>
      </c>
      <c r="D273" s="132" t="str">
        <f t="shared" si="18"/>
        <v>1/2" Hex Falcon 500 20</v>
      </c>
      <c r="E273" s="132">
        <v>1</v>
      </c>
      <c r="I273" s="132">
        <v>0</v>
      </c>
    </row>
    <row r="274" spans="1:9" ht="14.25" customHeight="1" x14ac:dyDescent="0.25">
      <c r="A274" s="132" t="s">
        <v>117</v>
      </c>
      <c r="B274" s="132" t="s">
        <v>333</v>
      </c>
      <c r="C274" s="132">
        <v>21</v>
      </c>
      <c r="D274" s="132" t="str">
        <f t="shared" si="18"/>
        <v>1/2" Hex Falcon 500 21</v>
      </c>
      <c r="E274" s="132">
        <v>1</v>
      </c>
      <c r="I274" s="132">
        <v>0</v>
      </c>
    </row>
    <row r="275" spans="1:9" ht="14.25" customHeight="1" x14ac:dyDescent="0.25">
      <c r="A275" s="132" t="s">
        <v>117</v>
      </c>
      <c r="B275" s="132" t="s">
        <v>333</v>
      </c>
      <c r="C275" s="132">
        <v>25</v>
      </c>
      <c r="D275" s="132" t="str">
        <f t="shared" si="18"/>
        <v>1/2" Hex Falcon 500 25</v>
      </c>
      <c r="E275" s="132">
        <v>1</v>
      </c>
      <c r="I275" s="132">
        <v>0</v>
      </c>
    </row>
    <row r="276" spans="1:9" ht="14.25" customHeight="1" x14ac:dyDescent="0.25">
      <c r="A276" s="132" t="s">
        <v>117</v>
      </c>
      <c r="B276" s="132" t="s">
        <v>333</v>
      </c>
      <c r="C276" s="132">
        <v>27</v>
      </c>
      <c r="D276" s="132" t="str">
        <f t="shared" si="18"/>
        <v>1/2" Hex Falcon 500 27</v>
      </c>
      <c r="E276" s="132">
        <v>1</v>
      </c>
      <c r="I276" s="132">
        <v>0</v>
      </c>
    </row>
    <row r="277" spans="1:9" ht="14.25" customHeight="1" x14ac:dyDescent="0.25">
      <c r="A277" s="132" t="s">
        <v>117</v>
      </c>
      <c r="B277" s="132" t="s">
        <v>333</v>
      </c>
      <c r="C277" s="132">
        <v>28</v>
      </c>
      <c r="D277" s="132" t="str">
        <f t="shared" si="18"/>
        <v>1/2" Hex Falcon 500 28</v>
      </c>
      <c r="E277" s="132">
        <v>1</v>
      </c>
      <c r="I277" s="132">
        <v>0</v>
      </c>
    </row>
    <row r="278" spans="1:9" ht="14.25" customHeight="1" x14ac:dyDescent="0.25">
      <c r="A278" s="132" t="s">
        <v>117</v>
      </c>
      <c r="B278" s="132" t="s">
        <v>333</v>
      </c>
      <c r="C278" s="132">
        <v>30</v>
      </c>
      <c r="D278" s="132" t="str">
        <f t="shared" si="18"/>
        <v>1/2" Hex Falcon 500 30</v>
      </c>
      <c r="E278" s="132">
        <v>1</v>
      </c>
      <c r="I278" s="132">
        <v>0</v>
      </c>
    </row>
    <row r="279" spans="1:9" ht="14.25" customHeight="1" x14ac:dyDescent="0.25">
      <c r="A279" s="132" t="s">
        <v>117</v>
      </c>
      <c r="B279" s="132" t="s">
        <v>333</v>
      </c>
      <c r="C279" s="132">
        <v>35</v>
      </c>
      <c r="D279" s="132" t="str">
        <f t="shared" si="18"/>
        <v>1/2" Hex Falcon 500 35</v>
      </c>
      <c r="E279" s="132">
        <v>0</v>
      </c>
      <c r="I279" s="132">
        <v>0</v>
      </c>
    </row>
    <row r="280" spans="1:9" ht="14.25" customHeight="1" x14ac:dyDescent="0.25">
      <c r="A280" s="132" t="s">
        <v>117</v>
      </c>
      <c r="B280" s="132" t="s">
        <v>333</v>
      </c>
      <c r="C280" s="132">
        <v>36</v>
      </c>
      <c r="D280" s="132" t="str">
        <f t="shared" si="18"/>
        <v>1/2" Hex Falcon 500 36</v>
      </c>
      <c r="E280" s="132">
        <v>0</v>
      </c>
      <c r="I280" s="132">
        <v>0</v>
      </c>
    </row>
    <row r="281" spans="1:9" ht="14.25" customHeight="1" x14ac:dyDescent="0.25">
      <c r="A281" s="132" t="s">
        <v>117</v>
      </c>
      <c r="B281" s="132" t="s">
        <v>333</v>
      </c>
      <c r="C281" s="132">
        <v>40</v>
      </c>
      <c r="D281" s="132" t="str">
        <f t="shared" si="18"/>
        <v>1/2" Hex Falcon 500 40</v>
      </c>
      <c r="E281" s="132">
        <v>0</v>
      </c>
      <c r="I281" s="132">
        <v>0</v>
      </c>
    </row>
    <row r="282" spans="1:9" ht="14.25" customHeight="1" x14ac:dyDescent="0.25">
      <c r="A282" s="132" t="s">
        <v>117</v>
      </c>
      <c r="B282" s="132" t="s">
        <v>333</v>
      </c>
      <c r="C282" s="132">
        <v>45</v>
      </c>
      <c r="D282" s="132" t="str">
        <f t="shared" si="18"/>
        <v>1/2" Hex Falcon 500 45</v>
      </c>
      <c r="E282" s="132">
        <v>0</v>
      </c>
      <c r="I282" s="132">
        <v>0</v>
      </c>
    </row>
    <row r="283" spans="1:9" ht="14.25" customHeight="1" x14ac:dyDescent="0.25">
      <c r="A283" s="132" t="s">
        <v>117</v>
      </c>
      <c r="B283" s="132" t="s">
        <v>333</v>
      </c>
      <c r="C283" s="132">
        <v>49</v>
      </c>
      <c r="D283" s="132" t="str">
        <f t="shared" si="18"/>
        <v>1/2" Hex Falcon 500 49</v>
      </c>
      <c r="E283" s="132">
        <v>0</v>
      </c>
      <c r="I283" s="132">
        <v>0</v>
      </c>
    </row>
    <row r="284" spans="1:9" ht="14.25" customHeight="1" x14ac:dyDescent="0.25">
      <c r="A284" s="132" t="s">
        <v>117</v>
      </c>
      <c r="B284" s="132" t="s">
        <v>333</v>
      </c>
      <c r="C284" s="132">
        <v>50</v>
      </c>
      <c r="D284" s="132" t="str">
        <f t="shared" si="18"/>
        <v>1/2" Hex Falcon 500 50</v>
      </c>
      <c r="E284" s="132">
        <v>0</v>
      </c>
      <c r="I284" s="132">
        <v>0</v>
      </c>
    </row>
    <row r="285" spans="1:9" ht="14.25" customHeight="1" x14ac:dyDescent="0.25">
      <c r="A285" s="132" t="s">
        <v>117</v>
      </c>
      <c r="B285" s="132" t="s">
        <v>333</v>
      </c>
      <c r="C285" s="132">
        <v>63</v>
      </c>
      <c r="D285" s="132" t="str">
        <f t="shared" si="18"/>
        <v>1/2" Hex Falcon 500 63</v>
      </c>
      <c r="E285" s="132">
        <v>0</v>
      </c>
      <c r="I285" s="132">
        <v>0</v>
      </c>
    </row>
    <row r="286" spans="1:9" ht="14.25" customHeight="1" x14ac:dyDescent="0.25">
      <c r="A286" s="132" t="s">
        <v>117</v>
      </c>
      <c r="B286" s="132" t="s">
        <v>333</v>
      </c>
      <c r="C286" s="132">
        <v>70</v>
      </c>
      <c r="D286" s="132" t="str">
        <f t="shared" si="18"/>
        <v>1/2" Hex Falcon 500 70</v>
      </c>
      <c r="E286" s="132">
        <v>0</v>
      </c>
      <c r="I286" s="132">
        <v>0</v>
      </c>
    </row>
    <row r="287" spans="1:9" ht="14.25" customHeight="1" x14ac:dyDescent="0.25">
      <c r="A287" s="132" t="s">
        <v>117</v>
      </c>
      <c r="B287" s="132" t="s">
        <v>333</v>
      </c>
      <c r="C287" s="132">
        <v>81</v>
      </c>
      <c r="D287" s="132" t="str">
        <f t="shared" si="18"/>
        <v>1/2" Hex Falcon 500 81</v>
      </c>
      <c r="E287" s="132">
        <v>0</v>
      </c>
      <c r="I287" s="132">
        <v>0</v>
      </c>
    </row>
    <row r="288" spans="1:9" ht="14.25" customHeight="1" x14ac:dyDescent="0.25">
      <c r="A288" s="132" t="s">
        <v>117</v>
      </c>
      <c r="B288" s="132" t="s">
        <v>333</v>
      </c>
      <c r="C288" s="132">
        <v>90</v>
      </c>
      <c r="D288" s="132" t="str">
        <f t="shared" si="18"/>
        <v>1/2" Hex Falcon 500 90</v>
      </c>
      <c r="E288" s="132">
        <v>0</v>
      </c>
      <c r="I288" s="132">
        <v>0</v>
      </c>
    </row>
    <row r="289" spans="1:9" ht="14.25" customHeight="1" x14ac:dyDescent="0.25">
      <c r="A289" s="132" t="s">
        <v>117</v>
      </c>
      <c r="B289" s="132" t="s">
        <v>333</v>
      </c>
      <c r="C289" s="132">
        <v>100</v>
      </c>
      <c r="D289" s="132" t="str">
        <f t="shared" si="18"/>
        <v>1/2" Hex Falcon 500 100</v>
      </c>
      <c r="E289" s="132">
        <v>0</v>
      </c>
      <c r="I289" s="132">
        <v>0</v>
      </c>
    </row>
    <row r="290" spans="1:9" ht="14.25" customHeight="1" x14ac:dyDescent="0.25">
      <c r="A290" s="132" t="s">
        <v>240</v>
      </c>
      <c r="B290" s="132" t="s">
        <v>11</v>
      </c>
      <c r="C290" s="132">
        <v>-3</v>
      </c>
      <c r="D290" s="132" t="str">
        <f t="shared" ref="D290:D295" si="19">A290&amp;" "&amp;B290&amp;" "&amp;C290</f>
        <v>1/2" Round AM 9015 -3</v>
      </c>
      <c r="E290" s="132">
        <v>1</v>
      </c>
      <c r="I290" s="132">
        <v>1</v>
      </c>
    </row>
    <row r="291" spans="1:9" ht="14.25" customHeight="1" x14ac:dyDescent="0.25">
      <c r="A291" s="132" t="s">
        <v>240</v>
      </c>
      <c r="B291" s="132" t="s">
        <v>11</v>
      </c>
      <c r="C291" s="132">
        <v>-4</v>
      </c>
      <c r="D291" s="132" t="str">
        <f t="shared" si="19"/>
        <v>1/2" Round AM 9015 -4</v>
      </c>
      <c r="E291" s="132">
        <v>1</v>
      </c>
      <c r="I291" s="132">
        <v>1</v>
      </c>
    </row>
    <row r="292" spans="1:9" ht="14.25" customHeight="1" x14ac:dyDescent="0.25">
      <c r="A292" s="132" t="s">
        <v>240</v>
      </c>
      <c r="B292" s="132" t="s">
        <v>11</v>
      </c>
      <c r="C292" s="132">
        <v>-5</v>
      </c>
      <c r="D292" s="132" t="str">
        <f t="shared" si="19"/>
        <v>1/2" Round AM 9015 -5</v>
      </c>
      <c r="E292" s="132">
        <v>1</v>
      </c>
      <c r="I292" s="132">
        <v>1</v>
      </c>
    </row>
    <row r="293" spans="1:9" ht="14.25" customHeight="1" x14ac:dyDescent="0.25">
      <c r="A293" s="132" t="s">
        <v>240</v>
      </c>
      <c r="B293" s="132" t="s">
        <v>11</v>
      </c>
      <c r="C293" s="132">
        <v>-7</v>
      </c>
      <c r="D293" s="132" t="str">
        <f t="shared" si="19"/>
        <v>1/2" Round AM 9015 -7</v>
      </c>
      <c r="E293" s="132">
        <v>1</v>
      </c>
      <c r="I293" s="132">
        <v>1</v>
      </c>
    </row>
    <row r="294" spans="1:9" ht="14.25" customHeight="1" x14ac:dyDescent="0.25">
      <c r="A294" s="132" t="s">
        <v>240</v>
      </c>
      <c r="B294" s="132" t="s">
        <v>11</v>
      </c>
      <c r="C294" s="132">
        <v>-9</v>
      </c>
      <c r="D294" s="132" t="str">
        <f t="shared" si="19"/>
        <v>1/2" Round AM 9015 -9</v>
      </c>
      <c r="E294" s="132">
        <v>1</v>
      </c>
      <c r="I294" s="132">
        <v>1</v>
      </c>
    </row>
    <row r="295" spans="1:9" ht="14.25" customHeight="1" x14ac:dyDescent="0.25">
      <c r="A295" s="132" t="s">
        <v>240</v>
      </c>
      <c r="B295" s="132" t="s">
        <v>11</v>
      </c>
      <c r="C295" s="132">
        <v>-10</v>
      </c>
      <c r="D295" s="132" t="str">
        <f t="shared" si="19"/>
        <v>1/2" Round AM 9015 -10</v>
      </c>
      <c r="E295" s="132">
        <v>1</v>
      </c>
      <c r="I295" s="132">
        <v>1</v>
      </c>
    </row>
    <row r="296" spans="1:9" ht="14.25" customHeight="1" x14ac:dyDescent="0.25">
      <c r="A296" s="132" t="s">
        <v>240</v>
      </c>
      <c r="B296" s="132" t="s">
        <v>11</v>
      </c>
      <c r="C296" s="132">
        <v>9</v>
      </c>
      <c r="D296" s="132" t="str">
        <f t="shared" ref="D296:D316" si="20">A296&amp;" "&amp;B296&amp;" "&amp;C296</f>
        <v>1/2" Round AM 9015 9</v>
      </c>
      <c r="E296" s="132">
        <v>10</v>
      </c>
      <c r="I296" s="132">
        <v>10</v>
      </c>
    </row>
    <row r="297" spans="1:9" ht="14.25" customHeight="1" x14ac:dyDescent="0.25">
      <c r="A297" s="132" t="s">
        <v>240</v>
      </c>
      <c r="B297" s="132" t="s">
        <v>11</v>
      </c>
      <c r="C297" s="132">
        <v>12</v>
      </c>
      <c r="D297" s="132" t="str">
        <f t="shared" si="20"/>
        <v>1/2" Round AM 9015 12</v>
      </c>
      <c r="E297" s="132">
        <v>10</v>
      </c>
      <c r="I297" s="132">
        <v>7</v>
      </c>
    </row>
    <row r="298" spans="1:9" ht="14.25" customHeight="1" x14ac:dyDescent="0.25">
      <c r="A298" s="132" t="s">
        <v>240</v>
      </c>
      <c r="B298" s="132" t="s">
        <v>11</v>
      </c>
      <c r="C298" s="132">
        <v>15</v>
      </c>
      <c r="D298" s="132" t="str">
        <f t="shared" si="20"/>
        <v>1/2" Round AM 9015 15</v>
      </c>
      <c r="E298" s="132">
        <v>10</v>
      </c>
      <c r="I298" s="132">
        <v>5</v>
      </c>
    </row>
    <row r="299" spans="1:9" ht="14.25" customHeight="1" x14ac:dyDescent="0.25">
      <c r="A299" s="132" t="s">
        <v>240</v>
      </c>
      <c r="B299" s="132" t="s">
        <v>11</v>
      </c>
      <c r="C299" s="132">
        <v>16</v>
      </c>
      <c r="D299" s="132" t="str">
        <f t="shared" si="20"/>
        <v>1/2" Round AM 9015 16</v>
      </c>
      <c r="E299" s="132">
        <v>10</v>
      </c>
      <c r="I299" s="132">
        <v>5</v>
      </c>
    </row>
    <row r="300" spans="1:9" ht="14.25" customHeight="1" x14ac:dyDescent="0.25">
      <c r="A300" s="132" t="s">
        <v>240</v>
      </c>
      <c r="B300" s="132" t="s">
        <v>11</v>
      </c>
      <c r="C300" s="132">
        <v>20</v>
      </c>
      <c r="D300" s="132" t="str">
        <f t="shared" si="20"/>
        <v>1/2" Round AM 9015 20</v>
      </c>
      <c r="E300" s="132">
        <v>10</v>
      </c>
      <c r="I300" s="132">
        <v>4</v>
      </c>
    </row>
    <row r="301" spans="1:9" ht="14.25" customHeight="1" x14ac:dyDescent="0.25">
      <c r="A301" s="132" t="s">
        <v>240</v>
      </c>
      <c r="B301" s="132" t="s">
        <v>11</v>
      </c>
      <c r="C301" s="132">
        <v>21</v>
      </c>
      <c r="D301" s="132" t="str">
        <f t="shared" si="20"/>
        <v>1/2" Round AM 9015 21</v>
      </c>
      <c r="E301" s="132">
        <v>10</v>
      </c>
      <c r="I301" s="132">
        <v>4</v>
      </c>
    </row>
    <row r="302" spans="1:9" ht="14.25" customHeight="1" x14ac:dyDescent="0.25">
      <c r="A302" s="132" t="s">
        <v>240</v>
      </c>
      <c r="B302" s="132" t="s">
        <v>11</v>
      </c>
      <c r="C302" s="132">
        <v>25</v>
      </c>
      <c r="D302" s="132" t="str">
        <f t="shared" si="20"/>
        <v>1/2" Round AM 9015 25</v>
      </c>
      <c r="E302" s="132">
        <v>7</v>
      </c>
      <c r="I302" s="132">
        <v>3</v>
      </c>
    </row>
    <row r="303" spans="1:9" ht="14.25" customHeight="1" x14ac:dyDescent="0.25">
      <c r="A303" s="132" t="s">
        <v>240</v>
      </c>
      <c r="B303" s="132" t="s">
        <v>11</v>
      </c>
      <c r="C303" s="132">
        <v>27</v>
      </c>
      <c r="D303" s="132" t="str">
        <f t="shared" si="20"/>
        <v>1/2" Round AM 9015 27</v>
      </c>
      <c r="E303" s="132">
        <v>7</v>
      </c>
      <c r="I303" s="132">
        <v>3</v>
      </c>
    </row>
    <row r="304" spans="1:9" ht="14.25" customHeight="1" x14ac:dyDescent="0.25">
      <c r="A304" s="132" t="s">
        <v>240</v>
      </c>
      <c r="B304" s="132" t="s">
        <v>11</v>
      </c>
      <c r="C304" s="132">
        <v>28</v>
      </c>
      <c r="D304" s="132" t="str">
        <f t="shared" si="20"/>
        <v>1/2" Round AM 9015 28</v>
      </c>
      <c r="E304" s="132">
        <v>7</v>
      </c>
      <c r="I304" s="132">
        <v>3</v>
      </c>
    </row>
    <row r="305" spans="1:9" ht="14.25" customHeight="1" x14ac:dyDescent="0.25">
      <c r="A305" s="132" t="s">
        <v>240</v>
      </c>
      <c r="B305" s="132" t="s">
        <v>11</v>
      </c>
      <c r="C305" s="132">
        <v>30</v>
      </c>
      <c r="D305" s="132" t="str">
        <f t="shared" si="20"/>
        <v>1/2" Round AM 9015 30</v>
      </c>
      <c r="E305" s="132">
        <v>7</v>
      </c>
      <c r="I305" s="132">
        <v>3</v>
      </c>
    </row>
    <row r="306" spans="1:9" ht="14.25" customHeight="1" x14ac:dyDescent="0.25">
      <c r="A306" s="132" t="s">
        <v>240</v>
      </c>
      <c r="B306" s="132" t="s">
        <v>11</v>
      </c>
      <c r="C306" s="132">
        <v>35</v>
      </c>
      <c r="D306" s="132" t="str">
        <f t="shared" si="20"/>
        <v>1/2" Round AM 9015 35</v>
      </c>
      <c r="E306" s="132">
        <v>5</v>
      </c>
      <c r="I306" s="132">
        <v>1</v>
      </c>
    </row>
    <row r="307" spans="1:9" ht="14.25" customHeight="1" x14ac:dyDescent="0.25">
      <c r="A307" s="132" t="s">
        <v>240</v>
      </c>
      <c r="B307" s="132" t="s">
        <v>11</v>
      </c>
      <c r="C307" s="132">
        <v>36</v>
      </c>
      <c r="D307" s="132" t="str">
        <f t="shared" si="20"/>
        <v>1/2" Round AM 9015 36</v>
      </c>
      <c r="E307" s="132">
        <v>5</v>
      </c>
      <c r="I307" s="132">
        <v>1</v>
      </c>
    </row>
    <row r="308" spans="1:9" ht="14.25" customHeight="1" x14ac:dyDescent="0.25">
      <c r="A308" s="132" t="s">
        <v>240</v>
      </c>
      <c r="B308" s="132" t="s">
        <v>11</v>
      </c>
      <c r="C308" s="132">
        <v>40</v>
      </c>
      <c r="D308" s="132" t="str">
        <f t="shared" si="20"/>
        <v>1/2" Round AM 9015 40</v>
      </c>
      <c r="E308" s="132">
        <v>5</v>
      </c>
      <c r="I308" s="132">
        <v>1</v>
      </c>
    </row>
    <row r="309" spans="1:9" ht="14.25" customHeight="1" x14ac:dyDescent="0.25">
      <c r="A309" s="132" t="s">
        <v>240</v>
      </c>
      <c r="B309" s="132" t="s">
        <v>11</v>
      </c>
      <c r="C309" s="132">
        <v>45</v>
      </c>
      <c r="D309" s="132" t="str">
        <f t="shared" si="20"/>
        <v>1/2" Round AM 9015 45</v>
      </c>
      <c r="E309" s="132">
        <v>5</v>
      </c>
      <c r="I309" s="132">
        <v>1</v>
      </c>
    </row>
    <row r="310" spans="1:9" ht="14.25" customHeight="1" x14ac:dyDescent="0.25">
      <c r="A310" s="132" t="s">
        <v>240</v>
      </c>
      <c r="B310" s="132" t="s">
        <v>11</v>
      </c>
      <c r="C310" s="132">
        <v>49</v>
      </c>
      <c r="D310" s="132" t="str">
        <f t="shared" si="20"/>
        <v>1/2" Round AM 9015 49</v>
      </c>
      <c r="E310" s="132">
        <v>5</v>
      </c>
      <c r="I310" s="132">
        <v>1</v>
      </c>
    </row>
    <row r="311" spans="1:9" ht="14.25" customHeight="1" x14ac:dyDescent="0.25">
      <c r="A311" s="132" t="s">
        <v>240</v>
      </c>
      <c r="B311" s="132" t="s">
        <v>11</v>
      </c>
      <c r="C311" s="132">
        <v>50</v>
      </c>
      <c r="D311" s="132" t="str">
        <f t="shared" si="20"/>
        <v>1/2" Round AM 9015 50</v>
      </c>
      <c r="E311" s="132">
        <v>5</v>
      </c>
      <c r="I311" s="132">
        <v>1</v>
      </c>
    </row>
    <row r="312" spans="1:9" ht="14.25" customHeight="1" x14ac:dyDescent="0.25">
      <c r="A312" s="132" t="s">
        <v>240</v>
      </c>
      <c r="B312" s="132" t="s">
        <v>11</v>
      </c>
      <c r="C312" s="132">
        <v>63</v>
      </c>
      <c r="D312" s="132" t="str">
        <f t="shared" si="20"/>
        <v>1/2" Round AM 9015 63</v>
      </c>
      <c r="E312" s="132">
        <v>4</v>
      </c>
      <c r="I312" s="132">
        <v>1</v>
      </c>
    </row>
    <row r="313" spans="1:9" ht="14.25" customHeight="1" x14ac:dyDescent="0.25">
      <c r="A313" s="132" t="s">
        <v>240</v>
      </c>
      <c r="B313" s="132" t="s">
        <v>11</v>
      </c>
      <c r="C313" s="132">
        <v>70</v>
      </c>
      <c r="D313" s="132" t="str">
        <f t="shared" si="20"/>
        <v>1/2" Round AM 9015 70</v>
      </c>
      <c r="E313" s="132">
        <v>4</v>
      </c>
      <c r="I313" s="132">
        <v>1</v>
      </c>
    </row>
    <row r="314" spans="1:9" ht="14.25" customHeight="1" x14ac:dyDescent="0.25">
      <c r="A314" s="132" t="s">
        <v>240</v>
      </c>
      <c r="B314" s="132" t="s">
        <v>11</v>
      </c>
      <c r="C314" s="132">
        <v>81</v>
      </c>
      <c r="D314" s="132" t="str">
        <f t="shared" si="20"/>
        <v>1/2" Round AM 9015 81</v>
      </c>
      <c r="E314" s="132">
        <v>3</v>
      </c>
      <c r="I314" s="132">
        <v>1</v>
      </c>
    </row>
    <row r="315" spans="1:9" ht="14.25" customHeight="1" x14ac:dyDescent="0.25">
      <c r="A315" s="132" t="s">
        <v>240</v>
      </c>
      <c r="B315" s="132" t="s">
        <v>11</v>
      </c>
      <c r="C315" s="132">
        <v>90</v>
      </c>
      <c r="D315" s="132" t="str">
        <f t="shared" si="20"/>
        <v>1/2" Round AM 9015 90</v>
      </c>
      <c r="E315" s="132">
        <v>3</v>
      </c>
      <c r="I315" s="132">
        <v>1</v>
      </c>
    </row>
    <row r="316" spans="1:9" ht="14.25" customHeight="1" x14ac:dyDescent="0.25">
      <c r="A316" s="132" t="s">
        <v>240</v>
      </c>
      <c r="B316" s="132" t="s">
        <v>11</v>
      </c>
      <c r="C316" s="132">
        <v>100</v>
      </c>
      <c r="D316" s="132" t="str">
        <f t="shared" si="20"/>
        <v>1/2" Round AM 9015 100</v>
      </c>
      <c r="E316" s="132">
        <v>1</v>
      </c>
      <c r="I316" s="132">
        <v>0</v>
      </c>
    </row>
    <row r="317" spans="1:9" ht="14.25" customHeight="1" x14ac:dyDescent="0.25">
      <c r="A317" s="132" t="s">
        <v>240</v>
      </c>
      <c r="B317" s="132" t="s">
        <v>326</v>
      </c>
      <c r="C317" s="132">
        <v>-3</v>
      </c>
      <c r="D317" s="132" t="str">
        <f t="shared" ref="D317:D322" si="21">A317&amp;" "&amp;B317&amp;" "&amp;C317</f>
        <v>1/2" Round BB RS-550 -3</v>
      </c>
      <c r="E317" s="132">
        <v>1</v>
      </c>
      <c r="F317" s="132">
        <v>1</v>
      </c>
      <c r="G317" s="132">
        <v>1</v>
      </c>
      <c r="H317" s="132">
        <v>1</v>
      </c>
      <c r="I317" s="132">
        <v>1</v>
      </c>
    </row>
    <row r="318" spans="1:9" ht="14.25" customHeight="1" x14ac:dyDescent="0.25">
      <c r="A318" s="132" t="s">
        <v>240</v>
      </c>
      <c r="B318" s="132" t="s">
        <v>326</v>
      </c>
      <c r="C318" s="132">
        <v>-4</v>
      </c>
      <c r="D318" s="132" t="str">
        <f t="shared" si="21"/>
        <v>1/2" Round BB RS-550 -4</v>
      </c>
      <c r="E318" s="132">
        <v>1</v>
      </c>
      <c r="F318" s="132">
        <v>1</v>
      </c>
      <c r="G318" s="132">
        <v>1</v>
      </c>
      <c r="H318" s="132">
        <v>0</v>
      </c>
      <c r="I318" s="132">
        <v>1</v>
      </c>
    </row>
    <row r="319" spans="1:9" ht="14.25" customHeight="1" x14ac:dyDescent="0.25">
      <c r="A319" s="132" t="s">
        <v>240</v>
      </c>
      <c r="B319" s="132" t="s">
        <v>326</v>
      </c>
      <c r="C319" s="132">
        <v>-5</v>
      </c>
      <c r="D319" s="132" t="str">
        <f t="shared" si="21"/>
        <v>1/2" Round BB RS-550 -5</v>
      </c>
      <c r="E319" s="132">
        <v>1</v>
      </c>
      <c r="F319" s="132">
        <v>1</v>
      </c>
      <c r="G319" s="132">
        <v>1</v>
      </c>
      <c r="H319" s="132">
        <v>0</v>
      </c>
      <c r="I319" s="132">
        <v>1</v>
      </c>
    </row>
    <row r="320" spans="1:9" ht="14.25" customHeight="1" x14ac:dyDescent="0.25">
      <c r="A320" s="132" t="s">
        <v>240</v>
      </c>
      <c r="B320" s="132" t="s">
        <v>326</v>
      </c>
      <c r="C320" s="132">
        <v>-7</v>
      </c>
      <c r="D320" s="132" t="str">
        <f t="shared" si="21"/>
        <v>1/2" Round BB RS-550 -7</v>
      </c>
      <c r="E320" s="132">
        <v>1</v>
      </c>
      <c r="F320" s="132">
        <v>1</v>
      </c>
      <c r="G320" s="132">
        <v>1</v>
      </c>
      <c r="H320" s="132">
        <v>0</v>
      </c>
      <c r="I320" s="132">
        <v>1</v>
      </c>
    </row>
    <row r="321" spans="1:9" ht="14.25" customHeight="1" x14ac:dyDescent="0.25">
      <c r="A321" s="132" t="s">
        <v>240</v>
      </c>
      <c r="B321" s="132" t="s">
        <v>326</v>
      </c>
      <c r="C321" s="132">
        <v>-9</v>
      </c>
      <c r="D321" s="132" t="str">
        <f t="shared" si="21"/>
        <v>1/2" Round BB RS-550 -9</v>
      </c>
      <c r="E321" s="132">
        <v>1</v>
      </c>
      <c r="F321" s="132">
        <v>1</v>
      </c>
      <c r="G321" s="132">
        <v>0</v>
      </c>
      <c r="H321" s="132">
        <v>0</v>
      </c>
      <c r="I321" s="132">
        <v>1</v>
      </c>
    </row>
    <row r="322" spans="1:9" ht="14.25" customHeight="1" x14ac:dyDescent="0.25">
      <c r="A322" s="132" t="s">
        <v>240</v>
      </c>
      <c r="B322" s="132" t="s">
        <v>326</v>
      </c>
      <c r="C322" s="132">
        <v>-10</v>
      </c>
      <c r="D322" s="132" t="str">
        <f t="shared" si="21"/>
        <v>1/2" Round BB RS-550 -10</v>
      </c>
      <c r="E322" s="132">
        <v>1</v>
      </c>
      <c r="F322" s="132">
        <v>1</v>
      </c>
      <c r="G322" s="132">
        <v>0</v>
      </c>
      <c r="H322" s="132">
        <v>0</v>
      </c>
      <c r="I322" s="132">
        <v>1</v>
      </c>
    </row>
    <row r="323" spans="1:9" ht="14.25" customHeight="1" x14ac:dyDescent="0.25">
      <c r="A323" s="132" t="s">
        <v>240</v>
      </c>
      <c r="B323" s="132" t="s">
        <v>326</v>
      </c>
      <c r="C323" s="132">
        <v>9</v>
      </c>
      <c r="D323" s="132" t="str">
        <f t="shared" ref="D323:D343" si="22">A323&amp;" "&amp;B323&amp;" "&amp;C323</f>
        <v>1/2" Round BB RS-550 9</v>
      </c>
      <c r="E323" s="132">
        <v>10</v>
      </c>
      <c r="F323" s="132">
        <v>10</v>
      </c>
      <c r="G323" s="132">
        <v>1</v>
      </c>
      <c r="H323" s="132">
        <v>0</v>
      </c>
      <c r="I323" s="132">
        <v>10</v>
      </c>
    </row>
    <row r="324" spans="1:9" ht="14.25" customHeight="1" x14ac:dyDescent="0.25">
      <c r="A324" s="132" t="s">
        <v>240</v>
      </c>
      <c r="B324" s="132" t="s">
        <v>326</v>
      </c>
      <c r="C324" s="132">
        <v>12</v>
      </c>
      <c r="D324" s="132" t="str">
        <f t="shared" si="22"/>
        <v>1/2" Round BB RS-550 12</v>
      </c>
      <c r="E324" s="132">
        <v>10</v>
      </c>
      <c r="F324" s="132">
        <v>7</v>
      </c>
      <c r="G324" s="132">
        <v>0</v>
      </c>
      <c r="H324" s="132">
        <v>0</v>
      </c>
      <c r="I324" s="132">
        <v>7</v>
      </c>
    </row>
    <row r="325" spans="1:9" ht="14.25" customHeight="1" x14ac:dyDescent="0.25">
      <c r="A325" s="132" t="s">
        <v>240</v>
      </c>
      <c r="B325" s="132" t="s">
        <v>326</v>
      </c>
      <c r="C325" s="132">
        <v>15</v>
      </c>
      <c r="D325" s="132" t="str">
        <f t="shared" si="22"/>
        <v>1/2" Round BB RS-550 15</v>
      </c>
      <c r="E325" s="132">
        <v>10</v>
      </c>
      <c r="F325" s="132">
        <v>5</v>
      </c>
      <c r="G325" s="132">
        <v>0</v>
      </c>
      <c r="H325" s="132">
        <v>0</v>
      </c>
      <c r="I325" s="132">
        <v>5</v>
      </c>
    </row>
    <row r="326" spans="1:9" ht="14.25" customHeight="1" x14ac:dyDescent="0.25">
      <c r="A326" s="132" t="s">
        <v>240</v>
      </c>
      <c r="B326" s="132" t="s">
        <v>326</v>
      </c>
      <c r="C326" s="132">
        <v>16</v>
      </c>
      <c r="D326" s="132" t="str">
        <f t="shared" si="22"/>
        <v>1/2" Round BB RS-550 16</v>
      </c>
      <c r="E326" s="132">
        <v>10</v>
      </c>
      <c r="F326" s="132">
        <v>5</v>
      </c>
      <c r="G326" s="132">
        <v>0</v>
      </c>
      <c r="H326" s="132">
        <v>0</v>
      </c>
      <c r="I326" s="132">
        <v>5</v>
      </c>
    </row>
    <row r="327" spans="1:9" ht="14.25" customHeight="1" x14ac:dyDescent="0.25">
      <c r="A327" s="132" t="s">
        <v>240</v>
      </c>
      <c r="B327" s="132" t="s">
        <v>326</v>
      </c>
      <c r="C327" s="132">
        <v>20</v>
      </c>
      <c r="D327" s="132" t="str">
        <f t="shared" si="22"/>
        <v>1/2" Round BB RS-550 20</v>
      </c>
      <c r="E327" s="132">
        <v>9</v>
      </c>
      <c r="F327" s="132">
        <v>5</v>
      </c>
      <c r="G327" s="132">
        <v>0</v>
      </c>
      <c r="H327" s="132">
        <v>0</v>
      </c>
      <c r="I327" s="132">
        <v>4</v>
      </c>
    </row>
    <row r="328" spans="1:9" ht="14.25" customHeight="1" x14ac:dyDescent="0.25">
      <c r="A328" s="132" t="s">
        <v>240</v>
      </c>
      <c r="B328" s="132" t="s">
        <v>326</v>
      </c>
      <c r="C328" s="132">
        <v>21</v>
      </c>
      <c r="D328" s="132" t="str">
        <f t="shared" si="22"/>
        <v>1/2" Round BB RS-550 21</v>
      </c>
      <c r="E328" s="132">
        <v>9</v>
      </c>
      <c r="F328" s="132">
        <v>5</v>
      </c>
      <c r="G328" s="132">
        <v>0</v>
      </c>
      <c r="H328" s="132">
        <v>0</v>
      </c>
      <c r="I328" s="132">
        <v>4</v>
      </c>
    </row>
    <row r="329" spans="1:9" ht="14.25" customHeight="1" x14ac:dyDescent="0.25">
      <c r="A329" s="132" t="s">
        <v>240</v>
      </c>
      <c r="B329" s="132" t="s">
        <v>326</v>
      </c>
      <c r="C329" s="132">
        <v>25</v>
      </c>
      <c r="D329" s="132" t="str">
        <f t="shared" si="22"/>
        <v>1/2" Round BB RS-550 25</v>
      </c>
      <c r="E329" s="132">
        <v>7</v>
      </c>
      <c r="F329" s="132">
        <v>5</v>
      </c>
      <c r="G329" s="132">
        <v>0</v>
      </c>
      <c r="H329" s="132">
        <v>0</v>
      </c>
      <c r="I329" s="132">
        <v>3</v>
      </c>
    </row>
    <row r="330" spans="1:9" ht="14.25" customHeight="1" x14ac:dyDescent="0.25">
      <c r="A330" s="132" t="s">
        <v>240</v>
      </c>
      <c r="B330" s="132" t="s">
        <v>326</v>
      </c>
      <c r="C330" s="132">
        <v>27</v>
      </c>
      <c r="D330" s="132" t="str">
        <f t="shared" si="22"/>
        <v>1/2" Round BB RS-550 27</v>
      </c>
      <c r="E330" s="132">
        <v>7</v>
      </c>
      <c r="F330" s="132">
        <v>4</v>
      </c>
      <c r="G330" s="132">
        <v>0</v>
      </c>
      <c r="H330" s="132">
        <v>0</v>
      </c>
      <c r="I330" s="132">
        <v>3</v>
      </c>
    </row>
    <row r="331" spans="1:9" ht="14.25" customHeight="1" x14ac:dyDescent="0.25">
      <c r="A331" s="132" t="s">
        <v>240</v>
      </c>
      <c r="B331" s="132" t="s">
        <v>326</v>
      </c>
      <c r="C331" s="132">
        <v>28</v>
      </c>
      <c r="D331" s="132" t="str">
        <f t="shared" si="22"/>
        <v>1/2" Round BB RS-550 28</v>
      </c>
      <c r="E331" s="132">
        <v>7</v>
      </c>
      <c r="F331" s="132">
        <v>4</v>
      </c>
      <c r="G331" s="132">
        <v>0</v>
      </c>
      <c r="H331" s="132">
        <v>0</v>
      </c>
      <c r="I331" s="132">
        <v>3</v>
      </c>
    </row>
    <row r="332" spans="1:9" ht="14.25" customHeight="1" x14ac:dyDescent="0.25">
      <c r="A332" s="132" t="s">
        <v>240</v>
      </c>
      <c r="B332" s="132" t="s">
        <v>326</v>
      </c>
      <c r="C332" s="132">
        <v>30</v>
      </c>
      <c r="D332" s="132" t="str">
        <f t="shared" si="22"/>
        <v>1/2" Round BB RS-550 30</v>
      </c>
      <c r="E332" s="132">
        <v>5</v>
      </c>
      <c r="F332" s="132">
        <v>4</v>
      </c>
      <c r="G332" s="132">
        <v>0</v>
      </c>
      <c r="H332" s="132">
        <v>0</v>
      </c>
      <c r="I332" s="132">
        <v>3</v>
      </c>
    </row>
    <row r="333" spans="1:9" ht="14.25" customHeight="1" x14ac:dyDescent="0.25">
      <c r="A333" s="132" t="s">
        <v>240</v>
      </c>
      <c r="B333" s="132" t="s">
        <v>326</v>
      </c>
      <c r="C333" s="132">
        <v>35</v>
      </c>
      <c r="D333" s="132" t="str">
        <f t="shared" si="22"/>
        <v>1/2" Round BB RS-550 35</v>
      </c>
      <c r="E333" s="132">
        <v>5</v>
      </c>
      <c r="F333" s="132">
        <v>3</v>
      </c>
      <c r="G333" s="132">
        <v>0</v>
      </c>
      <c r="H333" s="132">
        <v>0</v>
      </c>
      <c r="I333" s="132">
        <v>1</v>
      </c>
    </row>
    <row r="334" spans="1:9" ht="14.25" customHeight="1" x14ac:dyDescent="0.25">
      <c r="A334" s="132" t="s">
        <v>240</v>
      </c>
      <c r="B334" s="132" t="s">
        <v>326</v>
      </c>
      <c r="C334" s="132">
        <v>36</v>
      </c>
      <c r="D334" s="132" t="str">
        <f t="shared" si="22"/>
        <v>1/2" Round BB RS-550 36</v>
      </c>
      <c r="E334" s="132">
        <v>5</v>
      </c>
      <c r="F334" s="132">
        <v>3</v>
      </c>
      <c r="G334" s="132">
        <v>0</v>
      </c>
      <c r="H334" s="132">
        <v>0</v>
      </c>
      <c r="I334" s="132">
        <v>1</v>
      </c>
    </row>
    <row r="335" spans="1:9" ht="14.25" customHeight="1" x14ac:dyDescent="0.25">
      <c r="A335" s="132" t="s">
        <v>240</v>
      </c>
      <c r="B335" s="132" t="s">
        <v>326</v>
      </c>
      <c r="C335" s="132">
        <v>40</v>
      </c>
      <c r="D335" s="132" t="str">
        <f t="shared" si="22"/>
        <v>1/2" Round BB RS-550 40</v>
      </c>
      <c r="E335" s="132">
        <v>5</v>
      </c>
      <c r="F335" s="132">
        <v>3</v>
      </c>
      <c r="G335" s="132">
        <v>0</v>
      </c>
      <c r="H335" s="132">
        <v>0</v>
      </c>
      <c r="I335" s="132">
        <v>1</v>
      </c>
    </row>
    <row r="336" spans="1:9" ht="14.25" customHeight="1" x14ac:dyDescent="0.25">
      <c r="A336" s="132" t="s">
        <v>240</v>
      </c>
      <c r="B336" s="132" t="s">
        <v>326</v>
      </c>
      <c r="C336" s="132">
        <v>45</v>
      </c>
      <c r="D336" s="132" t="str">
        <f t="shared" si="22"/>
        <v>1/2" Round BB RS-550 45</v>
      </c>
      <c r="E336" s="132">
        <v>5</v>
      </c>
      <c r="F336" s="132">
        <v>1</v>
      </c>
      <c r="G336" s="132">
        <v>0</v>
      </c>
      <c r="H336" s="132">
        <v>0</v>
      </c>
      <c r="I336" s="132">
        <v>1</v>
      </c>
    </row>
    <row r="337" spans="1:9" ht="14.25" customHeight="1" x14ac:dyDescent="0.25">
      <c r="A337" s="132" t="s">
        <v>240</v>
      </c>
      <c r="B337" s="132" t="s">
        <v>326</v>
      </c>
      <c r="C337" s="132">
        <v>49</v>
      </c>
      <c r="D337" s="132" t="str">
        <f t="shared" si="22"/>
        <v>1/2" Round BB RS-550 49</v>
      </c>
      <c r="E337" s="132">
        <v>5</v>
      </c>
      <c r="F337" s="132">
        <v>1</v>
      </c>
      <c r="G337" s="132">
        <v>0</v>
      </c>
      <c r="H337" s="132">
        <v>0</v>
      </c>
      <c r="I337" s="132">
        <v>1</v>
      </c>
    </row>
    <row r="338" spans="1:9" ht="14.25" customHeight="1" x14ac:dyDescent="0.25">
      <c r="A338" s="132" t="s">
        <v>240</v>
      </c>
      <c r="B338" s="132" t="s">
        <v>326</v>
      </c>
      <c r="C338" s="132">
        <v>50</v>
      </c>
      <c r="D338" s="132" t="str">
        <f t="shared" si="22"/>
        <v>1/2" Round BB RS-550 50</v>
      </c>
      <c r="E338" s="132">
        <v>5</v>
      </c>
      <c r="F338" s="132">
        <v>1</v>
      </c>
      <c r="G338" s="132">
        <v>0</v>
      </c>
      <c r="H338" s="132">
        <v>0</v>
      </c>
      <c r="I338" s="132">
        <v>1</v>
      </c>
    </row>
    <row r="339" spans="1:9" ht="14.25" customHeight="1" x14ac:dyDescent="0.25">
      <c r="A339" s="132" t="s">
        <v>240</v>
      </c>
      <c r="B339" s="132" t="s">
        <v>326</v>
      </c>
      <c r="C339" s="132">
        <v>63</v>
      </c>
      <c r="D339" s="132" t="str">
        <f t="shared" si="22"/>
        <v>1/2" Round BB RS-550 63</v>
      </c>
      <c r="E339" s="132">
        <v>4</v>
      </c>
      <c r="F339" s="132">
        <v>1</v>
      </c>
      <c r="G339" s="132">
        <v>0</v>
      </c>
      <c r="H339" s="132">
        <v>0</v>
      </c>
      <c r="I339" s="132">
        <v>1</v>
      </c>
    </row>
    <row r="340" spans="1:9" ht="14.25" customHeight="1" x14ac:dyDescent="0.25">
      <c r="A340" s="132" t="s">
        <v>240</v>
      </c>
      <c r="B340" s="132" t="s">
        <v>326</v>
      </c>
      <c r="C340" s="132">
        <v>70</v>
      </c>
      <c r="D340" s="132" t="str">
        <f t="shared" si="22"/>
        <v>1/2" Round BB RS-550 70</v>
      </c>
      <c r="E340" s="132">
        <v>3</v>
      </c>
      <c r="F340" s="132">
        <v>1</v>
      </c>
      <c r="G340" s="132">
        <v>0</v>
      </c>
      <c r="H340" s="132">
        <v>0</v>
      </c>
      <c r="I340" s="132">
        <v>1</v>
      </c>
    </row>
    <row r="341" spans="1:9" ht="14.25" customHeight="1" x14ac:dyDescent="0.25">
      <c r="A341" s="132" t="s">
        <v>240</v>
      </c>
      <c r="B341" s="132" t="s">
        <v>326</v>
      </c>
      <c r="C341" s="132">
        <v>81</v>
      </c>
      <c r="D341" s="132" t="str">
        <f t="shared" si="22"/>
        <v>1/2" Round BB RS-550 81</v>
      </c>
      <c r="E341" s="132">
        <v>3</v>
      </c>
      <c r="F341" s="132">
        <v>1</v>
      </c>
      <c r="G341" s="132">
        <v>0</v>
      </c>
      <c r="H341" s="132">
        <v>0</v>
      </c>
      <c r="I341" s="132">
        <v>1</v>
      </c>
    </row>
    <row r="342" spans="1:9" ht="14.25" customHeight="1" x14ac:dyDescent="0.25">
      <c r="A342" s="132" t="s">
        <v>240</v>
      </c>
      <c r="B342" s="132" t="s">
        <v>326</v>
      </c>
      <c r="C342" s="132">
        <v>90</v>
      </c>
      <c r="D342" s="132" t="str">
        <f t="shared" si="22"/>
        <v>1/2" Round BB RS-550 90</v>
      </c>
      <c r="E342" s="132">
        <v>1</v>
      </c>
      <c r="F342" s="132">
        <v>1</v>
      </c>
      <c r="G342" s="132">
        <v>0</v>
      </c>
      <c r="H342" s="132">
        <v>0</v>
      </c>
      <c r="I342" s="132">
        <v>1</v>
      </c>
    </row>
    <row r="343" spans="1:9" ht="14.25" customHeight="1" x14ac:dyDescent="0.25">
      <c r="A343" s="132" t="s">
        <v>240</v>
      </c>
      <c r="B343" s="132" t="s">
        <v>326</v>
      </c>
      <c r="C343" s="132">
        <v>100</v>
      </c>
      <c r="D343" s="132" t="str">
        <f t="shared" si="22"/>
        <v>1/2" Round BB RS-550 100</v>
      </c>
      <c r="E343" s="132">
        <v>1</v>
      </c>
      <c r="F343" s="132">
        <v>0</v>
      </c>
      <c r="G343" s="132">
        <v>0</v>
      </c>
      <c r="H343" s="132">
        <v>0</v>
      </c>
      <c r="I343" s="132">
        <v>0</v>
      </c>
    </row>
    <row r="344" spans="1:9" ht="14.25" customHeight="1" x14ac:dyDescent="0.25">
      <c r="A344" s="132" t="s">
        <v>240</v>
      </c>
      <c r="B344" s="132" t="s">
        <v>327</v>
      </c>
      <c r="C344" s="132">
        <v>-3</v>
      </c>
      <c r="D344" s="132" t="str">
        <f t="shared" ref="D344:D349" si="23">A344&amp;" "&amp;B344&amp;" "&amp;C344</f>
        <v>1/2" Round BB RS-775 -3</v>
      </c>
      <c r="E344" s="132">
        <v>1</v>
      </c>
      <c r="F344" s="132">
        <v>1</v>
      </c>
      <c r="G344" s="132">
        <v>1</v>
      </c>
      <c r="H344" s="132">
        <v>0</v>
      </c>
      <c r="I344" s="132">
        <v>1</v>
      </c>
    </row>
    <row r="345" spans="1:9" ht="14.25" customHeight="1" x14ac:dyDescent="0.25">
      <c r="A345" s="132" t="s">
        <v>240</v>
      </c>
      <c r="B345" s="132" t="s">
        <v>327</v>
      </c>
      <c r="C345" s="132">
        <v>-4</v>
      </c>
      <c r="D345" s="132" t="str">
        <f t="shared" si="23"/>
        <v>1/2" Round BB RS-775 -4</v>
      </c>
      <c r="E345" s="132">
        <v>1</v>
      </c>
      <c r="F345" s="132">
        <v>1</v>
      </c>
      <c r="G345" s="132">
        <v>1</v>
      </c>
      <c r="H345" s="132">
        <v>0</v>
      </c>
      <c r="I345" s="132">
        <v>1</v>
      </c>
    </row>
    <row r="346" spans="1:9" ht="14.25" customHeight="1" x14ac:dyDescent="0.25">
      <c r="A346" s="132" t="s">
        <v>240</v>
      </c>
      <c r="B346" s="132" t="s">
        <v>327</v>
      </c>
      <c r="C346" s="132">
        <v>-5</v>
      </c>
      <c r="D346" s="132" t="str">
        <f t="shared" si="23"/>
        <v>1/2" Round BB RS-775 -5</v>
      </c>
      <c r="E346" s="132">
        <v>1</v>
      </c>
      <c r="F346" s="132">
        <v>1</v>
      </c>
      <c r="G346" s="132">
        <v>1</v>
      </c>
      <c r="H346" s="132">
        <v>0</v>
      </c>
      <c r="I346" s="132">
        <v>1</v>
      </c>
    </row>
    <row r="347" spans="1:9" ht="14.25" customHeight="1" x14ac:dyDescent="0.25">
      <c r="A347" s="132" t="s">
        <v>240</v>
      </c>
      <c r="B347" s="132" t="s">
        <v>327</v>
      </c>
      <c r="C347" s="132">
        <v>-7</v>
      </c>
      <c r="D347" s="132" t="str">
        <f t="shared" si="23"/>
        <v>1/2" Round BB RS-775 -7</v>
      </c>
      <c r="E347" s="132">
        <v>1</v>
      </c>
      <c r="F347" s="132">
        <v>1</v>
      </c>
      <c r="G347" s="132">
        <v>0</v>
      </c>
      <c r="H347" s="132">
        <v>0</v>
      </c>
      <c r="I347" s="132">
        <v>1</v>
      </c>
    </row>
    <row r="348" spans="1:9" ht="14.25" customHeight="1" x14ac:dyDescent="0.25">
      <c r="A348" s="132" t="s">
        <v>240</v>
      </c>
      <c r="B348" s="132" t="s">
        <v>327</v>
      </c>
      <c r="C348" s="132">
        <v>-9</v>
      </c>
      <c r="D348" s="132" t="str">
        <f t="shared" si="23"/>
        <v>1/2" Round BB RS-775 -9</v>
      </c>
      <c r="E348" s="132">
        <v>1</v>
      </c>
      <c r="F348" s="132">
        <v>1</v>
      </c>
      <c r="G348" s="132">
        <v>0</v>
      </c>
      <c r="H348" s="132">
        <v>0</v>
      </c>
      <c r="I348" s="132">
        <v>1</v>
      </c>
    </row>
    <row r="349" spans="1:9" ht="14.25" customHeight="1" x14ac:dyDescent="0.25">
      <c r="A349" s="132" t="s">
        <v>240</v>
      </c>
      <c r="B349" s="132" t="s">
        <v>327</v>
      </c>
      <c r="C349" s="132">
        <v>-10</v>
      </c>
      <c r="D349" s="132" t="str">
        <f t="shared" si="23"/>
        <v>1/2" Round BB RS-775 -10</v>
      </c>
      <c r="E349" s="132">
        <v>1</v>
      </c>
      <c r="F349" s="132">
        <v>1</v>
      </c>
      <c r="G349" s="132">
        <v>0</v>
      </c>
      <c r="H349" s="132">
        <v>0</v>
      </c>
      <c r="I349" s="132">
        <v>1</v>
      </c>
    </row>
    <row r="350" spans="1:9" ht="14.25" customHeight="1" x14ac:dyDescent="0.25">
      <c r="A350" s="132" t="s">
        <v>240</v>
      </c>
      <c r="B350" s="132" t="s">
        <v>327</v>
      </c>
      <c r="C350" s="132">
        <v>9</v>
      </c>
      <c r="D350" s="132" t="str">
        <f t="shared" ref="D350:D370" si="24">A350&amp;" "&amp;B350&amp;" "&amp;C350</f>
        <v>1/2" Round BB RS-775 9</v>
      </c>
      <c r="E350" s="132">
        <v>10</v>
      </c>
      <c r="F350" s="132">
        <v>5</v>
      </c>
      <c r="G350" s="132">
        <v>0</v>
      </c>
      <c r="H350" s="132">
        <v>0</v>
      </c>
      <c r="I350" s="132">
        <v>10</v>
      </c>
    </row>
    <row r="351" spans="1:9" ht="14.25" customHeight="1" x14ac:dyDescent="0.25">
      <c r="A351" s="132" t="s">
        <v>240</v>
      </c>
      <c r="B351" s="132" t="s">
        <v>327</v>
      </c>
      <c r="C351" s="132">
        <v>12</v>
      </c>
      <c r="D351" s="132" t="str">
        <f t="shared" si="24"/>
        <v>1/2" Round BB RS-775 12</v>
      </c>
      <c r="E351" s="132">
        <v>10</v>
      </c>
      <c r="F351" s="132">
        <v>5</v>
      </c>
      <c r="G351" s="132">
        <v>0</v>
      </c>
      <c r="H351" s="132">
        <v>0</v>
      </c>
      <c r="I351" s="132">
        <v>10</v>
      </c>
    </row>
    <row r="352" spans="1:9" ht="14.25" customHeight="1" x14ac:dyDescent="0.25">
      <c r="A352" s="132" t="s">
        <v>240</v>
      </c>
      <c r="B352" s="132" t="s">
        <v>327</v>
      </c>
      <c r="C352" s="132">
        <v>15</v>
      </c>
      <c r="D352" s="132" t="str">
        <f t="shared" si="24"/>
        <v>1/2" Round BB RS-775 15</v>
      </c>
      <c r="E352" s="132">
        <v>7</v>
      </c>
      <c r="F352" s="132">
        <v>5</v>
      </c>
      <c r="G352" s="132">
        <v>0</v>
      </c>
      <c r="H352" s="132">
        <v>0</v>
      </c>
      <c r="I352" s="132">
        <v>7</v>
      </c>
    </row>
    <row r="353" spans="1:9" ht="14.25" customHeight="1" x14ac:dyDescent="0.25">
      <c r="A353" s="132" t="s">
        <v>240</v>
      </c>
      <c r="B353" s="132" t="s">
        <v>327</v>
      </c>
      <c r="C353" s="132">
        <v>16</v>
      </c>
      <c r="D353" s="132" t="str">
        <f t="shared" si="24"/>
        <v>1/2" Round BB RS-775 16</v>
      </c>
      <c r="E353" s="132">
        <v>7</v>
      </c>
      <c r="F353" s="132">
        <v>5</v>
      </c>
      <c r="G353" s="132">
        <v>0</v>
      </c>
      <c r="H353" s="132">
        <v>0</v>
      </c>
      <c r="I353" s="132">
        <v>7</v>
      </c>
    </row>
    <row r="354" spans="1:9" ht="14.25" customHeight="1" x14ac:dyDescent="0.25">
      <c r="A354" s="132" t="s">
        <v>240</v>
      </c>
      <c r="B354" s="132" t="s">
        <v>327</v>
      </c>
      <c r="C354" s="132">
        <v>20</v>
      </c>
      <c r="D354" s="132" t="str">
        <f t="shared" si="24"/>
        <v>1/2" Round BB RS-775 20</v>
      </c>
      <c r="E354" s="132">
        <v>5</v>
      </c>
      <c r="F354" s="132">
        <v>4</v>
      </c>
      <c r="G354" s="132">
        <v>0</v>
      </c>
      <c r="H354" s="132">
        <v>0</v>
      </c>
      <c r="I354" s="132">
        <v>5</v>
      </c>
    </row>
    <row r="355" spans="1:9" ht="14.25" customHeight="1" x14ac:dyDescent="0.25">
      <c r="A355" s="132" t="s">
        <v>240</v>
      </c>
      <c r="B355" s="132" t="s">
        <v>327</v>
      </c>
      <c r="C355" s="132">
        <v>21</v>
      </c>
      <c r="D355" s="132" t="str">
        <f t="shared" si="24"/>
        <v>1/2" Round BB RS-775 21</v>
      </c>
      <c r="E355" s="132">
        <v>5</v>
      </c>
      <c r="F355" s="132">
        <v>3</v>
      </c>
      <c r="G355" s="132">
        <v>0</v>
      </c>
      <c r="H355" s="132">
        <v>0</v>
      </c>
      <c r="I355" s="132">
        <v>5</v>
      </c>
    </row>
    <row r="356" spans="1:9" ht="14.25" customHeight="1" x14ac:dyDescent="0.25">
      <c r="A356" s="132" t="s">
        <v>240</v>
      </c>
      <c r="B356" s="132" t="s">
        <v>327</v>
      </c>
      <c r="C356" s="132">
        <v>25</v>
      </c>
      <c r="D356" s="132" t="str">
        <f t="shared" si="24"/>
        <v>1/2" Round BB RS-775 25</v>
      </c>
      <c r="E356" s="132">
        <v>5</v>
      </c>
      <c r="F356" s="132">
        <v>3</v>
      </c>
      <c r="G356" s="132">
        <v>0</v>
      </c>
      <c r="H356" s="132">
        <v>0</v>
      </c>
      <c r="I356" s="132">
        <v>5</v>
      </c>
    </row>
    <row r="357" spans="1:9" ht="14.25" customHeight="1" x14ac:dyDescent="0.25">
      <c r="A357" s="132" t="s">
        <v>240</v>
      </c>
      <c r="B357" s="132" t="s">
        <v>327</v>
      </c>
      <c r="C357" s="132">
        <v>27</v>
      </c>
      <c r="D357" s="132" t="str">
        <f t="shared" si="24"/>
        <v>1/2" Round BB RS-775 27</v>
      </c>
      <c r="E357" s="132">
        <v>5</v>
      </c>
      <c r="F357" s="132">
        <v>3</v>
      </c>
      <c r="G357" s="132">
        <v>0</v>
      </c>
      <c r="H357" s="132">
        <v>0</v>
      </c>
      <c r="I357" s="132">
        <v>4</v>
      </c>
    </row>
    <row r="358" spans="1:9" ht="14.25" customHeight="1" x14ac:dyDescent="0.25">
      <c r="A358" s="132" t="s">
        <v>240</v>
      </c>
      <c r="B358" s="132" t="s">
        <v>327</v>
      </c>
      <c r="C358" s="132">
        <v>28</v>
      </c>
      <c r="D358" s="132" t="str">
        <f t="shared" si="24"/>
        <v>1/2" Round BB RS-775 28</v>
      </c>
      <c r="E358" s="132">
        <v>5</v>
      </c>
      <c r="F358" s="132">
        <v>1</v>
      </c>
      <c r="G358" s="132">
        <v>0</v>
      </c>
      <c r="H358" s="132">
        <v>0</v>
      </c>
      <c r="I358" s="132">
        <v>4</v>
      </c>
    </row>
    <row r="359" spans="1:9" ht="14.25" customHeight="1" x14ac:dyDescent="0.25">
      <c r="A359" s="132" t="s">
        <v>240</v>
      </c>
      <c r="B359" s="132" t="s">
        <v>327</v>
      </c>
      <c r="C359" s="132">
        <v>30</v>
      </c>
      <c r="D359" s="132" t="str">
        <f t="shared" si="24"/>
        <v>1/2" Round BB RS-775 30</v>
      </c>
      <c r="E359" s="132">
        <v>5</v>
      </c>
      <c r="F359" s="132">
        <v>1</v>
      </c>
      <c r="G359" s="132">
        <v>0</v>
      </c>
      <c r="H359" s="132">
        <v>0</v>
      </c>
      <c r="I359" s="132">
        <v>4</v>
      </c>
    </row>
    <row r="360" spans="1:9" ht="14.25" customHeight="1" x14ac:dyDescent="0.25">
      <c r="A360" s="132" t="s">
        <v>240</v>
      </c>
      <c r="B360" s="132" t="s">
        <v>327</v>
      </c>
      <c r="C360" s="132">
        <v>35</v>
      </c>
      <c r="D360" s="132" t="str">
        <f t="shared" si="24"/>
        <v>1/2" Round BB RS-775 35</v>
      </c>
      <c r="E360" s="132">
        <v>4</v>
      </c>
      <c r="F360" s="132">
        <v>1</v>
      </c>
      <c r="G360" s="132">
        <v>0</v>
      </c>
      <c r="H360" s="132">
        <v>0</v>
      </c>
      <c r="I360" s="132">
        <v>3</v>
      </c>
    </row>
    <row r="361" spans="1:9" ht="14.25" customHeight="1" x14ac:dyDescent="0.25">
      <c r="A361" s="132" t="s">
        <v>240</v>
      </c>
      <c r="B361" s="132" t="s">
        <v>327</v>
      </c>
      <c r="C361" s="132">
        <v>36</v>
      </c>
      <c r="D361" s="132" t="str">
        <f t="shared" si="24"/>
        <v>1/2" Round BB RS-775 36</v>
      </c>
      <c r="E361" s="132">
        <v>4</v>
      </c>
      <c r="F361" s="132">
        <v>1</v>
      </c>
      <c r="G361" s="132">
        <v>0</v>
      </c>
      <c r="H361" s="132">
        <v>0</v>
      </c>
      <c r="I361" s="132">
        <v>3</v>
      </c>
    </row>
    <row r="362" spans="1:9" ht="14.25" customHeight="1" x14ac:dyDescent="0.25">
      <c r="A362" s="132" t="s">
        <v>240</v>
      </c>
      <c r="B362" s="132" t="s">
        <v>327</v>
      </c>
      <c r="C362" s="132">
        <v>40</v>
      </c>
      <c r="D362" s="132" t="str">
        <f t="shared" si="24"/>
        <v>1/2" Round BB RS-775 40</v>
      </c>
      <c r="E362" s="132">
        <v>4</v>
      </c>
      <c r="F362" s="132">
        <v>1</v>
      </c>
      <c r="G362" s="132">
        <v>0</v>
      </c>
      <c r="H362" s="132">
        <v>0</v>
      </c>
      <c r="I362" s="132">
        <v>3</v>
      </c>
    </row>
    <row r="363" spans="1:9" ht="14.25" customHeight="1" x14ac:dyDescent="0.25">
      <c r="A363" s="132" t="s">
        <v>240</v>
      </c>
      <c r="B363" s="132" t="s">
        <v>327</v>
      </c>
      <c r="C363" s="132">
        <v>45</v>
      </c>
      <c r="D363" s="132" t="str">
        <f t="shared" si="24"/>
        <v>1/2" Round BB RS-775 45</v>
      </c>
      <c r="E363" s="132">
        <v>3</v>
      </c>
      <c r="F363" s="132">
        <v>1</v>
      </c>
      <c r="G363" s="132">
        <v>0</v>
      </c>
      <c r="H363" s="132">
        <v>0</v>
      </c>
      <c r="I363" s="132">
        <v>1</v>
      </c>
    </row>
    <row r="364" spans="1:9" ht="14.25" customHeight="1" x14ac:dyDescent="0.25">
      <c r="A364" s="132" t="s">
        <v>240</v>
      </c>
      <c r="B364" s="132" t="s">
        <v>327</v>
      </c>
      <c r="C364" s="132">
        <v>49</v>
      </c>
      <c r="D364" s="132" t="str">
        <f t="shared" si="24"/>
        <v>1/2" Round BB RS-775 49</v>
      </c>
      <c r="E364" s="132">
        <v>3</v>
      </c>
      <c r="F364" s="132">
        <v>1</v>
      </c>
      <c r="G364" s="132">
        <v>0</v>
      </c>
      <c r="H364" s="132">
        <v>0</v>
      </c>
      <c r="I364" s="132">
        <v>1</v>
      </c>
    </row>
    <row r="365" spans="1:9" ht="14.25" customHeight="1" x14ac:dyDescent="0.25">
      <c r="A365" s="132" t="s">
        <v>240</v>
      </c>
      <c r="B365" s="132" t="s">
        <v>327</v>
      </c>
      <c r="C365" s="132">
        <v>50</v>
      </c>
      <c r="D365" s="132" t="str">
        <f t="shared" si="24"/>
        <v>1/2" Round BB RS-775 50</v>
      </c>
      <c r="E365" s="132">
        <v>3</v>
      </c>
      <c r="F365" s="132">
        <v>1</v>
      </c>
      <c r="G365" s="132">
        <v>0</v>
      </c>
      <c r="H365" s="132">
        <v>0</v>
      </c>
      <c r="I365" s="132">
        <v>1</v>
      </c>
    </row>
    <row r="366" spans="1:9" ht="14.25" customHeight="1" x14ac:dyDescent="0.25">
      <c r="A366" s="132" t="s">
        <v>240</v>
      </c>
      <c r="B366" s="132" t="s">
        <v>327</v>
      </c>
      <c r="C366" s="132">
        <v>63</v>
      </c>
      <c r="D366" s="132" t="str">
        <f t="shared" si="24"/>
        <v>1/2" Round BB RS-775 63</v>
      </c>
      <c r="E366" s="132">
        <v>1</v>
      </c>
      <c r="F366" s="132">
        <v>0</v>
      </c>
      <c r="G366" s="132">
        <v>0</v>
      </c>
      <c r="H366" s="132">
        <v>0</v>
      </c>
      <c r="I366" s="132">
        <v>1</v>
      </c>
    </row>
    <row r="367" spans="1:9" ht="14.25" customHeight="1" x14ac:dyDescent="0.25">
      <c r="A367" s="132" t="s">
        <v>240</v>
      </c>
      <c r="B367" s="132" t="s">
        <v>327</v>
      </c>
      <c r="C367" s="132">
        <v>70</v>
      </c>
      <c r="D367" s="132" t="str">
        <f t="shared" si="24"/>
        <v>1/2" Round BB RS-775 70</v>
      </c>
      <c r="E367" s="132">
        <v>1</v>
      </c>
      <c r="F367" s="132">
        <v>0</v>
      </c>
      <c r="G367" s="132">
        <v>0</v>
      </c>
      <c r="H367" s="132">
        <v>0</v>
      </c>
      <c r="I367" s="132">
        <v>1</v>
      </c>
    </row>
    <row r="368" spans="1:9" ht="14.25" customHeight="1" x14ac:dyDescent="0.25">
      <c r="A368" s="132" t="s">
        <v>240</v>
      </c>
      <c r="B368" s="132" t="s">
        <v>327</v>
      </c>
      <c r="C368" s="132">
        <v>81</v>
      </c>
      <c r="D368" s="132" t="str">
        <f t="shared" si="24"/>
        <v>1/2" Round BB RS-775 81</v>
      </c>
      <c r="E368" s="132">
        <v>1</v>
      </c>
      <c r="F368" s="132">
        <v>0</v>
      </c>
      <c r="G368" s="132">
        <v>0</v>
      </c>
      <c r="H368" s="132">
        <v>0</v>
      </c>
      <c r="I368" s="132">
        <v>1</v>
      </c>
    </row>
    <row r="369" spans="1:9" ht="14.25" customHeight="1" x14ac:dyDescent="0.25">
      <c r="A369" s="132" t="s">
        <v>240</v>
      </c>
      <c r="B369" s="132" t="s">
        <v>327</v>
      </c>
      <c r="C369" s="132">
        <v>90</v>
      </c>
      <c r="D369" s="132" t="str">
        <f t="shared" si="24"/>
        <v>1/2" Round BB RS-775 90</v>
      </c>
      <c r="E369" s="132">
        <v>1</v>
      </c>
      <c r="F369" s="132">
        <v>0</v>
      </c>
      <c r="G369" s="132">
        <v>0</v>
      </c>
      <c r="H369" s="132">
        <v>0</v>
      </c>
      <c r="I369" s="132">
        <v>1</v>
      </c>
    </row>
    <row r="370" spans="1:9" ht="14.25" customHeight="1" x14ac:dyDescent="0.25">
      <c r="A370" s="132" t="s">
        <v>240</v>
      </c>
      <c r="B370" s="132" t="s">
        <v>327</v>
      </c>
      <c r="C370" s="132">
        <v>100</v>
      </c>
      <c r="D370" s="132" t="str">
        <f t="shared" si="24"/>
        <v>1/2" Round BB RS-775 100</v>
      </c>
      <c r="E370" s="132">
        <v>1</v>
      </c>
      <c r="F370" s="132">
        <v>0</v>
      </c>
      <c r="G370" s="132">
        <v>0</v>
      </c>
      <c r="H370" s="132">
        <v>0</v>
      </c>
      <c r="I370" s="132">
        <v>1</v>
      </c>
    </row>
    <row r="371" spans="1:9" ht="14.25" customHeight="1" x14ac:dyDescent="0.25">
      <c r="A371" s="132" t="s">
        <v>240</v>
      </c>
      <c r="B371" s="132" t="s">
        <v>8</v>
      </c>
      <c r="C371" s="132">
        <v>-3</v>
      </c>
      <c r="D371" s="132" t="str">
        <f t="shared" ref="D371:D376" si="25">A371&amp;" "&amp;B371&amp;" "&amp;C371</f>
        <v>1/2" Round BAG Motor -3</v>
      </c>
      <c r="E371" s="132">
        <v>1</v>
      </c>
      <c r="F371" s="132">
        <v>1</v>
      </c>
      <c r="G371" s="132">
        <v>1</v>
      </c>
      <c r="H371" s="132">
        <v>0</v>
      </c>
      <c r="I371" s="132">
        <v>1</v>
      </c>
    </row>
    <row r="372" spans="1:9" ht="14.25" customHeight="1" x14ac:dyDescent="0.25">
      <c r="A372" s="132" t="s">
        <v>240</v>
      </c>
      <c r="B372" s="132" t="s">
        <v>8</v>
      </c>
      <c r="C372" s="132">
        <v>-4</v>
      </c>
      <c r="D372" s="132" t="str">
        <f t="shared" si="25"/>
        <v>1/2" Round BAG Motor -4</v>
      </c>
      <c r="E372" s="132">
        <v>1</v>
      </c>
      <c r="F372" s="132">
        <v>1</v>
      </c>
      <c r="G372" s="132">
        <v>1</v>
      </c>
      <c r="H372" s="132">
        <v>0</v>
      </c>
      <c r="I372" s="132">
        <v>1</v>
      </c>
    </row>
    <row r="373" spans="1:9" ht="14.25" customHeight="1" x14ac:dyDescent="0.25">
      <c r="A373" s="132" t="s">
        <v>240</v>
      </c>
      <c r="B373" s="132" t="s">
        <v>8</v>
      </c>
      <c r="C373" s="132">
        <v>-5</v>
      </c>
      <c r="D373" s="132" t="str">
        <f t="shared" si="25"/>
        <v>1/2" Round BAG Motor -5</v>
      </c>
      <c r="E373" s="132">
        <v>1</v>
      </c>
      <c r="F373" s="132">
        <v>1</v>
      </c>
      <c r="G373" s="132">
        <v>1</v>
      </c>
      <c r="H373" s="132">
        <v>0</v>
      </c>
      <c r="I373" s="132">
        <v>1</v>
      </c>
    </row>
    <row r="374" spans="1:9" ht="14.25" customHeight="1" x14ac:dyDescent="0.25">
      <c r="A374" s="132" t="s">
        <v>240</v>
      </c>
      <c r="B374" s="132" t="s">
        <v>8</v>
      </c>
      <c r="C374" s="132">
        <v>-7</v>
      </c>
      <c r="D374" s="132" t="str">
        <f t="shared" si="25"/>
        <v>1/2" Round BAG Motor -7</v>
      </c>
      <c r="E374" s="132">
        <v>1</v>
      </c>
      <c r="F374" s="132">
        <v>1</v>
      </c>
      <c r="G374" s="132">
        <v>1</v>
      </c>
      <c r="H374" s="132">
        <v>0</v>
      </c>
      <c r="I374" s="132">
        <v>1</v>
      </c>
    </row>
    <row r="375" spans="1:9" ht="14.25" customHeight="1" x14ac:dyDescent="0.25">
      <c r="A375" s="132" t="s">
        <v>240</v>
      </c>
      <c r="B375" s="132" t="s">
        <v>8</v>
      </c>
      <c r="C375" s="132">
        <v>-9</v>
      </c>
      <c r="D375" s="132" t="str">
        <f t="shared" si="25"/>
        <v>1/2" Round BAG Motor -9</v>
      </c>
      <c r="E375" s="132">
        <v>1</v>
      </c>
      <c r="F375" s="132">
        <v>1</v>
      </c>
      <c r="G375" s="132">
        <v>0</v>
      </c>
      <c r="H375" s="132">
        <v>0</v>
      </c>
      <c r="I375" s="132">
        <v>1</v>
      </c>
    </row>
    <row r="376" spans="1:9" ht="14.25" customHeight="1" x14ac:dyDescent="0.25">
      <c r="A376" s="132" t="s">
        <v>240</v>
      </c>
      <c r="B376" s="132" t="s">
        <v>8</v>
      </c>
      <c r="C376" s="132">
        <v>-10</v>
      </c>
      <c r="D376" s="132" t="str">
        <f t="shared" si="25"/>
        <v>1/2" Round BAG Motor -10</v>
      </c>
      <c r="E376" s="132">
        <v>1</v>
      </c>
      <c r="F376" s="132">
        <v>1</v>
      </c>
      <c r="G376" s="132">
        <v>0</v>
      </c>
      <c r="H376" s="132">
        <v>0</v>
      </c>
      <c r="I376" s="132">
        <v>1</v>
      </c>
    </row>
    <row r="377" spans="1:9" ht="14.25" customHeight="1" x14ac:dyDescent="0.25">
      <c r="A377" s="132" t="s">
        <v>240</v>
      </c>
      <c r="B377" s="132" t="s">
        <v>8</v>
      </c>
      <c r="C377" s="132">
        <v>9</v>
      </c>
      <c r="D377" s="132" t="str">
        <f t="shared" ref="D377:D397" si="26">A377&amp;" "&amp;B377&amp;" "&amp;C377</f>
        <v>1/2" Round BAG Motor 9</v>
      </c>
      <c r="E377" s="132">
        <v>10</v>
      </c>
      <c r="F377" s="132">
        <v>10</v>
      </c>
      <c r="G377" s="132">
        <v>1</v>
      </c>
      <c r="H377" s="132">
        <v>0</v>
      </c>
      <c r="I377" s="132">
        <v>9</v>
      </c>
    </row>
    <row r="378" spans="1:9" ht="14.25" customHeight="1" x14ac:dyDescent="0.25">
      <c r="A378" s="132" t="s">
        <v>240</v>
      </c>
      <c r="B378" s="132" t="s">
        <v>8</v>
      </c>
      <c r="C378" s="132">
        <v>12</v>
      </c>
      <c r="D378" s="132" t="str">
        <f t="shared" si="26"/>
        <v>1/2" Round BAG Motor 12</v>
      </c>
      <c r="E378" s="132">
        <v>10</v>
      </c>
      <c r="F378" s="132">
        <v>9</v>
      </c>
      <c r="G378" s="132">
        <v>1</v>
      </c>
      <c r="H378" s="132">
        <v>0</v>
      </c>
      <c r="I378" s="132">
        <v>5</v>
      </c>
    </row>
    <row r="379" spans="1:9" ht="14.25" customHeight="1" x14ac:dyDescent="0.25">
      <c r="A379" s="132" t="s">
        <v>240</v>
      </c>
      <c r="B379" s="132" t="s">
        <v>8</v>
      </c>
      <c r="C379" s="132">
        <v>15</v>
      </c>
      <c r="D379" s="132" t="str">
        <f t="shared" si="26"/>
        <v>1/2" Round BAG Motor 15</v>
      </c>
      <c r="E379" s="132">
        <v>10</v>
      </c>
      <c r="F379" s="132">
        <v>7</v>
      </c>
      <c r="G379" s="132">
        <v>0</v>
      </c>
      <c r="H379" s="132">
        <v>0</v>
      </c>
      <c r="I379" s="132">
        <v>5</v>
      </c>
    </row>
    <row r="380" spans="1:9" ht="14.25" customHeight="1" x14ac:dyDescent="0.25">
      <c r="A380" s="132" t="s">
        <v>240</v>
      </c>
      <c r="B380" s="132" t="s">
        <v>8</v>
      </c>
      <c r="C380" s="132">
        <v>16</v>
      </c>
      <c r="D380" s="132" t="str">
        <f t="shared" si="26"/>
        <v>1/2" Round BAG Motor 16</v>
      </c>
      <c r="E380" s="132">
        <v>10</v>
      </c>
      <c r="F380" s="132">
        <v>5</v>
      </c>
      <c r="G380" s="132">
        <v>0</v>
      </c>
      <c r="H380" s="132">
        <v>0</v>
      </c>
      <c r="I380" s="132">
        <v>5</v>
      </c>
    </row>
    <row r="381" spans="1:9" ht="14.25" customHeight="1" x14ac:dyDescent="0.25">
      <c r="A381" s="132" t="s">
        <v>240</v>
      </c>
      <c r="B381" s="132" t="s">
        <v>8</v>
      </c>
      <c r="C381" s="132">
        <v>20</v>
      </c>
      <c r="D381" s="132" t="str">
        <f t="shared" si="26"/>
        <v>1/2" Round BAG Motor 20</v>
      </c>
      <c r="E381" s="132">
        <v>10</v>
      </c>
      <c r="F381" s="132">
        <v>5</v>
      </c>
      <c r="G381" s="132">
        <v>0</v>
      </c>
      <c r="H381" s="132">
        <v>0</v>
      </c>
      <c r="I381" s="132">
        <v>4</v>
      </c>
    </row>
    <row r="382" spans="1:9" ht="14.25" customHeight="1" x14ac:dyDescent="0.25">
      <c r="A382" s="132" t="s">
        <v>240</v>
      </c>
      <c r="B382" s="132" t="s">
        <v>8</v>
      </c>
      <c r="C382" s="132">
        <v>21</v>
      </c>
      <c r="D382" s="132" t="str">
        <f t="shared" si="26"/>
        <v>1/2" Round BAG Motor 21</v>
      </c>
      <c r="E382" s="132">
        <v>10</v>
      </c>
      <c r="F382" s="132">
        <v>5</v>
      </c>
      <c r="G382" s="132">
        <v>0</v>
      </c>
      <c r="H382" s="132">
        <v>0</v>
      </c>
      <c r="I382" s="132">
        <v>3</v>
      </c>
    </row>
    <row r="383" spans="1:9" ht="14.25" customHeight="1" x14ac:dyDescent="0.25">
      <c r="A383" s="132" t="s">
        <v>240</v>
      </c>
      <c r="B383" s="132" t="s">
        <v>8</v>
      </c>
      <c r="C383" s="132">
        <v>25</v>
      </c>
      <c r="D383" s="132" t="str">
        <f t="shared" si="26"/>
        <v>1/2" Round BAG Motor 25</v>
      </c>
      <c r="E383" s="132">
        <v>7</v>
      </c>
      <c r="F383" s="132">
        <v>5</v>
      </c>
      <c r="G383" s="132">
        <v>0</v>
      </c>
      <c r="H383" s="132">
        <v>0</v>
      </c>
      <c r="I383" s="132">
        <v>3</v>
      </c>
    </row>
    <row r="384" spans="1:9" ht="14.25" customHeight="1" x14ac:dyDescent="0.25">
      <c r="A384" s="132" t="s">
        <v>240</v>
      </c>
      <c r="B384" s="132" t="s">
        <v>8</v>
      </c>
      <c r="C384" s="132">
        <v>27</v>
      </c>
      <c r="D384" s="132" t="str">
        <f t="shared" si="26"/>
        <v>1/2" Round BAG Motor 27</v>
      </c>
      <c r="E384" s="132">
        <v>7</v>
      </c>
      <c r="F384" s="132">
        <v>5</v>
      </c>
      <c r="G384" s="132">
        <v>0</v>
      </c>
      <c r="H384" s="132">
        <v>0</v>
      </c>
      <c r="I384" s="132">
        <v>3</v>
      </c>
    </row>
    <row r="385" spans="1:9" ht="14.25" customHeight="1" x14ac:dyDescent="0.25">
      <c r="A385" s="132" t="s">
        <v>240</v>
      </c>
      <c r="B385" s="132" t="s">
        <v>8</v>
      </c>
      <c r="C385" s="132">
        <v>28</v>
      </c>
      <c r="D385" s="132" t="str">
        <f t="shared" si="26"/>
        <v>1/2" Round BAG Motor 28</v>
      </c>
      <c r="E385" s="132">
        <v>7</v>
      </c>
      <c r="F385" s="132">
        <v>5</v>
      </c>
      <c r="G385" s="132">
        <v>0</v>
      </c>
      <c r="H385" s="132">
        <v>0</v>
      </c>
      <c r="I385" s="132">
        <v>1</v>
      </c>
    </row>
    <row r="386" spans="1:9" ht="14.25" customHeight="1" x14ac:dyDescent="0.25">
      <c r="A386" s="132" t="s">
        <v>240</v>
      </c>
      <c r="B386" s="132" t="s">
        <v>8</v>
      </c>
      <c r="C386" s="132">
        <v>30</v>
      </c>
      <c r="D386" s="132" t="str">
        <f t="shared" si="26"/>
        <v>1/2" Round BAG Motor 30</v>
      </c>
      <c r="E386" s="132">
        <v>7</v>
      </c>
      <c r="F386" s="132">
        <v>4</v>
      </c>
      <c r="G386" s="132">
        <v>0</v>
      </c>
      <c r="H386" s="132">
        <v>0</v>
      </c>
      <c r="I386" s="132">
        <v>1</v>
      </c>
    </row>
    <row r="387" spans="1:9" ht="14.25" customHeight="1" x14ac:dyDescent="0.25">
      <c r="A387" s="132" t="s">
        <v>240</v>
      </c>
      <c r="B387" s="132" t="s">
        <v>8</v>
      </c>
      <c r="C387" s="132">
        <v>35</v>
      </c>
      <c r="D387" s="132" t="str">
        <f t="shared" si="26"/>
        <v>1/2" Round BAG Motor 35</v>
      </c>
      <c r="E387" s="132">
        <v>5</v>
      </c>
      <c r="F387" s="132">
        <v>4</v>
      </c>
      <c r="G387" s="132">
        <v>0</v>
      </c>
      <c r="H387" s="132">
        <v>0</v>
      </c>
      <c r="I387" s="132">
        <v>1</v>
      </c>
    </row>
    <row r="388" spans="1:9" ht="14.25" customHeight="1" x14ac:dyDescent="0.25">
      <c r="A388" s="132" t="s">
        <v>240</v>
      </c>
      <c r="B388" s="132" t="s">
        <v>8</v>
      </c>
      <c r="C388" s="132">
        <v>36</v>
      </c>
      <c r="D388" s="132" t="str">
        <f t="shared" si="26"/>
        <v>1/2" Round BAG Motor 36</v>
      </c>
      <c r="E388" s="132">
        <v>5</v>
      </c>
      <c r="F388" s="132">
        <v>4</v>
      </c>
      <c r="G388" s="132">
        <v>0</v>
      </c>
      <c r="H388" s="132">
        <v>0</v>
      </c>
      <c r="I388" s="132">
        <v>1</v>
      </c>
    </row>
    <row r="389" spans="1:9" ht="14.25" customHeight="1" x14ac:dyDescent="0.25">
      <c r="A389" s="132" t="s">
        <v>240</v>
      </c>
      <c r="B389" s="132" t="s">
        <v>8</v>
      </c>
      <c r="C389" s="132">
        <v>40</v>
      </c>
      <c r="D389" s="132" t="str">
        <f t="shared" si="26"/>
        <v>1/2" Round BAG Motor 40</v>
      </c>
      <c r="E389" s="132">
        <v>5</v>
      </c>
      <c r="F389" s="132">
        <v>3</v>
      </c>
      <c r="G389" s="132">
        <v>0</v>
      </c>
      <c r="H389" s="132">
        <v>0</v>
      </c>
      <c r="I389" s="132">
        <v>1</v>
      </c>
    </row>
    <row r="390" spans="1:9" ht="14.25" customHeight="1" x14ac:dyDescent="0.25">
      <c r="A390" s="132" t="s">
        <v>240</v>
      </c>
      <c r="B390" s="132" t="s">
        <v>8</v>
      </c>
      <c r="C390" s="132">
        <v>45</v>
      </c>
      <c r="D390" s="132" t="str">
        <f t="shared" si="26"/>
        <v>1/2" Round BAG Motor 45</v>
      </c>
      <c r="E390" s="132">
        <v>5</v>
      </c>
      <c r="F390" s="132">
        <v>3</v>
      </c>
      <c r="G390" s="132">
        <v>0</v>
      </c>
      <c r="H390" s="132">
        <v>0</v>
      </c>
      <c r="I390" s="132">
        <v>1</v>
      </c>
    </row>
    <row r="391" spans="1:9" ht="14.25" customHeight="1" x14ac:dyDescent="0.25">
      <c r="A391" s="132" t="s">
        <v>240</v>
      </c>
      <c r="B391" s="132" t="s">
        <v>8</v>
      </c>
      <c r="C391" s="132">
        <v>49</v>
      </c>
      <c r="D391" s="132" t="str">
        <f t="shared" si="26"/>
        <v>1/2" Round BAG Motor 49</v>
      </c>
      <c r="E391" s="132">
        <v>5</v>
      </c>
      <c r="F391" s="132">
        <v>1</v>
      </c>
      <c r="G391" s="132">
        <v>0</v>
      </c>
      <c r="H391" s="132">
        <v>0</v>
      </c>
      <c r="I391" s="132">
        <v>1</v>
      </c>
    </row>
    <row r="392" spans="1:9" ht="14.25" customHeight="1" x14ac:dyDescent="0.25">
      <c r="A392" s="132" t="s">
        <v>240</v>
      </c>
      <c r="B392" s="132" t="s">
        <v>8</v>
      </c>
      <c r="C392" s="132">
        <v>50</v>
      </c>
      <c r="D392" s="132" t="str">
        <f t="shared" si="26"/>
        <v>1/2" Round BAG Motor 50</v>
      </c>
      <c r="E392" s="132">
        <v>5</v>
      </c>
      <c r="F392" s="132">
        <v>1</v>
      </c>
      <c r="G392" s="132">
        <v>0</v>
      </c>
      <c r="H392" s="132">
        <v>0</v>
      </c>
      <c r="I392" s="132">
        <v>1</v>
      </c>
    </row>
    <row r="393" spans="1:9" ht="14.25" customHeight="1" x14ac:dyDescent="0.25">
      <c r="A393" s="132" t="s">
        <v>240</v>
      </c>
      <c r="B393" s="132" t="s">
        <v>8</v>
      </c>
      <c r="C393" s="132">
        <v>63</v>
      </c>
      <c r="D393" s="132" t="str">
        <f t="shared" si="26"/>
        <v>1/2" Round BAG Motor 63</v>
      </c>
      <c r="E393" s="132">
        <v>4</v>
      </c>
      <c r="F393" s="132">
        <v>1</v>
      </c>
      <c r="G393" s="132">
        <v>0</v>
      </c>
      <c r="H393" s="132">
        <v>0</v>
      </c>
      <c r="I393" s="132">
        <v>1</v>
      </c>
    </row>
    <row r="394" spans="1:9" ht="14.25" customHeight="1" x14ac:dyDescent="0.25">
      <c r="A394" s="132" t="s">
        <v>240</v>
      </c>
      <c r="B394" s="132" t="s">
        <v>8</v>
      </c>
      <c r="C394" s="132">
        <v>70</v>
      </c>
      <c r="D394" s="132" t="str">
        <f t="shared" si="26"/>
        <v>1/2" Round BAG Motor 70</v>
      </c>
      <c r="E394" s="132">
        <v>4</v>
      </c>
      <c r="F394" s="132">
        <v>1</v>
      </c>
      <c r="G394" s="132">
        <v>0</v>
      </c>
      <c r="H394" s="132">
        <v>0</v>
      </c>
      <c r="I394" s="132">
        <v>1</v>
      </c>
    </row>
    <row r="395" spans="1:9" ht="14.25" customHeight="1" x14ac:dyDescent="0.25">
      <c r="A395" s="132" t="s">
        <v>240</v>
      </c>
      <c r="B395" s="132" t="s">
        <v>8</v>
      </c>
      <c r="C395" s="132">
        <v>81</v>
      </c>
      <c r="D395" s="132" t="str">
        <f t="shared" si="26"/>
        <v>1/2" Round BAG Motor 81</v>
      </c>
      <c r="E395" s="132">
        <v>3</v>
      </c>
      <c r="F395" s="132">
        <v>1</v>
      </c>
      <c r="G395" s="132">
        <v>0</v>
      </c>
      <c r="H395" s="132">
        <v>0</v>
      </c>
      <c r="I395" s="132">
        <v>1</v>
      </c>
    </row>
    <row r="396" spans="1:9" ht="14.25" customHeight="1" x14ac:dyDescent="0.25">
      <c r="A396" s="132" t="s">
        <v>240</v>
      </c>
      <c r="B396" s="132" t="s">
        <v>8</v>
      </c>
      <c r="C396" s="132">
        <v>90</v>
      </c>
      <c r="D396" s="132" t="str">
        <f t="shared" si="26"/>
        <v>1/2" Round BAG Motor 90</v>
      </c>
      <c r="E396" s="132">
        <v>3</v>
      </c>
      <c r="F396" s="132">
        <v>1</v>
      </c>
      <c r="G396" s="132">
        <v>0</v>
      </c>
      <c r="H396" s="132">
        <v>0</v>
      </c>
      <c r="I396" s="132">
        <v>0</v>
      </c>
    </row>
    <row r="397" spans="1:9" ht="14.25" customHeight="1" x14ac:dyDescent="0.25">
      <c r="A397" s="132" t="s">
        <v>240</v>
      </c>
      <c r="B397" s="132" t="s">
        <v>8</v>
      </c>
      <c r="C397" s="132">
        <v>100</v>
      </c>
      <c r="D397" s="132" t="str">
        <f t="shared" si="26"/>
        <v>1/2" Round BAG Motor 100</v>
      </c>
      <c r="E397" s="132">
        <v>1</v>
      </c>
      <c r="F397" s="132">
        <v>1</v>
      </c>
      <c r="G397" s="132">
        <v>0</v>
      </c>
      <c r="H397" s="132">
        <v>0</v>
      </c>
      <c r="I397" s="132">
        <v>0</v>
      </c>
    </row>
    <row r="398" spans="1:9" ht="14.25" customHeight="1" x14ac:dyDescent="0.25">
      <c r="A398" s="132" t="s">
        <v>240</v>
      </c>
      <c r="B398" s="132" t="s">
        <v>255</v>
      </c>
      <c r="C398" s="132">
        <v>-3</v>
      </c>
      <c r="D398" s="132" t="str">
        <f t="shared" ref="D398:D403" si="27">A398&amp;" "&amp;B398&amp;" "&amp;C398</f>
        <v>1/2" Round 775pro -3</v>
      </c>
      <c r="E398" s="132">
        <v>1</v>
      </c>
      <c r="F398" s="132">
        <v>1</v>
      </c>
      <c r="G398" s="132">
        <v>1</v>
      </c>
      <c r="H398" s="132">
        <v>0</v>
      </c>
      <c r="I398" s="132">
        <v>1</v>
      </c>
    </row>
    <row r="399" spans="1:9" ht="14.25" customHeight="1" x14ac:dyDescent="0.25">
      <c r="A399" s="132" t="s">
        <v>240</v>
      </c>
      <c r="B399" s="132" t="s">
        <v>255</v>
      </c>
      <c r="C399" s="132">
        <v>-4</v>
      </c>
      <c r="D399" s="132" t="str">
        <f t="shared" si="27"/>
        <v>1/2" Round 775pro -4</v>
      </c>
      <c r="E399" s="132">
        <v>1</v>
      </c>
      <c r="F399" s="132">
        <v>1</v>
      </c>
      <c r="G399" s="132">
        <v>1</v>
      </c>
      <c r="H399" s="132">
        <v>0</v>
      </c>
      <c r="I399" s="132">
        <v>1</v>
      </c>
    </row>
    <row r="400" spans="1:9" ht="14.25" customHeight="1" x14ac:dyDescent="0.25">
      <c r="A400" s="132" t="s">
        <v>240</v>
      </c>
      <c r="B400" s="132" t="s">
        <v>255</v>
      </c>
      <c r="C400" s="132">
        <v>-5</v>
      </c>
      <c r="D400" s="132" t="str">
        <f t="shared" si="27"/>
        <v>1/2" Round 775pro -5</v>
      </c>
      <c r="E400" s="132">
        <v>1</v>
      </c>
      <c r="F400" s="132">
        <v>1</v>
      </c>
      <c r="G400" s="132">
        <v>1</v>
      </c>
      <c r="H400" s="132">
        <v>0</v>
      </c>
      <c r="I400" s="132">
        <v>1</v>
      </c>
    </row>
    <row r="401" spans="1:9" ht="14.25" customHeight="1" x14ac:dyDescent="0.25">
      <c r="A401" s="132" t="s">
        <v>240</v>
      </c>
      <c r="B401" s="132" t="s">
        <v>255</v>
      </c>
      <c r="C401" s="132">
        <v>-7</v>
      </c>
      <c r="D401" s="132" t="str">
        <f t="shared" si="27"/>
        <v>1/2" Round 775pro -7</v>
      </c>
      <c r="E401" s="132">
        <v>1</v>
      </c>
      <c r="F401" s="132">
        <v>1</v>
      </c>
      <c r="G401" s="132">
        <v>0</v>
      </c>
      <c r="H401" s="132">
        <v>0</v>
      </c>
      <c r="I401" s="132">
        <v>1</v>
      </c>
    </row>
    <row r="402" spans="1:9" ht="14.25" customHeight="1" x14ac:dyDescent="0.25">
      <c r="A402" s="132" t="s">
        <v>240</v>
      </c>
      <c r="B402" s="132" t="s">
        <v>255</v>
      </c>
      <c r="C402" s="132">
        <v>-9</v>
      </c>
      <c r="D402" s="132" t="str">
        <f t="shared" si="27"/>
        <v>1/2" Round 775pro -9</v>
      </c>
      <c r="E402" s="132">
        <v>1</v>
      </c>
      <c r="F402" s="132">
        <v>1</v>
      </c>
      <c r="G402" s="132">
        <v>0</v>
      </c>
      <c r="H402" s="132">
        <v>0</v>
      </c>
      <c r="I402" s="132">
        <v>1</v>
      </c>
    </row>
    <row r="403" spans="1:9" ht="14.25" customHeight="1" x14ac:dyDescent="0.25">
      <c r="A403" s="132" t="s">
        <v>240</v>
      </c>
      <c r="B403" s="132" t="s">
        <v>255</v>
      </c>
      <c r="C403" s="132">
        <v>-10</v>
      </c>
      <c r="D403" s="132" t="str">
        <f t="shared" si="27"/>
        <v>1/2" Round 775pro -10</v>
      </c>
      <c r="E403" s="132">
        <v>1</v>
      </c>
      <c r="F403" s="132">
        <v>1</v>
      </c>
      <c r="G403" s="132">
        <v>0</v>
      </c>
      <c r="H403" s="132">
        <v>0</v>
      </c>
      <c r="I403" s="132">
        <v>1</v>
      </c>
    </row>
    <row r="404" spans="1:9" ht="14.25" customHeight="1" x14ac:dyDescent="0.25">
      <c r="A404" s="132" t="s">
        <v>240</v>
      </c>
      <c r="B404" s="132" t="s">
        <v>255</v>
      </c>
      <c r="C404" s="132">
        <v>9</v>
      </c>
      <c r="D404" s="132" t="str">
        <f t="shared" ref="D404:D424" si="28">A404&amp;" "&amp;B404&amp;" "&amp;C404</f>
        <v>1/2" Round 775pro 9</v>
      </c>
      <c r="E404" s="132">
        <v>10</v>
      </c>
      <c r="F404" s="132">
        <v>7</v>
      </c>
      <c r="G404" s="132">
        <v>0</v>
      </c>
      <c r="H404" s="132">
        <v>0</v>
      </c>
      <c r="I404" s="132">
        <v>5</v>
      </c>
    </row>
    <row r="405" spans="1:9" ht="14.25" customHeight="1" x14ac:dyDescent="0.25">
      <c r="A405" s="132" t="s">
        <v>240</v>
      </c>
      <c r="B405" s="132" t="s">
        <v>255</v>
      </c>
      <c r="C405" s="132">
        <v>12</v>
      </c>
      <c r="D405" s="132" t="str">
        <f t="shared" si="28"/>
        <v>1/2" Round 775pro 12</v>
      </c>
      <c r="E405" s="132">
        <v>10</v>
      </c>
      <c r="F405" s="132">
        <v>5</v>
      </c>
      <c r="G405" s="132">
        <v>0</v>
      </c>
      <c r="H405" s="132">
        <v>0</v>
      </c>
      <c r="I405" s="132">
        <v>4</v>
      </c>
    </row>
    <row r="406" spans="1:9" ht="14.25" customHeight="1" x14ac:dyDescent="0.25">
      <c r="A406" s="132" t="s">
        <v>240</v>
      </c>
      <c r="B406" s="132" t="s">
        <v>255</v>
      </c>
      <c r="C406" s="132">
        <v>15</v>
      </c>
      <c r="D406" s="132" t="str">
        <f t="shared" si="28"/>
        <v>1/2" Round 775pro 15</v>
      </c>
      <c r="E406" s="132">
        <v>9</v>
      </c>
      <c r="F406" s="132">
        <v>5</v>
      </c>
      <c r="G406" s="132">
        <v>0</v>
      </c>
      <c r="H406" s="132">
        <v>0</v>
      </c>
      <c r="I406" s="132">
        <v>3</v>
      </c>
    </row>
    <row r="407" spans="1:9" ht="14.25" customHeight="1" x14ac:dyDescent="0.25">
      <c r="A407" s="132" t="s">
        <v>240</v>
      </c>
      <c r="B407" s="132" t="s">
        <v>255</v>
      </c>
      <c r="C407" s="132">
        <v>16</v>
      </c>
      <c r="D407" s="132" t="str">
        <f t="shared" si="28"/>
        <v>1/2" Round 775pro 16</v>
      </c>
      <c r="E407" s="132">
        <v>7</v>
      </c>
      <c r="F407" s="132">
        <v>5</v>
      </c>
      <c r="G407" s="132">
        <v>0</v>
      </c>
      <c r="H407" s="132">
        <v>0</v>
      </c>
      <c r="I407" s="132">
        <v>3</v>
      </c>
    </row>
    <row r="408" spans="1:9" ht="14.25" customHeight="1" x14ac:dyDescent="0.25">
      <c r="A408" s="132" t="s">
        <v>240</v>
      </c>
      <c r="B408" s="132" t="s">
        <v>255</v>
      </c>
      <c r="C408" s="132">
        <v>20</v>
      </c>
      <c r="D408" s="132" t="str">
        <f t="shared" si="28"/>
        <v>1/2" Round 775pro 20</v>
      </c>
      <c r="E408" s="132">
        <v>5</v>
      </c>
      <c r="F408" s="132">
        <v>4</v>
      </c>
      <c r="G408" s="132">
        <v>0</v>
      </c>
      <c r="H408" s="132">
        <v>0</v>
      </c>
      <c r="I408" s="132">
        <v>1</v>
      </c>
    </row>
    <row r="409" spans="1:9" ht="14.25" customHeight="1" x14ac:dyDescent="0.25">
      <c r="A409" s="132" t="s">
        <v>240</v>
      </c>
      <c r="B409" s="132" t="s">
        <v>255</v>
      </c>
      <c r="C409" s="132">
        <v>21</v>
      </c>
      <c r="D409" s="132" t="str">
        <f t="shared" si="28"/>
        <v>1/2" Round 775pro 21</v>
      </c>
      <c r="E409" s="132">
        <v>5</v>
      </c>
      <c r="F409" s="132">
        <v>4</v>
      </c>
      <c r="G409" s="132">
        <v>0</v>
      </c>
      <c r="H409" s="132">
        <v>0</v>
      </c>
      <c r="I409" s="132">
        <v>1</v>
      </c>
    </row>
    <row r="410" spans="1:9" ht="14.25" customHeight="1" x14ac:dyDescent="0.25">
      <c r="A410" s="132" t="s">
        <v>240</v>
      </c>
      <c r="B410" s="132" t="s">
        <v>255</v>
      </c>
      <c r="C410" s="132">
        <v>25</v>
      </c>
      <c r="D410" s="132" t="str">
        <f t="shared" si="28"/>
        <v>1/2" Round 775pro 25</v>
      </c>
      <c r="E410" s="132">
        <v>5</v>
      </c>
      <c r="F410" s="132">
        <v>3</v>
      </c>
      <c r="G410" s="132">
        <v>0</v>
      </c>
      <c r="H410" s="132">
        <v>0</v>
      </c>
      <c r="I410" s="132">
        <v>1</v>
      </c>
    </row>
    <row r="411" spans="1:9" ht="14.25" customHeight="1" x14ac:dyDescent="0.25">
      <c r="A411" s="132" t="s">
        <v>240</v>
      </c>
      <c r="B411" s="132" t="s">
        <v>255</v>
      </c>
      <c r="C411" s="132">
        <v>27</v>
      </c>
      <c r="D411" s="132" t="str">
        <f t="shared" si="28"/>
        <v>1/2" Round 775pro 27</v>
      </c>
      <c r="E411" s="132">
        <v>5</v>
      </c>
      <c r="F411" s="132">
        <v>3</v>
      </c>
      <c r="G411" s="132">
        <v>0</v>
      </c>
      <c r="H411" s="132">
        <v>0</v>
      </c>
      <c r="I411" s="132">
        <v>1</v>
      </c>
    </row>
    <row r="412" spans="1:9" ht="14.25" customHeight="1" x14ac:dyDescent="0.25">
      <c r="A412" s="132" t="s">
        <v>240</v>
      </c>
      <c r="B412" s="132" t="s">
        <v>255</v>
      </c>
      <c r="C412" s="132">
        <v>28</v>
      </c>
      <c r="D412" s="132" t="str">
        <f t="shared" si="28"/>
        <v>1/2" Round 775pro 28</v>
      </c>
      <c r="E412" s="132">
        <v>5</v>
      </c>
      <c r="F412" s="132">
        <v>3</v>
      </c>
      <c r="G412" s="132">
        <v>0</v>
      </c>
      <c r="H412" s="132">
        <v>0</v>
      </c>
      <c r="I412" s="132">
        <v>1</v>
      </c>
    </row>
    <row r="413" spans="1:9" ht="14.25" customHeight="1" x14ac:dyDescent="0.25">
      <c r="A413" s="132" t="s">
        <v>240</v>
      </c>
      <c r="B413" s="132" t="s">
        <v>255</v>
      </c>
      <c r="C413" s="132">
        <v>30</v>
      </c>
      <c r="D413" s="132" t="str">
        <f t="shared" si="28"/>
        <v>1/2" Round 775pro 30</v>
      </c>
      <c r="E413" s="132">
        <v>5</v>
      </c>
      <c r="F413" s="132">
        <v>3</v>
      </c>
      <c r="G413" s="132">
        <v>0</v>
      </c>
      <c r="H413" s="132">
        <v>0</v>
      </c>
      <c r="I413" s="132">
        <v>1</v>
      </c>
    </row>
    <row r="414" spans="1:9" ht="14.25" customHeight="1" x14ac:dyDescent="0.25">
      <c r="A414" s="132" t="s">
        <v>240</v>
      </c>
      <c r="B414" s="132" t="s">
        <v>255</v>
      </c>
      <c r="C414" s="132">
        <v>35</v>
      </c>
      <c r="D414" s="132" t="str">
        <f t="shared" si="28"/>
        <v>1/2" Round 775pro 35</v>
      </c>
      <c r="E414" s="132">
        <v>5</v>
      </c>
      <c r="F414" s="132">
        <v>1</v>
      </c>
      <c r="G414" s="132">
        <v>0</v>
      </c>
      <c r="H414" s="132">
        <v>0</v>
      </c>
      <c r="I414" s="132">
        <v>1</v>
      </c>
    </row>
    <row r="415" spans="1:9" ht="14.25" customHeight="1" x14ac:dyDescent="0.25">
      <c r="A415" s="132" t="s">
        <v>240</v>
      </c>
      <c r="B415" s="132" t="s">
        <v>255</v>
      </c>
      <c r="C415" s="132">
        <v>36</v>
      </c>
      <c r="D415" s="132" t="str">
        <f t="shared" si="28"/>
        <v>1/2" Round 775pro 36</v>
      </c>
      <c r="E415" s="132">
        <v>5</v>
      </c>
      <c r="F415" s="132">
        <v>1</v>
      </c>
      <c r="G415" s="132">
        <v>0</v>
      </c>
      <c r="H415" s="132">
        <v>0</v>
      </c>
      <c r="I415" s="132">
        <v>1</v>
      </c>
    </row>
    <row r="416" spans="1:9" ht="14.25" customHeight="1" x14ac:dyDescent="0.25">
      <c r="A416" s="132" t="s">
        <v>240</v>
      </c>
      <c r="B416" s="132" t="s">
        <v>255</v>
      </c>
      <c r="C416" s="132">
        <v>40</v>
      </c>
      <c r="D416" s="132" t="str">
        <f t="shared" si="28"/>
        <v>1/2" Round 775pro 40</v>
      </c>
      <c r="E416" s="132">
        <v>4</v>
      </c>
      <c r="F416" s="132">
        <v>1</v>
      </c>
      <c r="G416" s="132">
        <v>0</v>
      </c>
      <c r="H416" s="132">
        <v>0</v>
      </c>
      <c r="I416" s="132">
        <v>1</v>
      </c>
    </row>
    <row r="417" spans="1:9" ht="14.25" customHeight="1" x14ac:dyDescent="0.25">
      <c r="A417" s="132" t="s">
        <v>240</v>
      </c>
      <c r="B417" s="132" t="s">
        <v>255</v>
      </c>
      <c r="C417" s="132">
        <v>45</v>
      </c>
      <c r="D417" s="132" t="str">
        <f t="shared" si="28"/>
        <v>1/2" Round 775pro 45</v>
      </c>
      <c r="E417" s="132">
        <v>4</v>
      </c>
      <c r="F417" s="132">
        <v>1</v>
      </c>
      <c r="G417" s="132">
        <v>0</v>
      </c>
      <c r="H417" s="132">
        <v>0</v>
      </c>
      <c r="I417" s="132">
        <v>1</v>
      </c>
    </row>
    <row r="418" spans="1:9" ht="14.25" customHeight="1" x14ac:dyDescent="0.25">
      <c r="A418" s="132" t="s">
        <v>240</v>
      </c>
      <c r="B418" s="132" t="s">
        <v>255</v>
      </c>
      <c r="C418" s="132">
        <v>49</v>
      </c>
      <c r="D418" s="132" t="str">
        <f t="shared" si="28"/>
        <v>1/2" Round 775pro 49</v>
      </c>
      <c r="E418" s="132">
        <v>3</v>
      </c>
      <c r="F418" s="132">
        <v>1</v>
      </c>
      <c r="G418" s="132">
        <v>0</v>
      </c>
      <c r="H418" s="132">
        <v>0</v>
      </c>
      <c r="I418" s="132">
        <v>1</v>
      </c>
    </row>
    <row r="419" spans="1:9" ht="14.25" customHeight="1" x14ac:dyDescent="0.25">
      <c r="A419" s="132" t="s">
        <v>240</v>
      </c>
      <c r="B419" s="132" t="s">
        <v>255</v>
      </c>
      <c r="C419" s="132">
        <v>50</v>
      </c>
      <c r="D419" s="132" t="str">
        <f t="shared" si="28"/>
        <v>1/2" Round 775pro 50</v>
      </c>
      <c r="E419" s="132">
        <v>3</v>
      </c>
      <c r="F419" s="132">
        <v>1</v>
      </c>
      <c r="G419" s="132">
        <v>0</v>
      </c>
      <c r="H419" s="132">
        <v>0</v>
      </c>
      <c r="I419" s="132">
        <v>0</v>
      </c>
    </row>
    <row r="420" spans="1:9" ht="14.25" customHeight="1" x14ac:dyDescent="0.25">
      <c r="A420" s="132" t="s">
        <v>240</v>
      </c>
      <c r="B420" s="132" t="s">
        <v>255</v>
      </c>
      <c r="C420" s="132">
        <v>63</v>
      </c>
      <c r="D420" s="132" t="str">
        <f t="shared" si="28"/>
        <v>1/2" Round 775pro 63</v>
      </c>
      <c r="E420" s="132">
        <v>1</v>
      </c>
      <c r="F420" s="132">
        <v>1</v>
      </c>
      <c r="G420" s="132">
        <v>0</v>
      </c>
      <c r="H420" s="132">
        <v>0</v>
      </c>
      <c r="I420" s="132">
        <v>0</v>
      </c>
    </row>
    <row r="421" spans="1:9" ht="14.25" customHeight="1" x14ac:dyDescent="0.25">
      <c r="A421" s="132" t="s">
        <v>240</v>
      </c>
      <c r="B421" s="132" t="s">
        <v>255</v>
      </c>
      <c r="C421" s="132">
        <v>70</v>
      </c>
      <c r="D421" s="132" t="str">
        <f t="shared" si="28"/>
        <v>1/2" Round 775pro 70</v>
      </c>
      <c r="E421" s="132">
        <v>1</v>
      </c>
      <c r="F421" s="132">
        <v>0</v>
      </c>
      <c r="G421" s="132">
        <v>0</v>
      </c>
      <c r="H421" s="132">
        <v>0</v>
      </c>
      <c r="I421" s="132">
        <v>0</v>
      </c>
    </row>
    <row r="422" spans="1:9" ht="14.25" customHeight="1" x14ac:dyDescent="0.25">
      <c r="A422" s="132" t="s">
        <v>240</v>
      </c>
      <c r="B422" s="132" t="s">
        <v>255</v>
      </c>
      <c r="C422" s="132">
        <v>81</v>
      </c>
      <c r="D422" s="132" t="str">
        <f t="shared" si="28"/>
        <v>1/2" Round 775pro 81</v>
      </c>
      <c r="E422" s="132">
        <v>1</v>
      </c>
      <c r="F422" s="132">
        <v>0</v>
      </c>
      <c r="G422" s="132">
        <v>0</v>
      </c>
      <c r="H422" s="132">
        <v>0</v>
      </c>
      <c r="I422" s="132">
        <v>0</v>
      </c>
    </row>
    <row r="423" spans="1:9" ht="14.25" customHeight="1" x14ac:dyDescent="0.25">
      <c r="A423" s="132" t="s">
        <v>240</v>
      </c>
      <c r="B423" s="132" t="s">
        <v>255</v>
      </c>
      <c r="C423" s="132">
        <v>90</v>
      </c>
      <c r="D423" s="132" t="str">
        <f t="shared" si="28"/>
        <v>1/2" Round 775pro 90</v>
      </c>
      <c r="E423" s="132">
        <v>1</v>
      </c>
      <c r="F423" s="132">
        <v>0</v>
      </c>
      <c r="G423" s="132">
        <v>0</v>
      </c>
      <c r="H423" s="132">
        <v>0</v>
      </c>
      <c r="I423" s="132">
        <v>0</v>
      </c>
    </row>
    <row r="424" spans="1:9" ht="14.25" customHeight="1" x14ac:dyDescent="0.25">
      <c r="A424" s="132" t="s">
        <v>240</v>
      </c>
      <c r="B424" s="132" t="s">
        <v>255</v>
      </c>
      <c r="C424" s="132">
        <v>100</v>
      </c>
      <c r="D424" s="132" t="str">
        <f t="shared" si="28"/>
        <v>1/2" Round 775pro 100</v>
      </c>
      <c r="E424" s="132">
        <v>1</v>
      </c>
      <c r="F424" s="132">
        <v>0</v>
      </c>
      <c r="G424" s="132">
        <v>0</v>
      </c>
      <c r="H424" s="132">
        <v>0</v>
      </c>
      <c r="I424" s="132">
        <v>0</v>
      </c>
    </row>
    <row r="425" spans="1:9" ht="14.25" customHeight="1" x14ac:dyDescent="0.25">
      <c r="A425" s="132" t="s">
        <v>240</v>
      </c>
      <c r="B425" s="132" t="s">
        <v>7</v>
      </c>
      <c r="C425" s="132">
        <v>-3</v>
      </c>
      <c r="D425" s="132" t="str">
        <f t="shared" ref="D425:D430" si="29">A425&amp;" "&amp;B425&amp;" "&amp;C425</f>
        <v>1/2" Round Mini CIM -3</v>
      </c>
      <c r="E425" s="132">
        <v>1</v>
      </c>
      <c r="I425" s="132">
        <v>0</v>
      </c>
    </row>
    <row r="426" spans="1:9" ht="14.25" customHeight="1" x14ac:dyDescent="0.25">
      <c r="A426" s="132" t="s">
        <v>240</v>
      </c>
      <c r="B426" s="132" t="s">
        <v>7</v>
      </c>
      <c r="C426" s="132">
        <v>-4</v>
      </c>
      <c r="D426" s="132" t="str">
        <f t="shared" si="29"/>
        <v>1/2" Round Mini CIM -4</v>
      </c>
      <c r="E426" s="132">
        <v>1</v>
      </c>
      <c r="I426" s="132">
        <v>0</v>
      </c>
    </row>
    <row r="427" spans="1:9" ht="14.25" customHeight="1" x14ac:dyDescent="0.25">
      <c r="A427" s="132" t="s">
        <v>240</v>
      </c>
      <c r="B427" s="132" t="s">
        <v>7</v>
      </c>
      <c r="C427" s="132">
        <v>-5</v>
      </c>
      <c r="D427" s="132" t="str">
        <f t="shared" si="29"/>
        <v>1/2" Round Mini CIM -5</v>
      </c>
      <c r="E427" s="132">
        <v>1</v>
      </c>
      <c r="I427" s="132">
        <v>0</v>
      </c>
    </row>
    <row r="428" spans="1:9" ht="14.25" customHeight="1" x14ac:dyDescent="0.25">
      <c r="A428" s="132" t="s">
        <v>240</v>
      </c>
      <c r="B428" s="132" t="s">
        <v>7</v>
      </c>
      <c r="C428" s="132">
        <v>-7</v>
      </c>
      <c r="D428" s="132" t="str">
        <f t="shared" si="29"/>
        <v>1/2" Round Mini CIM -7</v>
      </c>
      <c r="E428" s="132">
        <v>1</v>
      </c>
      <c r="I428" s="132">
        <v>0</v>
      </c>
    </row>
    <row r="429" spans="1:9" ht="14.25" customHeight="1" x14ac:dyDescent="0.25">
      <c r="A429" s="132" t="s">
        <v>240</v>
      </c>
      <c r="B429" s="132" t="s">
        <v>7</v>
      </c>
      <c r="C429" s="132">
        <v>-9</v>
      </c>
      <c r="D429" s="132" t="str">
        <f t="shared" si="29"/>
        <v>1/2" Round Mini CIM -9</v>
      </c>
      <c r="E429" s="132">
        <v>1</v>
      </c>
      <c r="I429" s="132">
        <v>0</v>
      </c>
    </row>
    <row r="430" spans="1:9" ht="14.25" customHeight="1" x14ac:dyDescent="0.25">
      <c r="A430" s="132" t="s">
        <v>240</v>
      </c>
      <c r="B430" s="132" t="s">
        <v>7</v>
      </c>
      <c r="C430" s="132">
        <v>-10</v>
      </c>
      <c r="D430" s="132" t="str">
        <f t="shared" si="29"/>
        <v>1/2" Round Mini CIM -10</v>
      </c>
      <c r="E430" s="132">
        <v>1</v>
      </c>
      <c r="I430" s="132">
        <v>0</v>
      </c>
    </row>
    <row r="431" spans="1:9" ht="14.25" customHeight="1" x14ac:dyDescent="0.25">
      <c r="A431" s="132" t="s">
        <v>240</v>
      </c>
      <c r="B431" s="132" t="s">
        <v>7</v>
      </c>
      <c r="C431" s="132">
        <v>9</v>
      </c>
      <c r="D431" s="132" t="str">
        <f t="shared" ref="D431:D451" si="30">A431&amp;" "&amp;B431&amp;" "&amp;C431</f>
        <v>1/2" Round Mini CIM 9</v>
      </c>
      <c r="E431" s="132">
        <v>7</v>
      </c>
      <c r="I431" s="132">
        <v>0</v>
      </c>
    </row>
    <row r="432" spans="1:9" ht="14.25" customHeight="1" x14ac:dyDescent="0.25">
      <c r="A432" s="132" t="s">
        <v>240</v>
      </c>
      <c r="B432" s="132" t="s">
        <v>7</v>
      </c>
      <c r="C432" s="132">
        <v>12</v>
      </c>
      <c r="D432" s="132" t="str">
        <f t="shared" si="30"/>
        <v>1/2" Round Mini CIM 12</v>
      </c>
      <c r="E432" s="132">
        <v>5</v>
      </c>
      <c r="I432" s="132">
        <v>0</v>
      </c>
    </row>
    <row r="433" spans="1:9" ht="14.25" customHeight="1" x14ac:dyDescent="0.25">
      <c r="A433" s="132" t="s">
        <v>240</v>
      </c>
      <c r="B433" s="132" t="s">
        <v>7</v>
      </c>
      <c r="C433" s="132">
        <v>15</v>
      </c>
      <c r="D433" s="132" t="str">
        <f t="shared" si="30"/>
        <v>1/2" Round Mini CIM 15</v>
      </c>
      <c r="E433" s="132">
        <v>5</v>
      </c>
      <c r="I433" s="132">
        <v>0</v>
      </c>
    </row>
    <row r="434" spans="1:9" ht="14.25" customHeight="1" x14ac:dyDescent="0.25">
      <c r="A434" s="132" t="s">
        <v>240</v>
      </c>
      <c r="B434" s="132" t="s">
        <v>7</v>
      </c>
      <c r="C434" s="132">
        <v>16</v>
      </c>
      <c r="D434" s="132" t="str">
        <f t="shared" si="30"/>
        <v>1/2" Round Mini CIM 16</v>
      </c>
      <c r="E434" s="132">
        <v>5</v>
      </c>
      <c r="I434" s="132">
        <v>0</v>
      </c>
    </row>
    <row r="435" spans="1:9" ht="14.25" customHeight="1" x14ac:dyDescent="0.25">
      <c r="A435" s="132" t="s">
        <v>240</v>
      </c>
      <c r="B435" s="132" t="s">
        <v>7</v>
      </c>
      <c r="C435" s="132">
        <v>20</v>
      </c>
      <c r="D435" s="132" t="str">
        <f t="shared" si="30"/>
        <v>1/2" Round Mini CIM 20</v>
      </c>
      <c r="E435" s="132">
        <v>4</v>
      </c>
      <c r="I435" s="132">
        <v>0</v>
      </c>
    </row>
    <row r="436" spans="1:9" ht="14.25" customHeight="1" x14ac:dyDescent="0.25">
      <c r="A436" s="132" t="s">
        <v>240</v>
      </c>
      <c r="B436" s="132" t="s">
        <v>7</v>
      </c>
      <c r="C436" s="132">
        <v>21</v>
      </c>
      <c r="D436" s="132" t="str">
        <f t="shared" si="30"/>
        <v>1/2" Round Mini CIM 21</v>
      </c>
      <c r="E436" s="132">
        <v>4</v>
      </c>
      <c r="I436" s="132">
        <v>0</v>
      </c>
    </row>
    <row r="437" spans="1:9" ht="14.25" customHeight="1" x14ac:dyDescent="0.25">
      <c r="A437" s="132" t="s">
        <v>240</v>
      </c>
      <c r="B437" s="132" t="s">
        <v>7</v>
      </c>
      <c r="C437" s="132">
        <v>25</v>
      </c>
      <c r="D437" s="132" t="str">
        <f t="shared" si="30"/>
        <v>1/2" Round Mini CIM 25</v>
      </c>
      <c r="E437" s="132">
        <v>3</v>
      </c>
      <c r="I437" s="132">
        <v>0</v>
      </c>
    </row>
    <row r="438" spans="1:9" ht="14.25" customHeight="1" x14ac:dyDescent="0.25">
      <c r="A438" s="132" t="s">
        <v>240</v>
      </c>
      <c r="B438" s="132" t="s">
        <v>7</v>
      </c>
      <c r="C438" s="132">
        <v>27</v>
      </c>
      <c r="D438" s="132" t="str">
        <f t="shared" si="30"/>
        <v>1/2" Round Mini CIM 27</v>
      </c>
      <c r="E438" s="132">
        <v>3</v>
      </c>
      <c r="I438" s="132">
        <v>0</v>
      </c>
    </row>
    <row r="439" spans="1:9" ht="14.25" customHeight="1" x14ac:dyDescent="0.25">
      <c r="A439" s="132" t="s">
        <v>240</v>
      </c>
      <c r="B439" s="132" t="s">
        <v>7</v>
      </c>
      <c r="C439" s="132">
        <v>28</v>
      </c>
      <c r="D439" s="132" t="str">
        <f t="shared" si="30"/>
        <v>1/2" Round Mini CIM 28</v>
      </c>
      <c r="E439" s="132">
        <v>3</v>
      </c>
      <c r="I439" s="132">
        <v>0</v>
      </c>
    </row>
    <row r="440" spans="1:9" ht="14.25" customHeight="1" x14ac:dyDescent="0.25">
      <c r="A440" s="132" t="s">
        <v>240</v>
      </c>
      <c r="B440" s="132" t="s">
        <v>7</v>
      </c>
      <c r="C440" s="132">
        <v>30</v>
      </c>
      <c r="D440" s="132" t="str">
        <f t="shared" si="30"/>
        <v>1/2" Round Mini CIM 30</v>
      </c>
      <c r="E440" s="132">
        <v>1</v>
      </c>
      <c r="I440" s="132">
        <v>0</v>
      </c>
    </row>
    <row r="441" spans="1:9" ht="14.25" customHeight="1" x14ac:dyDescent="0.25">
      <c r="A441" s="132" t="s">
        <v>240</v>
      </c>
      <c r="B441" s="132" t="s">
        <v>7</v>
      </c>
      <c r="C441" s="132">
        <v>35</v>
      </c>
      <c r="D441" s="132" t="str">
        <f t="shared" si="30"/>
        <v>1/2" Round Mini CIM 35</v>
      </c>
      <c r="E441" s="132">
        <v>1</v>
      </c>
      <c r="I441" s="132">
        <v>0</v>
      </c>
    </row>
    <row r="442" spans="1:9" ht="14.25" customHeight="1" x14ac:dyDescent="0.25">
      <c r="A442" s="132" t="s">
        <v>240</v>
      </c>
      <c r="B442" s="132" t="s">
        <v>7</v>
      </c>
      <c r="C442" s="132">
        <v>36</v>
      </c>
      <c r="D442" s="132" t="str">
        <f t="shared" si="30"/>
        <v>1/2" Round Mini CIM 36</v>
      </c>
      <c r="E442" s="132">
        <v>1</v>
      </c>
      <c r="I442" s="132">
        <v>0</v>
      </c>
    </row>
    <row r="443" spans="1:9" ht="14.25" customHeight="1" x14ac:dyDescent="0.25">
      <c r="A443" s="132" t="s">
        <v>240</v>
      </c>
      <c r="B443" s="132" t="s">
        <v>7</v>
      </c>
      <c r="C443" s="132">
        <v>40</v>
      </c>
      <c r="D443" s="132" t="str">
        <f t="shared" si="30"/>
        <v>1/2" Round Mini CIM 40</v>
      </c>
      <c r="E443" s="132">
        <v>1</v>
      </c>
      <c r="I443" s="132">
        <v>0</v>
      </c>
    </row>
    <row r="444" spans="1:9" ht="14.25" customHeight="1" x14ac:dyDescent="0.25">
      <c r="A444" s="132" t="s">
        <v>240</v>
      </c>
      <c r="B444" s="132" t="s">
        <v>7</v>
      </c>
      <c r="C444" s="132">
        <v>45</v>
      </c>
      <c r="D444" s="132" t="str">
        <f t="shared" si="30"/>
        <v>1/2" Round Mini CIM 45</v>
      </c>
      <c r="E444" s="132">
        <v>1</v>
      </c>
      <c r="I444" s="132">
        <v>0</v>
      </c>
    </row>
    <row r="445" spans="1:9" ht="14.25" customHeight="1" x14ac:dyDescent="0.25">
      <c r="A445" s="132" t="s">
        <v>240</v>
      </c>
      <c r="B445" s="132" t="s">
        <v>7</v>
      </c>
      <c r="C445" s="132">
        <v>49</v>
      </c>
      <c r="D445" s="132" t="str">
        <f t="shared" si="30"/>
        <v>1/2" Round Mini CIM 49</v>
      </c>
      <c r="E445" s="132">
        <v>1</v>
      </c>
      <c r="I445" s="132">
        <v>0</v>
      </c>
    </row>
    <row r="446" spans="1:9" ht="14.25" customHeight="1" x14ac:dyDescent="0.25">
      <c r="A446" s="132" t="s">
        <v>240</v>
      </c>
      <c r="B446" s="132" t="s">
        <v>7</v>
      </c>
      <c r="C446" s="132">
        <v>50</v>
      </c>
      <c r="D446" s="132" t="str">
        <f t="shared" si="30"/>
        <v>1/2" Round Mini CIM 50</v>
      </c>
      <c r="E446" s="132">
        <v>1</v>
      </c>
      <c r="I446" s="132">
        <v>0</v>
      </c>
    </row>
    <row r="447" spans="1:9" ht="14.25" customHeight="1" x14ac:dyDescent="0.25">
      <c r="A447" s="132" t="s">
        <v>240</v>
      </c>
      <c r="B447" s="132" t="s">
        <v>7</v>
      </c>
      <c r="C447" s="132">
        <v>63</v>
      </c>
      <c r="D447" s="132" t="str">
        <f t="shared" si="30"/>
        <v>1/2" Round Mini CIM 63</v>
      </c>
      <c r="E447" s="132">
        <v>1</v>
      </c>
      <c r="I447" s="132">
        <v>0</v>
      </c>
    </row>
    <row r="448" spans="1:9" ht="14.25" customHeight="1" x14ac:dyDescent="0.25">
      <c r="A448" s="132" t="s">
        <v>240</v>
      </c>
      <c r="B448" s="132" t="s">
        <v>7</v>
      </c>
      <c r="C448" s="132">
        <v>70</v>
      </c>
      <c r="D448" s="132" t="str">
        <f t="shared" si="30"/>
        <v>1/2" Round Mini CIM 70</v>
      </c>
      <c r="E448" s="132">
        <v>0</v>
      </c>
      <c r="I448" s="132">
        <v>0</v>
      </c>
    </row>
    <row r="449" spans="1:9" ht="14.25" customHeight="1" x14ac:dyDescent="0.25">
      <c r="A449" s="132" t="s">
        <v>240</v>
      </c>
      <c r="B449" s="132" t="s">
        <v>7</v>
      </c>
      <c r="C449" s="132">
        <v>81</v>
      </c>
      <c r="D449" s="132" t="str">
        <f t="shared" si="30"/>
        <v>1/2" Round Mini CIM 81</v>
      </c>
      <c r="E449" s="132">
        <v>0</v>
      </c>
      <c r="I449" s="132">
        <v>0</v>
      </c>
    </row>
    <row r="450" spans="1:9" ht="14.25" customHeight="1" x14ac:dyDescent="0.25">
      <c r="A450" s="132" t="s">
        <v>240</v>
      </c>
      <c r="B450" s="132" t="s">
        <v>7</v>
      </c>
      <c r="C450" s="132">
        <v>90</v>
      </c>
      <c r="D450" s="132" t="str">
        <f t="shared" si="30"/>
        <v>1/2" Round Mini CIM 90</v>
      </c>
      <c r="E450" s="132">
        <v>0</v>
      </c>
      <c r="I450" s="132">
        <v>0</v>
      </c>
    </row>
    <row r="451" spans="1:9" ht="14.25" customHeight="1" x14ac:dyDescent="0.25">
      <c r="A451" s="132" t="s">
        <v>240</v>
      </c>
      <c r="B451" s="132" t="s">
        <v>7</v>
      </c>
      <c r="C451" s="132">
        <v>100</v>
      </c>
      <c r="D451" s="132" t="str">
        <f t="shared" si="30"/>
        <v>1/2" Round Mini CIM 100</v>
      </c>
      <c r="E451" s="132">
        <v>0</v>
      </c>
      <c r="I451" s="132">
        <v>0</v>
      </c>
    </row>
    <row r="452" spans="1:9" ht="14.25" customHeight="1" x14ac:dyDescent="0.25">
      <c r="A452" s="132" t="s">
        <v>240</v>
      </c>
      <c r="B452" s="132" t="s">
        <v>6</v>
      </c>
      <c r="C452" s="132">
        <v>-3</v>
      </c>
      <c r="D452" s="132" t="str">
        <f t="shared" ref="D452:D457" si="31">A452&amp;" "&amp;B452&amp;" "&amp;C452</f>
        <v>1/2" Round CIM -3</v>
      </c>
      <c r="E452" s="132">
        <v>1</v>
      </c>
      <c r="I452" s="132">
        <v>0</v>
      </c>
    </row>
    <row r="453" spans="1:9" ht="14.25" customHeight="1" x14ac:dyDescent="0.25">
      <c r="A453" s="132" t="s">
        <v>240</v>
      </c>
      <c r="B453" s="132" t="s">
        <v>6</v>
      </c>
      <c r="C453" s="132">
        <v>-4</v>
      </c>
      <c r="D453" s="132" t="str">
        <f t="shared" si="31"/>
        <v>1/2" Round CIM -4</v>
      </c>
      <c r="E453" s="132">
        <v>1</v>
      </c>
      <c r="I453" s="132">
        <v>0</v>
      </c>
    </row>
    <row r="454" spans="1:9" ht="14.25" customHeight="1" x14ac:dyDescent="0.25">
      <c r="A454" s="132" t="s">
        <v>240</v>
      </c>
      <c r="B454" s="132" t="s">
        <v>6</v>
      </c>
      <c r="C454" s="132">
        <v>-5</v>
      </c>
      <c r="D454" s="132" t="str">
        <f t="shared" si="31"/>
        <v>1/2" Round CIM -5</v>
      </c>
      <c r="E454" s="132">
        <v>1</v>
      </c>
      <c r="I454" s="132">
        <v>0</v>
      </c>
    </row>
    <row r="455" spans="1:9" ht="14.25" customHeight="1" x14ac:dyDescent="0.25">
      <c r="A455" s="132" t="s">
        <v>240</v>
      </c>
      <c r="B455" s="132" t="s">
        <v>6</v>
      </c>
      <c r="C455" s="132">
        <v>-7</v>
      </c>
      <c r="D455" s="132" t="str">
        <f t="shared" si="31"/>
        <v>1/2" Round CIM -7</v>
      </c>
      <c r="E455" s="132">
        <v>1</v>
      </c>
      <c r="I455" s="132">
        <v>0</v>
      </c>
    </row>
    <row r="456" spans="1:9" ht="14.25" customHeight="1" x14ac:dyDescent="0.25">
      <c r="A456" s="132" t="s">
        <v>240</v>
      </c>
      <c r="B456" s="132" t="s">
        <v>6</v>
      </c>
      <c r="C456" s="132">
        <v>-9</v>
      </c>
      <c r="D456" s="132" t="str">
        <f t="shared" si="31"/>
        <v>1/2" Round CIM -9</v>
      </c>
      <c r="E456" s="132">
        <v>1</v>
      </c>
      <c r="I456" s="132">
        <v>0</v>
      </c>
    </row>
    <row r="457" spans="1:9" ht="14.25" customHeight="1" x14ac:dyDescent="0.25">
      <c r="A457" s="132" t="s">
        <v>240</v>
      </c>
      <c r="B457" s="132" t="s">
        <v>6</v>
      </c>
      <c r="C457" s="132">
        <v>-10</v>
      </c>
      <c r="D457" s="132" t="str">
        <f t="shared" si="31"/>
        <v>1/2" Round CIM -10</v>
      </c>
      <c r="E457" s="132">
        <v>1</v>
      </c>
      <c r="I457" s="132">
        <v>0</v>
      </c>
    </row>
    <row r="458" spans="1:9" ht="14.25" customHeight="1" x14ac:dyDescent="0.25">
      <c r="A458" s="132" t="s">
        <v>240</v>
      </c>
      <c r="B458" s="132" t="s">
        <v>6</v>
      </c>
      <c r="C458" s="132">
        <v>9</v>
      </c>
      <c r="D458" s="132" t="str">
        <f t="shared" ref="D458:D478" si="32">A458&amp;" "&amp;B458&amp;" "&amp;C458</f>
        <v>1/2" Round CIM 9</v>
      </c>
      <c r="E458" s="132">
        <v>5</v>
      </c>
      <c r="I458" s="132">
        <v>0</v>
      </c>
    </row>
    <row r="459" spans="1:9" ht="14.25" customHeight="1" x14ac:dyDescent="0.25">
      <c r="A459" s="132" t="s">
        <v>240</v>
      </c>
      <c r="B459" s="132" t="s">
        <v>6</v>
      </c>
      <c r="C459" s="132">
        <v>12</v>
      </c>
      <c r="D459" s="132" t="str">
        <f t="shared" si="32"/>
        <v>1/2" Round CIM 12</v>
      </c>
      <c r="E459" s="132">
        <v>4</v>
      </c>
      <c r="I459" s="132">
        <v>0</v>
      </c>
    </row>
    <row r="460" spans="1:9" ht="14.25" customHeight="1" x14ac:dyDescent="0.25">
      <c r="A460" s="132" t="s">
        <v>240</v>
      </c>
      <c r="B460" s="132" t="s">
        <v>6</v>
      </c>
      <c r="C460" s="132">
        <v>15</v>
      </c>
      <c r="D460" s="132" t="str">
        <f t="shared" si="32"/>
        <v>1/2" Round CIM 15</v>
      </c>
      <c r="E460" s="132">
        <v>3</v>
      </c>
      <c r="I460" s="132">
        <v>0</v>
      </c>
    </row>
    <row r="461" spans="1:9" ht="14.25" customHeight="1" x14ac:dyDescent="0.25">
      <c r="A461" s="132" t="s">
        <v>240</v>
      </c>
      <c r="B461" s="132" t="s">
        <v>6</v>
      </c>
      <c r="C461" s="132">
        <v>16</v>
      </c>
      <c r="D461" s="132" t="str">
        <f t="shared" si="32"/>
        <v>1/2" Round CIM 16</v>
      </c>
      <c r="E461" s="132">
        <v>3</v>
      </c>
      <c r="I461" s="132">
        <v>0</v>
      </c>
    </row>
    <row r="462" spans="1:9" ht="14.25" customHeight="1" x14ac:dyDescent="0.25">
      <c r="A462" s="132" t="s">
        <v>240</v>
      </c>
      <c r="B462" s="132" t="s">
        <v>6</v>
      </c>
      <c r="C462" s="132">
        <v>20</v>
      </c>
      <c r="D462" s="132" t="str">
        <f t="shared" si="32"/>
        <v>1/2" Round CIM 20</v>
      </c>
      <c r="E462" s="132">
        <v>1</v>
      </c>
      <c r="I462" s="132">
        <v>0</v>
      </c>
    </row>
    <row r="463" spans="1:9" ht="14.25" customHeight="1" x14ac:dyDescent="0.25">
      <c r="A463" s="132" t="s">
        <v>240</v>
      </c>
      <c r="B463" s="132" t="s">
        <v>6</v>
      </c>
      <c r="C463" s="132">
        <v>21</v>
      </c>
      <c r="D463" s="132" t="str">
        <f t="shared" si="32"/>
        <v>1/2" Round CIM 21</v>
      </c>
      <c r="E463" s="132">
        <v>1</v>
      </c>
      <c r="I463" s="132">
        <v>0</v>
      </c>
    </row>
    <row r="464" spans="1:9" ht="14.25" customHeight="1" x14ac:dyDescent="0.25">
      <c r="A464" s="132" t="s">
        <v>240</v>
      </c>
      <c r="B464" s="132" t="s">
        <v>6</v>
      </c>
      <c r="C464" s="132">
        <v>25</v>
      </c>
      <c r="D464" s="132" t="str">
        <f t="shared" si="32"/>
        <v>1/2" Round CIM 25</v>
      </c>
      <c r="E464" s="132">
        <v>1</v>
      </c>
      <c r="I464" s="132">
        <v>0</v>
      </c>
    </row>
    <row r="465" spans="1:9" ht="14.25" customHeight="1" x14ac:dyDescent="0.25">
      <c r="A465" s="132" t="s">
        <v>240</v>
      </c>
      <c r="B465" s="132" t="s">
        <v>6</v>
      </c>
      <c r="C465" s="132">
        <v>27</v>
      </c>
      <c r="D465" s="132" t="str">
        <f t="shared" si="32"/>
        <v>1/2" Round CIM 27</v>
      </c>
      <c r="E465" s="132">
        <v>1</v>
      </c>
      <c r="I465" s="132">
        <v>0</v>
      </c>
    </row>
    <row r="466" spans="1:9" ht="14.25" customHeight="1" x14ac:dyDescent="0.25">
      <c r="A466" s="132" t="s">
        <v>240</v>
      </c>
      <c r="B466" s="132" t="s">
        <v>6</v>
      </c>
      <c r="C466" s="132">
        <v>28</v>
      </c>
      <c r="D466" s="132" t="str">
        <f t="shared" si="32"/>
        <v>1/2" Round CIM 28</v>
      </c>
      <c r="E466" s="132">
        <v>1</v>
      </c>
      <c r="I466" s="132">
        <v>0</v>
      </c>
    </row>
    <row r="467" spans="1:9" ht="14.25" customHeight="1" x14ac:dyDescent="0.25">
      <c r="A467" s="132" t="s">
        <v>240</v>
      </c>
      <c r="B467" s="132" t="s">
        <v>6</v>
      </c>
      <c r="C467" s="132">
        <v>30</v>
      </c>
      <c r="D467" s="132" t="str">
        <f t="shared" si="32"/>
        <v>1/2" Round CIM 30</v>
      </c>
      <c r="E467" s="132">
        <v>1</v>
      </c>
      <c r="I467" s="132">
        <v>0</v>
      </c>
    </row>
    <row r="468" spans="1:9" ht="14.25" customHeight="1" x14ac:dyDescent="0.25">
      <c r="A468" s="132" t="s">
        <v>240</v>
      </c>
      <c r="B468" s="132" t="s">
        <v>6</v>
      </c>
      <c r="C468" s="132">
        <v>35</v>
      </c>
      <c r="D468" s="132" t="str">
        <f t="shared" si="32"/>
        <v>1/2" Round CIM 35</v>
      </c>
      <c r="E468" s="132">
        <v>1</v>
      </c>
      <c r="I468" s="132">
        <v>0</v>
      </c>
    </row>
    <row r="469" spans="1:9" ht="14.25" customHeight="1" x14ac:dyDescent="0.25">
      <c r="A469" s="132" t="s">
        <v>240</v>
      </c>
      <c r="B469" s="132" t="s">
        <v>6</v>
      </c>
      <c r="C469" s="132">
        <v>36</v>
      </c>
      <c r="D469" s="132" t="str">
        <f t="shared" si="32"/>
        <v>1/2" Round CIM 36</v>
      </c>
      <c r="E469" s="132">
        <v>1</v>
      </c>
      <c r="I469" s="132">
        <v>0</v>
      </c>
    </row>
    <row r="470" spans="1:9" ht="14.25" customHeight="1" x14ac:dyDescent="0.25">
      <c r="A470" s="132" t="s">
        <v>240</v>
      </c>
      <c r="B470" s="132" t="s">
        <v>6</v>
      </c>
      <c r="C470" s="132">
        <v>40</v>
      </c>
      <c r="D470" s="132" t="str">
        <f t="shared" si="32"/>
        <v>1/2" Round CIM 40</v>
      </c>
      <c r="E470" s="132">
        <v>1</v>
      </c>
      <c r="I470" s="132">
        <v>0</v>
      </c>
    </row>
    <row r="471" spans="1:9" ht="14.25" customHeight="1" x14ac:dyDescent="0.25">
      <c r="A471" s="132" t="s">
        <v>240</v>
      </c>
      <c r="B471" s="132" t="s">
        <v>6</v>
      </c>
      <c r="C471" s="132">
        <v>45</v>
      </c>
      <c r="D471" s="132" t="str">
        <f t="shared" si="32"/>
        <v>1/2" Round CIM 45</v>
      </c>
      <c r="E471" s="132">
        <v>1</v>
      </c>
      <c r="I471" s="132">
        <v>0</v>
      </c>
    </row>
    <row r="472" spans="1:9" ht="14.25" customHeight="1" x14ac:dyDescent="0.25">
      <c r="A472" s="132" t="s">
        <v>240</v>
      </c>
      <c r="B472" s="132" t="s">
        <v>6</v>
      </c>
      <c r="C472" s="132">
        <v>49</v>
      </c>
      <c r="D472" s="132" t="str">
        <f t="shared" si="32"/>
        <v>1/2" Round CIM 49</v>
      </c>
      <c r="E472" s="132">
        <v>0</v>
      </c>
      <c r="I472" s="132">
        <v>0</v>
      </c>
    </row>
    <row r="473" spans="1:9" ht="14.25" customHeight="1" x14ac:dyDescent="0.25">
      <c r="A473" s="132" t="s">
        <v>240</v>
      </c>
      <c r="B473" s="132" t="s">
        <v>6</v>
      </c>
      <c r="C473" s="132">
        <v>50</v>
      </c>
      <c r="D473" s="132" t="str">
        <f t="shared" si="32"/>
        <v>1/2" Round CIM 50</v>
      </c>
      <c r="E473" s="132">
        <v>1</v>
      </c>
      <c r="I473" s="132">
        <v>0</v>
      </c>
    </row>
    <row r="474" spans="1:9" ht="14.25" customHeight="1" x14ac:dyDescent="0.25">
      <c r="A474" s="132" t="s">
        <v>240</v>
      </c>
      <c r="B474" s="132" t="s">
        <v>6</v>
      </c>
      <c r="C474" s="132">
        <v>63</v>
      </c>
      <c r="D474" s="132" t="str">
        <f t="shared" si="32"/>
        <v>1/2" Round CIM 63</v>
      </c>
      <c r="E474" s="132">
        <v>0</v>
      </c>
      <c r="I474" s="132">
        <v>0</v>
      </c>
    </row>
    <row r="475" spans="1:9" ht="14.25" customHeight="1" x14ac:dyDescent="0.25">
      <c r="A475" s="132" t="s">
        <v>240</v>
      </c>
      <c r="B475" s="132" t="s">
        <v>6</v>
      </c>
      <c r="C475" s="132">
        <v>70</v>
      </c>
      <c r="D475" s="132" t="str">
        <f t="shared" si="32"/>
        <v>1/2" Round CIM 70</v>
      </c>
      <c r="E475" s="132">
        <v>0</v>
      </c>
      <c r="I475" s="132">
        <v>0</v>
      </c>
    </row>
    <row r="476" spans="1:9" ht="14.25" customHeight="1" x14ac:dyDescent="0.25">
      <c r="A476" s="132" t="s">
        <v>240</v>
      </c>
      <c r="B476" s="132" t="s">
        <v>6</v>
      </c>
      <c r="C476" s="132">
        <v>81</v>
      </c>
      <c r="D476" s="132" t="str">
        <f t="shared" si="32"/>
        <v>1/2" Round CIM 81</v>
      </c>
      <c r="E476" s="132">
        <v>0</v>
      </c>
      <c r="I476" s="132">
        <v>0</v>
      </c>
    </row>
    <row r="477" spans="1:9" ht="14.25" customHeight="1" x14ac:dyDescent="0.25">
      <c r="A477" s="132" t="s">
        <v>240</v>
      </c>
      <c r="B477" s="132" t="s">
        <v>6</v>
      </c>
      <c r="C477" s="132">
        <v>90</v>
      </c>
      <c r="D477" s="132" t="str">
        <f t="shared" si="32"/>
        <v>1/2" Round CIM 90</v>
      </c>
      <c r="E477" s="132">
        <v>0</v>
      </c>
      <c r="I477" s="132">
        <v>0</v>
      </c>
    </row>
    <row r="478" spans="1:9" ht="14.25" customHeight="1" x14ac:dyDescent="0.25">
      <c r="A478" s="132" t="s">
        <v>240</v>
      </c>
      <c r="B478" s="132" t="s">
        <v>6</v>
      </c>
      <c r="C478" s="132">
        <v>100</v>
      </c>
      <c r="D478" s="132" t="str">
        <f t="shared" si="32"/>
        <v>1/2" Round CIM 100</v>
      </c>
      <c r="E478" s="132">
        <v>0</v>
      </c>
      <c r="I478" s="132">
        <v>0</v>
      </c>
    </row>
    <row r="479" spans="1:9" ht="14.25" customHeight="1" x14ac:dyDescent="0.25">
      <c r="A479" s="132" t="s">
        <v>240</v>
      </c>
      <c r="B479" s="132" t="s">
        <v>9</v>
      </c>
      <c r="C479" s="132">
        <v>-3</v>
      </c>
      <c r="D479" s="132" t="str">
        <f t="shared" ref="D479:D484" si="33">A479&amp;" "&amp;B479&amp;" "&amp;C479</f>
        <v>1/2" Round NEO -3</v>
      </c>
      <c r="E479" s="132">
        <v>1</v>
      </c>
      <c r="I479" s="132">
        <v>0</v>
      </c>
    </row>
    <row r="480" spans="1:9" ht="14.25" customHeight="1" x14ac:dyDescent="0.25">
      <c r="A480" s="132" t="s">
        <v>240</v>
      </c>
      <c r="B480" s="132" t="s">
        <v>9</v>
      </c>
      <c r="C480" s="132">
        <v>-4</v>
      </c>
      <c r="D480" s="132" t="str">
        <f t="shared" si="33"/>
        <v>1/2" Round NEO -4</v>
      </c>
      <c r="E480" s="132">
        <v>1</v>
      </c>
      <c r="I480" s="132">
        <v>0</v>
      </c>
    </row>
    <row r="481" spans="1:9" ht="14.25" customHeight="1" x14ac:dyDescent="0.25">
      <c r="A481" s="132" t="s">
        <v>240</v>
      </c>
      <c r="B481" s="132" t="s">
        <v>9</v>
      </c>
      <c r="C481" s="132">
        <v>-5</v>
      </c>
      <c r="D481" s="132" t="str">
        <f t="shared" si="33"/>
        <v>1/2" Round NEO -5</v>
      </c>
      <c r="E481" s="132">
        <v>1</v>
      </c>
      <c r="I481" s="132">
        <v>0</v>
      </c>
    </row>
    <row r="482" spans="1:9" ht="14.25" customHeight="1" x14ac:dyDescent="0.25">
      <c r="A482" s="132" t="s">
        <v>240</v>
      </c>
      <c r="B482" s="132" t="s">
        <v>9</v>
      </c>
      <c r="C482" s="132">
        <v>-7</v>
      </c>
      <c r="D482" s="132" t="str">
        <f t="shared" si="33"/>
        <v>1/2" Round NEO -7</v>
      </c>
      <c r="E482" s="132">
        <v>1</v>
      </c>
      <c r="I482" s="132">
        <v>0</v>
      </c>
    </row>
    <row r="483" spans="1:9" ht="14.25" customHeight="1" x14ac:dyDescent="0.25">
      <c r="A483" s="132" t="s">
        <v>240</v>
      </c>
      <c r="B483" s="132" t="s">
        <v>9</v>
      </c>
      <c r="C483" s="132">
        <v>-9</v>
      </c>
      <c r="D483" s="132" t="str">
        <f t="shared" si="33"/>
        <v>1/2" Round NEO -9</v>
      </c>
      <c r="E483" s="132">
        <v>1</v>
      </c>
      <c r="I483" s="132">
        <v>0</v>
      </c>
    </row>
    <row r="484" spans="1:9" ht="14.25" customHeight="1" x14ac:dyDescent="0.25">
      <c r="A484" s="132" t="s">
        <v>240</v>
      </c>
      <c r="B484" s="132" t="s">
        <v>9</v>
      </c>
      <c r="C484" s="132">
        <v>-10</v>
      </c>
      <c r="D484" s="132" t="str">
        <f t="shared" si="33"/>
        <v>1/2" Round NEO -10</v>
      </c>
      <c r="E484" s="132">
        <v>1</v>
      </c>
      <c r="I484" s="132">
        <v>0</v>
      </c>
    </row>
    <row r="485" spans="1:9" ht="14.25" customHeight="1" x14ac:dyDescent="0.25">
      <c r="A485" s="132" t="s">
        <v>240</v>
      </c>
      <c r="B485" s="132" t="s">
        <v>9</v>
      </c>
      <c r="C485" s="132">
        <v>9</v>
      </c>
      <c r="D485" s="132" t="str">
        <f t="shared" ref="D485:D505" si="34">A485&amp;" "&amp;B485&amp;" "&amp;C485</f>
        <v>1/2" Round NEO 9</v>
      </c>
      <c r="E485" s="132">
        <v>4</v>
      </c>
      <c r="I485" s="132">
        <v>0</v>
      </c>
    </row>
    <row r="486" spans="1:9" ht="14.25" customHeight="1" x14ac:dyDescent="0.25">
      <c r="A486" s="132" t="s">
        <v>240</v>
      </c>
      <c r="B486" s="132" t="s">
        <v>9</v>
      </c>
      <c r="C486" s="132">
        <v>12</v>
      </c>
      <c r="D486" s="132" t="str">
        <f t="shared" si="34"/>
        <v>1/2" Round NEO 12</v>
      </c>
      <c r="E486" s="132">
        <v>3</v>
      </c>
      <c r="I486" s="132">
        <v>0</v>
      </c>
    </row>
    <row r="487" spans="1:9" ht="14.25" customHeight="1" x14ac:dyDescent="0.25">
      <c r="A487" s="132" t="s">
        <v>240</v>
      </c>
      <c r="B487" s="132" t="s">
        <v>9</v>
      </c>
      <c r="C487" s="132">
        <v>15</v>
      </c>
      <c r="D487" s="132" t="str">
        <f t="shared" si="34"/>
        <v>1/2" Round NEO 15</v>
      </c>
      <c r="E487" s="132">
        <v>1</v>
      </c>
      <c r="I487" s="132">
        <v>0</v>
      </c>
    </row>
    <row r="488" spans="1:9" ht="14.25" customHeight="1" x14ac:dyDescent="0.25">
      <c r="A488" s="132" t="s">
        <v>240</v>
      </c>
      <c r="B488" s="132" t="s">
        <v>9</v>
      </c>
      <c r="C488" s="132">
        <v>16</v>
      </c>
      <c r="D488" s="132" t="str">
        <f t="shared" si="34"/>
        <v>1/2" Round NEO 16</v>
      </c>
      <c r="E488" s="132">
        <v>1</v>
      </c>
      <c r="I488" s="132">
        <v>0</v>
      </c>
    </row>
    <row r="489" spans="1:9" ht="14.25" customHeight="1" x14ac:dyDescent="0.25">
      <c r="A489" s="132" t="s">
        <v>240</v>
      </c>
      <c r="B489" s="132" t="s">
        <v>9</v>
      </c>
      <c r="C489" s="132">
        <v>20</v>
      </c>
      <c r="D489" s="132" t="str">
        <f t="shared" si="34"/>
        <v>1/2" Round NEO 20</v>
      </c>
      <c r="E489" s="132">
        <v>1</v>
      </c>
      <c r="I489" s="132">
        <v>0</v>
      </c>
    </row>
    <row r="490" spans="1:9" ht="14.25" customHeight="1" x14ac:dyDescent="0.25">
      <c r="A490" s="132" t="s">
        <v>240</v>
      </c>
      <c r="B490" s="132" t="s">
        <v>9</v>
      </c>
      <c r="C490" s="132">
        <v>21</v>
      </c>
      <c r="D490" s="132" t="str">
        <f t="shared" si="34"/>
        <v>1/2" Round NEO 21</v>
      </c>
      <c r="E490" s="132">
        <v>1</v>
      </c>
      <c r="I490" s="132">
        <v>0</v>
      </c>
    </row>
    <row r="491" spans="1:9" ht="14.25" customHeight="1" x14ac:dyDescent="0.25">
      <c r="A491" s="132" t="s">
        <v>240</v>
      </c>
      <c r="B491" s="132" t="s">
        <v>9</v>
      </c>
      <c r="C491" s="132">
        <v>25</v>
      </c>
      <c r="D491" s="132" t="str">
        <f t="shared" si="34"/>
        <v>1/2" Round NEO 25</v>
      </c>
      <c r="E491" s="132">
        <v>1</v>
      </c>
      <c r="I491" s="132">
        <v>0</v>
      </c>
    </row>
    <row r="492" spans="1:9" ht="14.25" customHeight="1" x14ac:dyDescent="0.25">
      <c r="A492" s="132" t="s">
        <v>240</v>
      </c>
      <c r="B492" s="132" t="s">
        <v>9</v>
      </c>
      <c r="C492" s="132">
        <v>27</v>
      </c>
      <c r="D492" s="132" t="str">
        <f t="shared" si="34"/>
        <v>1/2" Round NEO 27</v>
      </c>
      <c r="E492" s="132">
        <v>1</v>
      </c>
      <c r="I492" s="132">
        <v>0</v>
      </c>
    </row>
    <row r="493" spans="1:9" ht="14.25" customHeight="1" x14ac:dyDescent="0.25">
      <c r="A493" s="132" t="s">
        <v>240</v>
      </c>
      <c r="B493" s="132" t="s">
        <v>9</v>
      </c>
      <c r="C493" s="132">
        <v>28</v>
      </c>
      <c r="D493" s="132" t="str">
        <f t="shared" si="34"/>
        <v>1/2" Round NEO 28</v>
      </c>
      <c r="E493" s="132">
        <v>1</v>
      </c>
      <c r="I493" s="132">
        <v>0</v>
      </c>
    </row>
    <row r="494" spans="1:9" ht="14.25" customHeight="1" x14ac:dyDescent="0.25">
      <c r="A494" s="132" t="s">
        <v>240</v>
      </c>
      <c r="B494" s="132" t="s">
        <v>9</v>
      </c>
      <c r="C494" s="132">
        <v>30</v>
      </c>
      <c r="D494" s="132" t="str">
        <f t="shared" si="34"/>
        <v>1/2" Round NEO 30</v>
      </c>
      <c r="E494" s="132">
        <v>1</v>
      </c>
      <c r="I494" s="132">
        <v>0</v>
      </c>
    </row>
    <row r="495" spans="1:9" ht="14.25" customHeight="1" x14ac:dyDescent="0.25">
      <c r="A495" s="132" t="s">
        <v>240</v>
      </c>
      <c r="B495" s="132" t="s">
        <v>9</v>
      </c>
      <c r="C495" s="132">
        <v>35</v>
      </c>
      <c r="D495" s="132" t="str">
        <f t="shared" si="34"/>
        <v>1/2" Round NEO 35</v>
      </c>
      <c r="E495" s="132">
        <v>1</v>
      </c>
      <c r="I495" s="132">
        <v>0</v>
      </c>
    </row>
    <row r="496" spans="1:9" ht="14.25" customHeight="1" x14ac:dyDescent="0.25">
      <c r="A496" s="132" t="s">
        <v>240</v>
      </c>
      <c r="B496" s="132" t="s">
        <v>9</v>
      </c>
      <c r="C496" s="132">
        <v>36</v>
      </c>
      <c r="D496" s="132" t="str">
        <f t="shared" si="34"/>
        <v>1/2" Round NEO 36</v>
      </c>
      <c r="E496" s="132">
        <v>1</v>
      </c>
      <c r="I496" s="132">
        <v>0</v>
      </c>
    </row>
    <row r="497" spans="1:9" ht="14.25" customHeight="1" x14ac:dyDescent="0.25">
      <c r="A497" s="132" t="s">
        <v>240</v>
      </c>
      <c r="B497" s="132" t="s">
        <v>9</v>
      </c>
      <c r="C497" s="132">
        <v>40</v>
      </c>
      <c r="D497" s="132" t="str">
        <f t="shared" si="34"/>
        <v>1/2" Round NEO 40</v>
      </c>
      <c r="E497" s="132">
        <v>0</v>
      </c>
      <c r="I497" s="132">
        <v>0</v>
      </c>
    </row>
    <row r="498" spans="1:9" ht="14.25" customHeight="1" x14ac:dyDescent="0.25">
      <c r="A498" s="132" t="s">
        <v>240</v>
      </c>
      <c r="B498" s="132" t="s">
        <v>9</v>
      </c>
      <c r="C498" s="132">
        <v>45</v>
      </c>
      <c r="D498" s="132" t="str">
        <f t="shared" si="34"/>
        <v>1/2" Round NEO 45</v>
      </c>
      <c r="E498" s="132">
        <v>0</v>
      </c>
      <c r="I498" s="132">
        <v>0</v>
      </c>
    </row>
    <row r="499" spans="1:9" ht="14.25" customHeight="1" x14ac:dyDescent="0.25">
      <c r="A499" s="132" t="s">
        <v>240</v>
      </c>
      <c r="B499" s="132" t="s">
        <v>9</v>
      </c>
      <c r="C499" s="132">
        <v>49</v>
      </c>
      <c r="D499" s="132" t="str">
        <f t="shared" si="34"/>
        <v>1/2" Round NEO 49</v>
      </c>
      <c r="E499" s="132">
        <v>0</v>
      </c>
      <c r="I499" s="132">
        <v>0</v>
      </c>
    </row>
    <row r="500" spans="1:9" ht="14.25" customHeight="1" x14ac:dyDescent="0.25">
      <c r="A500" s="132" t="s">
        <v>240</v>
      </c>
      <c r="B500" s="132" t="s">
        <v>9</v>
      </c>
      <c r="C500" s="132">
        <v>50</v>
      </c>
      <c r="D500" s="132" t="str">
        <f t="shared" si="34"/>
        <v>1/2" Round NEO 50</v>
      </c>
      <c r="E500" s="132">
        <v>0</v>
      </c>
      <c r="I500" s="132">
        <v>0</v>
      </c>
    </row>
    <row r="501" spans="1:9" ht="14.25" customHeight="1" x14ac:dyDescent="0.25">
      <c r="A501" s="132" t="s">
        <v>240</v>
      </c>
      <c r="B501" s="132" t="s">
        <v>9</v>
      </c>
      <c r="C501" s="132">
        <v>63</v>
      </c>
      <c r="D501" s="132" t="str">
        <f t="shared" si="34"/>
        <v>1/2" Round NEO 63</v>
      </c>
      <c r="E501" s="132">
        <v>0</v>
      </c>
      <c r="I501" s="132">
        <v>0</v>
      </c>
    </row>
    <row r="502" spans="1:9" ht="14.25" customHeight="1" x14ac:dyDescent="0.25">
      <c r="A502" s="132" t="s">
        <v>240</v>
      </c>
      <c r="B502" s="132" t="s">
        <v>9</v>
      </c>
      <c r="C502" s="132">
        <v>70</v>
      </c>
      <c r="D502" s="132" t="str">
        <f t="shared" si="34"/>
        <v>1/2" Round NEO 70</v>
      </c>
      <c r="E502" s="132">
        <v>0</v>
      </c>
      <c r="I502" s="132">
        <v>0</v>
      </c>
    </row>
    <row r="503" spans="1:9" ht="14.25" customHeight="1" x14ac:dyDescent="0.25">
      <c r="A503" s="132" t="s">
        <v>240</v>
      </c>
      <c r="B503" s="132" t="s">
        <v>9</v>
      </c>
      <c r="C503" s="132">
        <v>81</v>
      </c>
      <c r="D503" s="132" t="str">
        <f t="shared" si="34"/>
        <v>1/2" Round NEO 81</v>
      </c>
      <c r="E503" s="132">
        <v>0</v>
      </c>
      <c r="I503" s="132">
        <v>0</v>
      </c>
    </row>
    <row r="504" spans="1:9" ht="14.25" customHeight="1" x14ac:dyDescent="0.25">
      <c r="A504" s="132" t="s">
        <v>240</v>
      </c>
      <c r="B504" s="132" t="s">
        <v>9</v>
      </c>
      <c r="C504" s="132">
        <v>90</v>
      </c>
      <c r="D504" s="132" t="str">
        <f t="shared" si="34"/>
        <v>1/2" Round NEO 90</v>
      </c>
      <c r="E504" s="132">
        <v>0</v>
      </c>
      <c r="I504" s="132">
        <v>0</v>
      </c>
    </row>
    <row r="505" spans="1:9" ht="14.25" customHeight="1" x14ac:dyDescent="0.25">
      <c r="A505" s="132" t="s">
        <v>240</v>
      </c>
      <c r="B505" s="132" t="s">
        <v>9</v>
      </c>
      <c r="C505" s="132">
        <v>100</v>
      </c>
      <c r="D505" s="132" t="str">
        <f t="shared" si="34"/>
        <v>1/2" Round NEO 100</v>
      </c>
      <c r="E505" s="132">
        <v>0</v>
      </c>
      <c r="I505" s="132">
        <v>0</v>
      </c>
    </row>
    <row r="506" spans="1:9" ht="14.25" customHeight="1" x14ac:dyDescent="0.25">
      <c r="A506" s="132" t="s">
        <v>240</v>
      </c>
      <c r="B506" s="132" t="s">
        <v>333</v>
      </c>
      <c r="C506" s="132">
        <v>-3</v>
      </c>
      <c r="D506" s="132" t="str">
        <f t="shared" ref="D506:D511" si="35">A506&amp;" "&amp;B506&amp;" "&amp;C506</f>
        <v>1/2" Round Falcon 500 -3</v>
      </c>
      <c r="E506" s="132">
        <v>1</v>
      </c>
      <c r="I506" s="132">
        <v>0</v>
      </c>
    </row>
    <row r="507" spans="1:9" ht="14.25" customHeight="1" x14ac:dyDescent="0.25">
      <c r="A507" s="132" t="s">
        <v>240</v>
      </c>
      <c r="B507" s="132" t="s">
        <v>333</v>
      </c>
      <c r="C507" s="132">
        <v>-4</v>
      </c>
      <c r="D507" s="132" t="str">
        <f t="shared" si="35"/>
        <v>1/2" Round Falcon 500 -4</v>
      </c>
      <c r="E507" s="132">
        <v>1</v>
      </c>
      <c r="I507" s="132">
        <v>0</v>
      </c>
    </row>
    <row r="508" spans="1:9" ht="14.25" customHeight="1" x14ac:dyDescent="0.25">
      <c r="A508" s="132" t="s">
        <v>240</v>
      </c>
      <c r="B508" s="132" t="s">
        <v>333</v>
      </c>
      <c r="C508" s="132">
        <v>-5</v>
      </c>
      <c r="D508" s="132" t="str">
        <f t="shared" si="35"/>
        <v>1/2" Round Falcon 500 -5</v>
      </c>
      <c r="E508" s="132">
        <v>1</v>
      </c>
      <c r="I508" s="132">
        <v>0</v>
      </c>
    </row>
    <row r="509" spans="1:9" ht="14.25" customHeight="1" x14ac:dyDescent="0.25">
      <c r="A509" s="132" t="s">
        <v>240</v>
      </c>
      <c r="B509" s="132" t="s">
        <v>333</v>
      </c>
      <c r="C509" s="132">
        <v>-7</v>
      </c>
      <c r="D509" s="132" t="str">
        <f t="shared" si="35"/>
        <v>1/2" Round Falcon 500 -7</v>
      </c>
      <c r="E509" s="132">
        <v>1</v>
      </c>
      <c r="I509" s="132">
        <v>0</v>
      </c>
    </row>
    <row r="510" spans="1:9" ht="14.25" customHeight="1" x14ac:dyDescent="0.25">
      <c r="A510" s="132" t="s">
        <v>240</v>
      </c>
      <c r="B510" s="132" t="s">
        <v>333</v>
      </c>
      <c r="C510" s="132">
        <v>-9</v>
      </c>
      <c r="D510" s="132" t="str">
        <f t="shared" si="35"/>
        <v>1/2" Round Falcon 500 -9</v>
      </c>
      <c r="E510" s="132">
        <v>1</v>
      </c>
      <c r="I510" s="132">
        <v>0</v>
      </c>
    </row>
    <row r="511" spans="1:9" ht="14.25" customHeight="1" x14ac:dyDescent="0.25">
      <c r="A511" s="132" t="s">
        <v>240</v>
      </c>
      <c r="B511" s="132" t="s">
        <v>333</v>
      </c>
      <c r="C511" s="132">
        <v>-10</v>
      </c>
      <c r="D511" s="132" t="str">
        <f t="shared" si="35"/>
        <v>1/2" Round Falcon 500 -10</v>
      </c>
      <c r="E511" s="132">
        <v>1</v>
      </c>
      <c r="I511" s="132">
        <v>0</v>
      </c>
    </row>
    <row r="512" spans="1:9" ht="14.25" customHeight="1" x14ac:dyDescent="0.25">
      <c r="A512" s="132" t="s">
        <v>240</v>
      </c>
      <c r="B512" s="132" t="s">
        <v>333</v>
      </c>
      <c r="C512" s="132">
        <v>9</v>
      </c>
      <c r="D512" s="132" t="str">
        <f t="shared" ref="D512:D532" si="36">A512&amp;" "&amp;B512&amp;" "&amp;C512</f>
        <v>1/2" Round Falcon 500 9</v>
      </c>
      <c r="E512" s="132">
        <v>3</v>
      </c>
      <c r="I512" s="132">
        <v>0</v>
      </c>
    </row>
    <row r="513" spans="1:9" ht="14.25" customHeight="1" x14ac:dyDescent="0.25">
      <c r="A513" s="132" t="s">
        <v>240</v>
      </c>
      <c r="B513" s="132" t="s">
        <v>333</v>
      </c>
      <c r="C513" s="132">
        <v>12</v>
      </c>
      <c r="D513" s="132" t="str">
        <f t="shared" si="36"/>
        <v>1/2" Round Falcon 500 12</v>
      </c>
      <c r="E513" s="132">
        <v>1</v>
      </c>
      <c r="I513" s="132">
        <v>0</v>
      </c>
    </row>
    <row r="514" spans="1:9" ht="14.25" customHeight="1" x14ac:dyDescent="0.25">
      <c r="A514" s="132" t="s">
        <v>240</v>
      </c>
      <c r="B514" s="132" t="s">
        <v>333</v>
      </c>
      <c r="C514" s="132">
        <v>15</v>
      </c>
      <c r="D514" s="132" t="str">
        <f t="shared" si="36"/>
        <v>1/2" Round Falcon 500 15</v>
      </c>
      <c r="E514" s="132">
        <v>1</v>
      </c>
      <c r="I514" s="132">
        <v>0</v>
      </c>
    </row>
    <row r="515" spans="1:9" ht="14.25" customHeight="1" x14ac:dyDescent="0.25">
      <c r="A515" s="132" t="s">
        <v>240</v>
      </c>
      <c r="B515" s="132" t="s">
        <v>333</v>
      </c>
      <c r="C515" s="132">
        <v>16</v>
      </c>
      <c r="D515" s="132" t="str">
        <f t="shared" si="36"/>
        <v>1/2" Round Falcon 500 16</v>
      </c>
      <c r="E515" s="132">
        <v>1</v>
      </c>
      <c r="I515" s="132">
        <v>0</v>
      </c>
    </row>
    <row r="516" spans="1:9" ht="14.25" customHeight="1" x14ac:dyDescent="0.25">
      <c r="A516" s="132" t="s">
        <v>240</v>
      </c>
      <c r="B516" s="132" t="s">
        <v>333</v>
      </c>
      <c r="C516" s="132">
        <v>20</v>
      </c>
      <c r="D516" s="132" t="str">
        <f t="shared" si="36"/>
        <v>1/2" Round Falcon 500 20</v>
      </c>
      <c r="E516" s="132">
        <v>1</v>
      </c>
      <c r="I516" s="132">
        <v>0</v>
      </c>
    </row>
    <row r="517" spans="1:9" ht="14.25" customHeight="1" x14ac:dyDescent="0.25">
      <c r="A517" s="132" t="s">
        <v>240</v>
      </c>
      <c r="B517" s="132" t="s">
        <v>333</v>
      </c>
      <c r="C517" s="132">
        <v>21</v>
      </c>
      <c r="D517" s="132" t="str">
        <f t="shared" si="36"/>
        <v>1/2" Round Falcon 500 21</v>
      </c>
      <c r="E517" s="132">
        <v>1</v>
      </c>
      <c r="I517" s="132">
        <v>0</v>
      </c>
    </row>
    <row r="518" spans="1:9" ht="14.25" customHeight="1" x14ac:dyDescent="0.25">
      <c r="A518" s="132" t="s">
        <v>240</v>
      </c>
      <c r="B518" s="132" t="s">
        <v>333</v>
      </c>
      <c r="C518" s="132">
        <v>25</v>
      </c>
      <c r="D518" s="132" t="str">
        <f t="shared" si="36"/>
        <v>1/2" Round Falcon 500 25</v>
      </c>
      <c r="E518" s="132">
        <v>1</v>
      </c>
      <c r="I518" s="132">
        <v>0</v>
      </c>
    </row>
    <row r="519" spans="1:9" ht="14.25" customHeight="1" x14ac:dyDescent="0.25">
      <c r="A519" s="132" t="s">
        <v>240</v>
      </c>
      <c r="B519" s="132" t="s">
        <v>333</v>
      </c>
      <c r="C519" s="132">
        <v>27</v>
      </c>
      <c r="D519" s="132" t="str">
        <f t="shared" si="36"/>
        <v>1/2" Round Falcon 500 27</v>
      </c>
      <c r="E519" s="132">
        <v>1</v>
      </c>
      <c r="I519" s="132">
        <v>0</v>
      </c>
    </row>
    <row r="520" spans="1:9" ht="14.25" customHeight="1" x14ac:dyDescent="0.25">
      <c r="A520" s="132" t="s">
        <v>240</v>
      </c>
      <c r="B520" s="132" t="s">
        <v>333</v>
      </c>
      <c r="C520" s="132">
        <v>28</v>
      </c>
      <c r="D520" s="132" t="str">
        <f t="shared" si="36"/>
        <v>1/2" Round Falcon 500 28</v>
      </c>
      <c r="E520" s="132">
        <v>0</v>
      </c>
      <c r="I520" s="132">
        <v>0</v>
      </c>
    </row>
    <row r="521" spans="1:9" ht="14.25" customHeight="1" x14ac:dyDescent="0.25">
      <c r="A521" s="132" t="s">
        <v>240</v>
      </c>
      <c r="B521" s="132" t="s">
        <v>333</v>
      </c>
      <c r="C521" s="132">
        <v>30</v>
      </c>
      <c r="D521" s="132" t="str">
        <f t="shared" si="36"/>
        <v>1/2" Round Falcon 500 30</v>
      </c>
      <c r="E521" s="132">
        <v>0</v>
      </c>
      <c r="I521" s="132">
        <v>0</v>
      </c>
    </row>
    <row r="522" spans="1:9" ht="14.25" customHeight="1" x14ac:dyDescent="0.25">
      <c r="A522" s="132" t="s">
        <v>240</v>
      </c>
      <c r="B522" s="132" t="s">
        <v>333</v>
      </c>
      <c r="C522" s="132">
        <v>35</v>
      </c>
      <c r="D522" s="132" t="str">
        <f t="shared" si="36"/>
        <v>1/2" Round Falcon 500 35</v>
      </c>
      <c r="E522" s="132">
        <v>0</v>
      </c>
      <c r="I522" s="132">
        <v>0</v>
      </c>
    </row>
    <row r="523" spans="1:9" ht="14.25" customHeight="1" x14ac:dyDescent="0.25">
      <c r="A523" s="132" t="s">
        <v>240</v>
      </c>
      <c r="B523" s="132" t="s">
        <v>333</v>
      </c>
      <c r="C523" s="132">
        <v>36</v>
      </c>
      <c r="D523" s="132" t="str">
        <f t="shared" si="36"/>
        <v>1/2" Round Falcon 500 36</v>
      </c>
      <c r="E523" s="132">
        <v>0</v>
      </c>
      <c r="I523" s="132">
        <v>0</v>
      </c>
    </row>
    <row r="524" spans="1:9" ht="14.25" customHeight="1" x14ac:dyDescent="0.25">
      <c r="A524" s="132" t="s">
        <v>240</v>
      </c>
      <c r="B524" s="132" t="s">
        <v>333</v>
      </c>
      <c r="C524" s="132">
        <v>40</v>
      </c>
      <c r="D524" s="132" t="str">
        <f t="shared" si="36"/>
        <v>1/2" Round Falcon 500 40</v>
      </c>
      <c r="E524" s="132">
        <v>0</v>
      </c>
      <c r="I524" s="132">
        <v>0</v>
      </c>
    </row>
    <row r="525" spans="1:9" ht="14.25" customHeight="1" x14ac:dyDescent="0.25">
      <c r="A525" s="132" t="s">
        <v>240</v>
      </c>
      <c r="B525" s="132" t="s">
        <v>333</v>
      </c>
      <c r="C525" s="132">
        <v>45</v>
      </c>
      <c r="D525" s="132" t="str">
        <f t="shared" si="36"/>
        <v>1/2" Round Falcon 500 45</v>
      </c>
      <c r="E525" s="132">
        <v>0</v>
      </c>
      <c r="I525" s="132">
        <v>0</v>
      </c>
    </row>
    <row r="526" spans="1:9" ht="14.25" customHeight="1" x14ac:dyDescent="0.25">
      <c r="A526" s="132" t="s">
        <v>240</v>
      </c>
      <c r="B526" s="132" t="s">
        <v>333</v>
      </c>
      <c r="C526" s="132">
        <v>49</v>
      </c>
      <c r="D526" s="132" t="str">
        <f t="shared" si="36"/>
        <v>1/2" Round Falcon 500 49</v>
      </c>
      <c r="E526" s="132">
        <v>0</v>
      </c>
      <c r="I526" s="132">
        <v>0</v>
      </c>
    </row>
    <row r="527" spans="1:9" ht="14.25" customHeight="1" x14ac:dyDescent="0.25">
      <c r="A527" s="132" t="s">
        <v>240</v>
      </c>
      <c r="B527" s="132" t="s">
        <v>333</v>
      </c>
      <c r="C527" s="132">
        <v>50</v>
      </c>
      <c r="D527" s="132" t="str">
        <f t="shared" si="36"/>
        <v>1/2" Round Falcon 500 50</v>
      </c>
      <c r="E527" s="132">
        <v>0</v>
      </c>
      <c r="I527" s="132">
        <v>0</v>
      </c>
    </row>
    <row r="528" spans="1:9" ht="14.25" customHeight="1" x14ac:dyDescent="0.25">
      <c r="A528" s="132" t="s">
        <v>240</v>
      </c>
      <c r="B528" s="132" t="s">
        <v>333</v>
      </c>
      <c r="C528" s="132">
        <v>63</v>
      </c>
      <c r="D528" s="132" t="str">
        <f t="shared" si="36"/>
        <v>1/2" Round Falcon 500 63</v>
      </c>
      <c r="E528" s="132">
        <v>0</v>
      </c>
      <c r="I528" s="132">
        <v>0</v>
      </c>
    </row>
    <row r="529" spans="1:9" ht="14.25" customHeight="1" x14ac:dyDescent="0.25">
      <c r="A529" s="132" t="s">
        <v>240</v>
      </c>
      <c r="B529" s="132" t="s">
        <v>333</v>
      </c>
      <c r="C529" s="132">
        <v>70</v>
      </c>
      <c r="D529" s="132" t="str">
        <f t="shared" si="36"/>
        <v>1/2" Round Falcon 500 70</v>
      </c>
      <c r="E529" s="132">
        <v>0</v>
      </c>
      <c r="I529" s="132">
        <v>0</v>
      </c>
    </row>
    <row r="530" spans="1:9" ht="14.25" customHeight="1" x14ac:dyDescent="0.25">
      <c r="A530" s="132" t="s">
        <v>240</v>
      </c>
      <c r="B530" s="132" t="s">
        <v>333</v>
      </c>
      <c r="C530" s="132">
        <v>81</v>
      </c>
      <c r="D530" s="132" t="str">
        <f t="shared" si="36"/>
        <v>1/2" Round Falcon 500 81</v>
      </c>
      <c r="E530" s="132">
        <v>0</v>
      </c>
      <c r="I530" s="132">
        <v>0</v>
      </c>
    </row>
    <row r="531" spans="1:9" ht="14.25" customHeight="1" x14ac:dyDescent="0.25">
      <c r="A531" s="132" t="s">
        <v>240</v>
      </c>
      <c r="B531" s="132" t="s">
        <v>333</v>
      </c>
      <c r="C531" s="132">
        <v>90</v>
      </c>
      <c r="D531" s="132" t="str">
        <f t="shared" si="36"/>
        <v>1/2" Round Falcon 500 90</v>
      </c>
      <c r="E531" s="132">
        <v>0</v>
      </c>
      <c r="I531" s="132">
        <v>0</v>
      </c>
    </row>
    <row r="532" spans="1:9" ht="14.25" customHeight="1" x14ac:dyDescent="0.25">
      <c r="A532" s="132" t="s">
        <v>240</v>
      </c>
      <c r="B532" s="132" t="s">
        <v>333</v>
      </c>
      <c r="C532" s="132">
        <v>100</v>
      </c>
      <c r="D532" s="132" t="str">
        <f t="shared" si="36"/>
        <v>1/2" Round Falcon 500 100</v>
      </c>
      <c r="E532" s="132">
        <v>0</v>
      </c>
      <c r="I532" s="132">
        <v>0</v>
      </c>
    </row>
    <row r="533" spans="1:9" ht="14.25" customHeight="1" x14ac:dyDescent="0.25">
      <c r="A533" s="132" t="s">
        <v>243</v>
      </c>
      <c r="B533" s="132" t="s">
        <v>11</v>
      </c>
      <c r="C533" s="132">
        <v>-3</v>
      </c>
      <c r="D533" s="132" t="str">
        <f t="shared" ref="D533:D538" si="37">A533&amp;" "&amp;B533&amp;" "&amp;C533</f>
        <v>3/8" Hex AM 9015 -3</v>
      </c>
      <c r="E533" s="132">
        <v>1</v>
      </c>
      <c r="I533" s="132">
        <v>1</v>
      </c>
    </row>
    <row r="534" spans="1:9" ht="14.25" customHeight="1" x14ac:dyDescent="0.25">
      <c r="A534" s="132" t="s">
        <v>243</v>
      </c>
      <c r="B534" s="132" t="s">
        <v>11</v>
      </c>
      <c r="C534" s="132">
        <v>-4</v>
      </c>
      <c r="D534" s="132" t="str">
        <f t="shared" si="37"/>
        <v>3/8" Hex AM 9015 -4</v>
      </c>
      <c r="E534" s="132">
        <v>1</v>
      </c>
      <c r="I534" s="132">
        <v>1</v>
      </c>
    </row>
    <row r="535" spans="1:9" ht="14.25" customHeight="1" x14ac:dyDescent="0.25">
      <c r="A535" s="132" t="s">
        <v>243</v>
      </c>
      <c r="B535" s="132" t="s">
        <v>11</v>
      </c>
      <c r="C535" s="132">
        <v>-5</v>
      </c>
      <c r="D535" s="132" t="str">
        <f t="shared" si="37"/>
        <v>3/8" Hex AM 9015 -5</v>
      </c>
      <c r="E535" s="132">
        <v>1</v>
      </c>
      <c r="I535" s="132">
        <v>1</v>
      </c>
    </row>
    <row r="536" spans="1:9" ht="14.25" customHeight="1" x14ac:dyDescent="0.25">
      <c r="A536" s="132" t="s">
        <v>243</v>
      </c>
      <c r="B536" s="132" t="s">
        <v>11</v>
      </c>
      <c r="C536" s="132">
        <v>-7</v>
      </c>
      <c r="D536" s="132" t="str">
        <f t="shared" si="37"/>
        <v>3/8" Hex AM 9015 -7</v>
      </c>
      <c r="E536" s="132">
        <v>1</v>
      </c>
      <c r="I536" s="132">
        <v>1</v>
      </c>
    </row>
    <row r="537" spans="1:9" ht="14.25" customHeight="1" x14ac:dyDescent="0.25">
      <c r="A537" s="132" t="s">
        <v>243</v>
      </c>
      <c r="B537" s="132" t="s">
        <v>11</v>
      </c>
      <c r="C537" s="132">
        <v>-9</v>
      </c>
      <c r="D537" s="132" t="str">
        <f t="shared" si="37"/>
        <v>3/8" Hex AM 9015 -9</v>
      </c>
      <c r="E537" s="132">
        <v>1</v>
      </c>
      <c r="I537" s="132">
        <v>1</v>
      </c>
    </row>
    <row r="538" spans="1:9" ht="14.25" customHeight="1" x14ac:dyDescent="0.25">
      <c r="A538" s="132" t="s">
        <v>243</v>
      </c>
      <c r="B538" s="132" t="s">
        <v>11</v>
      </c>
      <c r="C538" s="132">
        <v>-10</v>
      </c>
      <c r="D538" s="132" t="str">
        <f t="shared" si="37"/>
        <v>3/8" Hex AM 9015 -10</v>
      </c>
      <c r="E538" s="132">
        <v>1</v>
      </c>
      <c r="I538" s="132">
        <v>1</v>
      </c>
    </row>
    <row r="539" spans="1:9" ht="14.25" customHeight="1" x14ac:dyDescent="0.25">
      <c r="A539" s="132" t="s">
        <v>243</v>
      </c>
      <c r="B539" s="132" t="s">
        <v>11</v>
      </c>
      <c r="C539" s="132">
        <v>9</v>
      </c>
      <c r="D539" s="132" t="str">
        <f t="shared" ref="D539:D559" si="38">A539&amp;" "&amp;B539&amp;" "&amp;C539</f>
        <v>3/8" Hex AM 9015 9</v>
      </c>
      <c r="E539" s="132">
        <v>10</v>
      </c>
      <c r="I539" s="132">
        <v>10</v>
      </c>
    </row>
    <row r="540" spans="1:9" ht="14.25" customHeight="1" x14ac:dyDescent="0.25">
      <c r="A540" s="132" t="s">
        <v>243</v>
      </c>
      <c r="B540" s="132" t="s">
        <v>11</v>
      </c>
      <c r="C540" s="132">
        <v>12</v>
      </c>
      <c r="D540" s="132" t="str">
        <f t="shared" si="38"/>
        <v>3/8" Hex AM 9015 12</v>
      </c>
      <c r="E540" s="132">
        <v>10</v>
      </c>
      <c r="I540" s="132">
        <v>7</v>
      </c>
    </row>
    <row r="541" spans="1:9" ht="14.25" customHeight="1" x14ac:dyDescent="0.25">
      <c r="A541" s="132" t="s">
        <v>243</v>
      </c>
      <c r="B541" s="132" t="s">
        <v>11</v>
      </c>
      <c r="C541" s="132">
        <v>15</v>
      </c>
      <c r="D541" s="132" t="str">
        <f t="shared" si="38"/>
        <v>3/8" Hex AM 9015 15</v>
      </c>
      <c r="E541" s="132">
        <v>7</v>
      </c>
      <c r="I541" s="132">
        <v>5</v>
      </c>
    </row>
    <row r="542" spans="1:9" ht="14.25" customHeight="1" x14ac:dyDescent="0.25">
      <c r="A542" s="132" t="s">
        <v>243</v>
      </c>
      <c r="B542" s="132" t="s">
        <v>11</v>
      </c>
      <c r="C542" s="132">
        <v>16</v>
      </c>
      <c r="D542" s="132" t="str">
        <f t="shared" si="38"/>
        <v>3/8" Hex AM 9015 16</v>
      </c>
      <c r="E542" s="132">
        <v>7</v>
      </c>
      <c r="I542" s="132">
        <v>5</v>
      </c>
    </row>
    <row r="543" spans="1:9" ht="14.25" customHeight="1" x14ac:dyDescent="0.25">
      <c r="A543" s="132" t="s">
        <v>243</v>
      </c>
      <c r="B543" s="132" t="s">
        <v>11</v>
      </c>
      <c r="C543" s="132">
        <v>20</v>
      </c>
      <c r="D543" s="132" t="str">
        <f t="shared" si="38"/>
        <v>3/8" Hex AM 9015 20</v>
      </c>
      <c r="E543" s="132">
        <v>5</v>
      </c>
      <c r="I543" s="132">
        <v>4</v>
      </c>
    </row>
    <row r="544" spans="1:9" ht="14.25" customHeight="1" x14ac:dyDescent="0.25">
      <c r="A544" s="132" t="s">
        <v>243</v>
      </c>
      <c r="B544" s="132" t="s">
        <v>11</v>
      </c>
      <c r="C544" s="132">
        <v>21</v>
      </c>
      <c r="D544" s="132" t="str">
        <f t="shared" si="38"/>
        <v>3/8" Hex AM 9015 21</v>
      </c>
      <c r="E544" s="132">
        <v>5</v>
      </c>
      <c r="I544" s="132">
        <v>4</v>
      </c>
    </row>
    <row r="545" spans="1:9" ht="14.25" customHeight="1" x14ac:dyDescent="0.25">
      <c r="A545" s="132" t="s">
        <v>243</v>
      </c>
      <c r="B545" s="132" t="s">
        <v>11</v>
      </c>
      <c r="C545" s="132">
        <v>25</v>
      </c>
      <c r="D545" s="132" t="str">
        <f t="shared" si="38"/>
        <v>3/8" Hex AM 9015 25</v>
      </c>
      <c r="E545" s="132">
        <v>5</v>
      </c>
      <c r="I545" s="132">
        <v>3</v>
      </c>
    </row>
    <row r="546" spans="1:9" ht="14.25" customHeight="1" x14ac:dyDescent="0.25">
      <c r="A546" s="132" t="s">
        <v>243</v>
      </c>
      <c r="B546" s="132" t="s">
        <v>11</v>
      </c>
      <c r="C546" s="132">
        <v>27</v>
      </c>
      <c r="D546" s="132" t="str">
        <f t="shared" si="38"/>
        <v>3/8" Hex AM 9015 27</v>
      </c>
      <c r="E546" s="132">
        <v>4</v>
      </c>
      <c r="I546" s="132">
        <v>3</v>
      </c>
    </row>
    <row r="547" spans="1:9" ht="14.25" customHeight="1" x14ac:dyDescent="0.25">
      <c r="A547" s="132" t="s">
        <v>243</v>
      </c>
      <c r="B547" s="132" t="s">
        <v>11</v>
      </c>
      <c r="C547" s="132">
        <v>28</v>
      </c>
      <c r="D547" s="132" t="str">
        <f t="shared" si="38"/>
        <v>3/8" Hex AM 9015 28</v>
      </c>
      <c r="E547" s="132">
        <v>4</v>
      </c>
      <c r="I547" s="132">
        <v>3</v>
      </c>
    </row>
    <row r="548" spans="1:9" ht="14.25" customHeight="1" x14ac:dyDescent="0.25">
      <c r="A548" s="132" t="s">
        <v>243</v>
      </c>
      <c r="B548" s="132" t="s">
        <v>11</v>
      </c>
      <c r="C548" s="132">
        <v>30</v>
      </c>
      <c r="D548" s="132" t="str">
        <f t="shared" si="38"/>
        <v>3/8" Hex AM 9015 30</v>
      </c>
      <c r="E548" s="132">
        <v>4</v>
      </c>
      <c r="I548" s="132">
        <v>3</v>
      </c>
    </row>
    <row r="549" spans="1:9" ht="14.25" customHeight="1" x14ac:dyDescent="0.25">
      <c r="A549" s="132" t="s">
        <v>243</v>
      </c>
      <c r="B549" s="132" t="s">
        <v>11</v>
      </c>
      <c r="C549" s="132">
        <v>35</v>
      </c>
      <c r="D549" s="132" t="str">
        <f t="shared" si="38"/>
        <v>3/8" Hex AM 9015 35</v>
      </c>
      <c r="E549" s="132">
        <v>3</v>
      </c>
      <c r="I549" s="132">
        <v>1</v>
      </c>
    </row>
    <row r="550" spans="1:9" ht="14.25" customHeight="1" x14ac:dyDescent="0.25">
      <c r="A550" s="132" t="s">
        <v>243</v>
      </c>
      <c r="B550" s="132" t="s">
        <v>11</v>
      </c>
      <c r="C550" s="132">
        <v>36</v>
      </c>
      <c r="D550" s="132" t="str">
        <f t="shared" si="38"/>
        <v>3/8" Hex AM 9015 36</v>
      </c>
      <c r="E550" s="132">
        <v>3</v>
      </c>
      <c r="I550" s="132">
        <v>1</v>
      </c>
    </row>
    <row r="551" spans="1:9" ht="14.25" customHeight="1" x14ac:dyDescent="0.25">
      <c r="A551" s="132" t="s">
        <v>243</v>
      </c>
      <c r="B551" s="132" t="s">
        <v>11</v>
      </c>
      <c r="C551" s="132">
        <v>40</v>
      </c>
      <c r="D551" s="132" t="str">
        <f t="shared" si="38"/>
        <v>3/8" Hex AM 9015 40</v>
      </c>
      <c r="E551" s="132">
        <v>3</v>
      </c>
      <c r="I551" s="132">
        <v>1</v>
      </c>
    </row>
    <row r="552" spans="1:9" ht="14.25" customHeight="1" x14ac:dyDescent="0.25">
      <c r="A552" s="132" t="s">
        <v>243</v>
      </c>
      <c r="B552" s="132" t="s">
        <v>11</v>
      </c>
      <c r="C552" s="132">
        <v>45</v>
      </c>
      <c r="D552" s="132" t="str">
        <f t="shared" si="38"/>
        <v>3/8" Hex AM 9015 45</v>
      </c>
      <c r="E552" s="132">
        <v>1</v>
      </c>
      <c r="I552" s="132">
        <v>1</v>
      </c>
    </row>
    <row r="553" spans="1:9" ht="14.25" customHeight="1" x14ac:dyDescent="0.25">
      <c r="A553" s="132" t="s">
        <v>243</v>
      </c>
      <c r="B553" s="132" t="s">
        <v>11</v>
      </c>
      <c r="C553" s="132">
        <v>49</v>
      </c>
      <c r="D553" s="132" t="str">
        <f t="shared" si="38"/>
        <v>3/8" Hex AM 9015 49</v>
      </c>
      <c r="E553" s="132">
        <v>1</v>
      </c>
      <c r="I553" s="132">
        <v>1</v>
      </c>
    </row>
    <row r="554" spans="1:9" ht="14.25" customHeight="1" x14ac:dyDescent="0.25">
      <c r="A554" s="132" t="s">
        <v>243</v>
      </c>
      <c r="B554" s="132" t="s">
        <v>11</v>
      </c>
      <c r="C554" s="132">
        <v>50</v>
      </c>
      <c r="D554" s="132" t="str">
        <f t="shared" si="38"/>
        <v>3/8" Hex AM 9015 50</v>
      </c>
      <c r="E554" s="132">
        <v>1</v>
      </c>
      <c r="I554" s="132">
        <v>1</v>
      </c>
    </row>
    <row r="555" spans="1:9" ht="14.25" customHeight="1" x14ac:dyDescent="0.25">
      <c r="A555" s="132" t="s">
        <v>243</v>
      </c>
      <c r="B555" s="132" t="s">
        <v>11</v>
      </c>
      <c r="C555" s="132">
        <v>63</v>
      </c>
      <c r="D555" s="132" t="str">
        <f t="shared" si="38"/>
        <v>3/8" Hex AM 9015 63</v>
      </c>
      <c r="E555" s="132">
        <v>1</v>
      </c>
      <c r="I555" s="132">
        <v>1</v>
      </c>
    </row>
    <row r="556" spans="1:9" ht="14.25" customHeight="1" x14ac:dyDescent="0.25">
      <c r="A556" s="132" t="s">
        <v>243</v>
      </c>
      <c r="B556" s="132" t="s">
        <v>11</v>
      </c>
      <c r="C556" s="132">
        <v>70</v>
      </c>
      <c r="D556" s="132" t="str">
        <f t="shared" si="38"/>
        <v>3/8" Hex AM 9015 70</v>
      </c>
      <c r="E556" s="132">
        <v>1</v>
      </c>
      <c r="I556" s="132">
        <v>1</v>
      </c>
    </row>
    <row r="557" spans="1:9" ht="14.25" customHeight="1" x14ac:dyDescent="0.25">
      <c r="A557" s="132" t="s">
        <v>243</v>
      </c>
      <c r="B557" s="132" t="s">
        <v>11</v>
      </c>
      <c r="C557" s="132">
        <v>81</v>
      </c>
      <c r="D557" s="132" t="str">
        <f t="shared" si="38"/>
        <v>3/8" Hex AM 9015 81</v>
      </c>
      <c r="E557" s="132">
        <v>1</v>
      </c>
      <c r="I557" s="132">
        <v>1</v>
      </c>
    </row>
    <row r="558" spans="1:9" ht="14.25" customHeight="1" x14ac:dyDescent="0.25">
      <c r="A558" s="132" t="s">
        <v>243</v>
      </c>
      <c r="B558" s="132" t="s">
        <v>11</v>
      </c>
      <c r="C558" s="132">
        <v>90</v>
      </c>
      <c r="D558" s="132" t="str">
        <f t="shared" si="38"/>
        <v>3/8" Hex AM 9015 90</v>
      </c>
      <c r="E558" s="132">
        <v>1</v>
      </c>
      <c r="I558" s="132">
        <v>1</v>
      </c>
    </row>
    <row r="559" spans="1:9" ht="14.25" customHeight="1" x14ac:dyDescent="0.25">
      <c r="A559" s="132" t="s">
        <v>243</v>
      </c>
      <c r="B559" s="132" t="s">
        <v>11</v>
      </c>
      <c r="C559" s="132">
        <v>100</v>
      </c>
      <c r="D559" s="132" t="str">
        <f t="shared" si="38"/>
        <v>3/8" Hex AM 9015 100</v>
      </c>
      <c r="E559" s="132">
        <v>1</v>
      </c>
      <c r="I559" s="132">
        <v>0</v>
      </c>
    </row>
    <row r="560" spans="1:9" ht="14.25" customHeight="1" x14ac:dyDescent="0.25">
      <c r="A560" s="132" t="s">
        <v>243</v>
      </c>
      <c r="B560" s="132" t="s">
        <v>326</v>
      </c>
      <c r="C560" s="132">
        <v>-3</v>
      </c>
      <c r="D560" s="132" t="str">
        <f t="shared" ref="D560:D565" si="39">A560&amp;" "&amp;B560&amp;" "&amp;C560</f>
        <v>3/8" Hex BB RS-550 -3</v>
      </c>
      <c r="E560" s="132">
        <v>1</v>
      </c>
      <c r="F560" s="132">
        <v>1</v>
      </c>
      <c r="G560" s="132">
        <v>1</v>
      </c>
      <c r="H560" s="132">
        <v>1</v>
      </c>
      <c r="I560" s="132">
        <v>1</v>
      </c>
    </row>
    <row r="561" spans="1:9" ht="14.25" customHeight="1" x14ac:dyDescent="0.25">
      <c r="A561" s="132" t="s">
        <v>243</v>
      </c>
      <c r="B561" s="132" t="s">
        <v>326</v>
      </c>
      <c r="C561" s="132">
        <v>-4</v>
      </c>
      <c r="D561" s="132" t="str">
        <f t="shared" si="39"/>
        <v>3/8" Hex BB RS-550 -4</v>
      </c>
      <c r="E561" s="132">
        <v>1</v>
      </c>
      <c r="F561" s="132">
        <v>1</v>
      </c>
      <c r="G561" s="132">
        <v>1</v>
      </c>
      <c r="H561" s="132">
        <v>1</v>
      </c>
      <c r="I561" s="132">
        <v>1</v>
      </c>
    </row>
    <row r="562" spans="1:9" ht="14.25" customHeight="1" x14ac:dyDescent="0.25">
      <c r="A562" s="132" t="s">
        <v>243</v>
      </c>
      <c r="B562" s="132" t="s">
        <v>326</v>
      </c>
      <c r="C562" s="132">
        <v>-5</v>
      </c>
      <c r="D562" s="132" t="str">
        <f t="shared" si="39"/>
        <v>3/8" Hex BB RS-550 -5</v>
      </c>
      <c r="E562" s="132">
        <v>1</v>
      </c>
      <c r="F562" s="132">
        <v>1</v>
      </c>
      <c r="G562" s="132">
        <v>0</v>
      </c>
      <c r="H562" s="132">
        <v>1</v>
      </c>
      <c r="I562" s="132">
        <v>1</v>
      </c>
    </row>
    <row r="563" spans="1:9" ht="14.25" customHeight="1" x14ac:dyDescent="0.25">
      <c r="A563" s="132" t="s">
        <v>243</v>
      </c>
      <c r="B563" s="132" t="s">
        <v>326</v>
      </c>
      <c r="C563" s="132">
        <v>-7</v>
      </c>
      <c r="D563" s="132" t="str">
        <f t="shared" si="39"/>
        <v>3/8" Hex BB RS-550 -7</v>
      </c>
      <c r="E563" s="132">
        <v>1</v>
      </c>
      <c r="F563" s="132">
        <v>1</v>
      </c>
      <c r="G563" s="132">
        <v>0</v>
      </c>
      <c r="H563" s="132">
        <v>0</v>
      </c>
      <c r="I563" s="132">
        <v>1</v>
      </c>
    </row>
    <row r="564" spans="1:9" ht="14.25" customHeight="1" x14ac:dyDescent="0.25">
      <c r="A564" s="132" t="s">
        <v>243</v>
      </c>
      <c r="B564" s="132" t="s">
        <v>326</v>
      </c>
      <c r="C564" s="132">
        <v>-9</v>
      </c>
      <c r="D564" s="132" t="str">
        <f t="shared" si="39"/>
        <v>3/8" Hex BB RS-550 -9</v>
      </c>
      <c r="E564" s="132">
        <v>1</v>
      </c>
      <c r="F564" s="132">
        <v>1</v>
      </c>
      <c r="G564" s="132">
        <v>0</v>
      </c>
      <c r="H564" s="132">
        <v>0</v>
      </c>
      <c r="I564" s="132">
        <v>1</v>
      </c>
    </row>
    <row r="565" spans="1:9" ht="14.25" customHeight="1" x14ac:dyDescent="0.25">
      <c r="A565" s="132" t="s">
        <v>243</v>
      </c>
      <c r="B565" s="132" t="s">
        <v>326</v>
      </c>
      <c r="C565" s="132">
        <v>-10</v>
      </c>
      <c r="D565" s="132" t="str">
        <f t="shared" si="39"/>
        <v>3/8" Hex BB RS-550 -10</v>
      </c>
      <c r="E565" s="132">
        <v>1</v>
      </c>
      <c r="F565" s="132">
        <v>1</v>
      </c>
      <c r="G565" s="132">
        <v>0</v>
      </c>
      <c r="H565" s="132">
        <v>0</v>
      </c>
      <c r="I565" s="132">
        <v>1</v>
      </c>
    </row>
    <row r="566" spans="1:9" ht="14.25" customHeight="1" x14ac:dyDescent="0.25">
      <c r="A566" s="132" t="s">
        <v>243</v>
      </c>
      <c r="B566" s="132" t="s">
        <v>326</v>
      </c>
      <c r="C566" s="132">
        <v>9</v>
      </c>
      <c r="D566" s="132" t="str">
        <f t="shared" ref="D566:D586" si="40">A566&amp;" "&amp;B566&amp;" "&amp;C566</f>
        <v>3/8" Hex BB RS-550 9</v>
      </c>
      <c r="E566" s="132">
        <v>10</v>
      </c>
      <c r="F566" s="132">
        <v>5</v>
      </c>
      <c r="G566" s="132">
        <v>0</v>
      </c>
      <c r="H566" s="132">
        <v>0</v>
      </c>
      <c r="I566" s="132">
        <v>10</v>
      </c>
    </row>
    <row r="567" spans="1:9" ht="14.25" customHeight="1" x14ac:dyDescent="0.25">
      <c r="A567" s="132" t="s">
        <v>243</v>
      </c>
      <c r="B567" s="132" t="s">
        <v>326</v>
      </c>
      <c r="C567" s="132">
        <v>12</v>
      </c>
      <c r="D567" s="132" t="str">
        <f t="shared" si="40"/>
        <v>3/8" Hex BB RS-550 12</v>
      </c>
      <c r="E567" s="132">
        <v>9</v>
      </c>
      <c r="F567" s="132">
        <v>4</v>
      </c>
      <c r="G567" s="132">
        <v>0</v>
      </c>
      <c r="H567" s="132">
        <v>0</v>
      </c>
      <c r="I567" s="132">
        <v>7</v>
      </c>
    </row>
    <row r="568" spans="1:9" ht="14.25" customHeight="1" x14ac:dyDescent="0.25">
      <c r="A568" s="132" t="s">
        <v>243</v>
      </c>
      <c r="B568" s="132" t="s">
        <v>326</v>
      </c>
      <c r="C568" s="132">
        <v>15</v>
      </c>
      <c r="D568" s="132" t="str">
        <f t="shared" si="40"/>
        <v>3/8" Hex BB RS-550 15</v>
      </c>
      <c r="E568" s="132">
        <v>7</v>
      </c>
      <c r="F568" s="132">
        <v>3</v>
      </c>
      <c r="G568" s="132">
        <v>0</v>
      </c>
      <c r="H568" s="132">
        <v>0</v>
      </c>
      <c r="I568" s="132">
        <v>5</v>
      </c>
    </row>
    <row r="569" spans="1:9" ht="14.25" customHeight="1" x14ac:dyDescent="0.25">
      <c r="A569" s="132" t="s">
        <v>243</v>
      </c>
      <c r="B569" s="132" t="s">
        <v>326</v>
      </c>
      <c r="C569" s="132">
        <v>16</v>
      </c>
      <c r="D569" s="132" t="str">
        <f t="shared" si="40"/>
        <v>3/8" Hex BB RS-550 16</v>
      </c>
      <c r="E569" s="132">
        <v>7</v>
      </c>
      <c r="F569" s="132">
        <v>3</v>
      </c>
      <c r="G569" s="132">
        <v>0</v>
      </c>
      <c r="H569" s="132">
        <v>0</v>
      </c>
      <c r="I569" s="132">
        <v>5</v>
      </c>
    </row>
    <row r="570" spans="1:9" ht="14.25" customHeight="1" x14ac:dyDescent="0.25">
      <c r="A570" s="132" t="s">
        <v>243</v>
      </c>
      <c r="B570" s="132" t="s">
        <v>326</v>
      </c>
      <c r="C570" s="132">
        <v>20</v>
      </c>
      <c r="D570" s="132" t="str">
        <f t="shared" si="40"/>
        <v>3/8" Hex BB RS-550 20</v>
      </c>
      <c r="E570" s="132">
        <v>5</v>
      </c>
      <c r="F570" s="132">
        <v>1</v>
      </c>
      <c r="G570" s="132">
        <v>0</v>
      </c>
      <c r="H570" s="132">
        <v>0</v>
      </c>
      <c r="I570" s="132">
        <v>4</v>
      </c>
    </row>
    <row r="571" spans="1:9" ht="14.25" customHeight="1" x14ac:dyDescent="0.25">
      <c r="A571" s="132" t="s">
        <v>243</v>
      </c>
      <c r="B571" s="132" t="s">
        <v>326</v>
      </c>
      <c r="C571" s="132">
        <v>21</v>
      </c>
      <c r="D571" s="132" t="str">
        <f t="shared" si="40"/>
        <v>3/8" Hex BB RS-550 21</v>
      </c>
      <c r="E571" s="132">
        <v>5</v>
      </c>
      <c r="F571" s="132">
        <v>1</v>
      </c>
      <c r="G571" s="132">
        <v>0</v>
      </c>
      <c r="H571" s="132">
        <v>0</v>
      </c>
      <c r="I571" s="132">
        <v>4</v>
      </c>
    </row>
    <row r="572" spans="1:9" ht="14.25" customHeight="1" x14ac:dyDescent="0.25">
      <c r="A572" s="132" t="s">
        <v>243</v>
      </c>
      <c r="B572" s="132" t="s">
        <v>326</v>
      </c>
      <c r="C572" s="132">
        <v>25</v>
      </c>
      <c r="D572" s="132" t="str">
        <f t="shared" si="40"/>
        <v>3/8" Hex BB RS-550 25</v>
      </c>
      <c r="E572" s="132">
        <v>4</v>
      </c>
      <c r="F572" s="132">
        <v>1</v>
      </c>
      <c r="G572" s="132">
        <v>0</v>
      </c>
      <c r="H572" s="132">
        <v>0</v>
      </c>
      <c r="I572" s="132">
        <v>3</v>
      </c>
    </row>
    <row r="573" spans="1:9" ht="14.25" customHeight="1" x14ac:dyDescent="0.25">
      <c r="A573" s="132" t="s">
        <v>243</v>
      </c>
      <c r="B573" s="132" t="s">
        <v>326</v>
      </c>
      <c r="C573" s="132">
        <v>27</v>
      </c>
      <c r="D573" s="132" t="str">
        <f t="shared" si="40"/>
        <v>3/8" Hex BB RS-550 27</v>
      </c>
      <c r="E573" s="132">
        <v>4</v>
      </c>
      <c r="F573" s="132">
        <v>1</v>
      </c>
      <c r="G573" s="132">
        <v>0</v>
      </c>
      <c r="H573" s="132">
        <v>0</v>
      </c>
      <c r="I573" s="132">
        <v>3</v>
      </c>
    </row>
    <row r="574" spans="1:9" ht="14.25" customHeight="1" x14ac:dyDescent="0.25">
      <c r="A574" s="132" t="s">
        <v>243</v>
      </c>
      <c r="B574" s="132" t="s">
        <v>326</v>
      </c>
      <c r="C574" s="132">
        <v>28</v>
      </c>
      <c r="D574" s="132" t="str">
        <f t="shared" si="40"/>
        <v>3/8" Hex BB RS-550 28</v>
      </c>
      <c r="E574" s="132">
        <v>4</v>
      </c>
      <c r="F574" s="132">
        <v>1</v>
      </c>
      <c r="G574" s="132">
        <v>0</v>
      </c>
      <c r="H574" s="132">
        <v>0</v>
      </c>
      <c r="I574" s="132">
        <v>3</v>
      </c>
    </row>
    <row r="575" spans="1:9" ht="14.25" customHeight="1" x14ac:dyDescent="0.25">
      <c r="A575" s="132" t="s">
        <v>243</v>
      </c>
      <c r="B575" s="132" t="s">
        <v>326</v>
      </c>
      <c r="C575" s="132">
        <v>30</v>
      </c>
      <c r="D575" s="132" t="str">
        <f t="shared" si="40"/>
        <v>3/8" Hex BB RS-550 30</v>
      </c>
      <c r="E575" s="132">
        <v>3</v>
      </c>
      <c r="F575" s="132">
        <v>1</v>
      </c>
      <c r="G575" s="132">
        <v>0</v>
      </c>
      <c r="H575" s="132">
        <v>0</v>
      </c>
      <c r="I575" s="132">
        <v>3</v>
      </c>
    </row>
    <row r="576" spans="1:9" ht="14.25" customHeight="1" x14ac:dyDescent="0.25">
      <c r="A576" s="132" t="s">
        <v>243</v>
      </c>
      <c r="B576" s="132" t="s">
        <v>326</v>
      </c>
      <c r="C576" s="132">
        <v>35</v>
      </c>
      <c r="D576" s="132" t="str">
        <f t="shared" si="40"/>
        <v>3/8" Hex BB RS-550 35</v>
      </c>
      <c r="E576" s="132">
        <v>3</v>
      </c>
      <c r="F576" s="132">
        <v>1</v>
      </c>
      <c r="G576" s="132">
        <v>0</v>
      </c>
      <c r="H576" s="132">
        <v>0</v>
      </c>
      <c r="I576" s="132">
        <v>1</v>
      </c>
    </row>
    <row r="577" spans="1:9" ht="14.25" customHeight="1" x14ac:dyDescent="0.25">
      <c r="A577" s="132" t="s">
        <v>243</v>
      </c>
      <c r="B577" s="132" t="s">
        <v>326</v>
      </c>
      <c r="C577" s="132">
        <v>36</v>
      </c>
      <c r="D577" s="132" t="str">
        <f t="shared" si="40"/>
        <v>3/8" Hex BB RS-550 36</v>
      </c>
      <c r="E577" s="132">
        <v>3</v>
      </c>
      <c r="F577" s="132">
        <v>1</v>
      </c>
      <c r="G577" s="132">
        <v>0</v>
      </c>
      <c r="H577" s="132">
        <v>0</v>
      </c>
      <c r="I577" s="132">
        <v>1</v>
      </c>
    </row>
    <row r="578" spans="1:9" ht="14.25" customHeight="1" x14ac:dyDescent="0.25">
      <c r="A578" s="132" t="s">
        <v>243</v>
      </c>
      <c r="B578" s="132" t="s">
        <v>326</v>
      </c>
      <c r="C578" s="132">
        <v>40</v>
      </c>
      <c r="D578" s="132" t="str">
        <f t="shared" si="40"/>
        <v>3/8" Hex BB RS-550 40</v>
      </c>
      <c r="E578" s="132">
        <v>1</v>
      </c>
      <c r="F578" s="132">
        <v>1</v>
      </c>
      <c r="G578" s="132">
        <v>0</v>
      </c>
      <c r="H578" s="132">
        <v>0</v>
      </c>
      <c r="I578" s="132">
        <v>5</v>
      </c>
    </row>
    <row r="579" spans="1:9" ht="14.25" customHeight="1" x14ac:dyDescent="0.25">
      <c r="A579" s="132" t="s">
        <v>243</v>
      </c>
      <c r="B579" s="132" t="s">
        <v>326</v>
      </c>
      <c r="C579" s="132">
        <v>45</v>
      </c>
      <c r="D579" s="132" t="str">
        <f t="shared" si="40"/>
        <v>3/8" Hex BB RS-550 45</v>
      </c>
      <c r="E579" s="132">
        <v>1</v>
      </c>
      <c r="F579" s="132">
        <v>1</v>
      </c>
      <c r="G579" s="132">
        <v>0</v>
      </c>
      <c r="H579" s="132">
        <v>0</v>
      </c>
      <c r="I579" s="132">
        <v>4</v>
      </c>
    </row>
    <row r="580" spans="1:9" ht="14.25" customHeight="1" x14ac:dyDescent="0.25">
      <c r="A580" s="132" t="s">
        <v>243</v>
      </c>
      <c r="B580" s="132" t="s">
        <v>326</v>
      </c>
      <c r="C580" s="132">
        <v>49</v>
      </c>
      <c r="D580" s="132" t="str">
        <f t="shared" si="40"/>
        <v>3/8" Hex BB RS-550 49</v>
      </c>
      <c r="E580" s="132">
        <v>1</v>
      </c>
      <c r="F580" s="132">
        <v>1</v>
      </c>
      <c r="G580" s="132">
        <v>0</v>
      </c>
      <c r="H580" s="132">
        <v>0</v>
      </c>
      <c r="I580" s="132">
        <v>4</v>
      </c>
    </row>
    <row r="581" spans="1:9" ht="14.25" customHeight="1" x14ac:dyDescent="0.25">
      <c r="A581" s="132" t="s">
        <v>243</v>
      </c>
      <c r="B581" s="132" t="s">
        <v>326</v>
      </c>
      <c r="C581" s="132">
        <v>50</v>
      </c>
      <c r="D581" s="132" t="str">
        <f t="shared" si="40"/>
        <v>3/8" Hex BB RS-550 50</v>
      </c>
      <c r="E581" s="132">
        <v>1</v>
      </c>
      <c r="F581" s="132">
        <v>1</v>
      </c>
      <c r="G581" s="132">
        <v>0</v>
      </c>
      <c r="H581" s="132">
        <v>0</v>
      </c>
      <c r="I581" s="132">
        <v>1</v>
      </c>
    </row>
    <row r="582" spans="1:9" ht="14.25" customHeight="1" x14ac:dyDescent="0.25">
      <c r="A582" s="132" t="s">
        <v>243</v>
      </c>
      <c r="B582" s="132" t="s">
        <v>326</v>
      </c>
      <c r="C582" s="132">
        <v>63</v>
      </c>
      <c r="D582" s="132" t="str">
        <f t="shared" si="40"/>
        <v>3/8" Hex BB RS-550 63</v>
      </c>
      <c r="E582" s="132">
        <v>1</v>
      </c>
      <c r="F582" s="132">
        <v>0</v>
      </c>
      <c r="G582" s="132">
        <v>0</v>
      </c>
      <c r="H582" s="132">
        <v>0</v>
      </c>
      <c r="I582" s="132">
        <v>1</v>
      </c>
    </row>
    <row r="583" spans="1:9" ht="14.25" customHeight="1" x14ac:dyDescent="0.25">
      <c r="A583" s="132" t="s">
        <v>243</v>
      </c>
      <c r="B583" s="132" t="s">
        <v>326</v>
      </c>
      <c r="C583" s="132">
        <v>70</v>
      </c>
      <c r="D583" s="132" t="str">
        <f t="shared" si="40"/>
        <v>3/8" Hex BB RS-550 70</v>
      </c>
      <c r="E583" s="132">
        <v>1</v>
      </c>
      <c r="F583" s="132">
        <v>0</v>
      </c>
      <c r="G583" s="132">
        <v>0</v>
      </c>
      <c r="H583" s="132">
        <v>0</v>
      </c>
      <c r="I583" s="132">
        <v>1</v>
      </c>
    </row>
    <row r="584" spans="1:9" ht="14.25" customHeight="1" x14ac:dyDescent="0.25">
      <c r="A584" s="132" t="s">
        <v>243</v>
      </c>
      <c r="B584" s="132" t="s">
        <v>326</v>
      </c>
      <c r="C584" s="132">
        <v>81</v>
      </c>
      <c r="D584" s="132" t="str">
        <f t="shared" si="40"/>
        <v>3/8" Hex BB RS-550 81</v>
      </c>
      <c r="E584" s="132">
        <v>1</v>
      </c>
      <c r="F584" s="132">
        <v>0</v>
      </c>
      <c r="G584" s="132">
        <v>0</v>
      </c>
      <c r="H584" s="132">
        <v>0</v>
      </c>
      <c r="I584" s="132">
        <v>1</v>
      </c>
    </row>
    <row r="585" spans="1:9" ht="14.25" customHeight="1" x14ac:dyDescent="0.25">
      <c r="A585" s="132" t="s">
        <v>243</v>
      </c>
      <c r="B585" s="132" t="s">
        <v>326</v>
      </c>
      <c r="C585" s="132">
        <v>90</v>
      </c>
      <c r="D585" s="132" t="str">
        <f t="shared" si="40"/>
        <v>3/8" Hex BB RS-550 90</v>
      </c>
      <c r="E585" s="132">
        <v>1</v>
      </c>
      <c r="F585" s="132">
        <v>0</v>
      </c>
      <c r="G585" s="132">
        <v>0</v>
      </c>
      <c r="H585" s="132">
        <v>0</v>
      </c>
      <c r="I585" s="132">
        <v>1</v>
      </c>
    </row>
    <row r="586" spans="1:9" ht="14.25" customHeight="1" x14ac:dyDescent="0.25">
      <c r="A586" s="132" t="s">
        <v>243</v>
      </c>
      <c r="B586" s="132" t="s">
        <v>326</v>
      </c>
      <c r="C586" s="132">
        <v>100</v>
      </c>
      <c r="D586" s="132" t="str">
        <f t="shared" si="40"/>
        <v>3/8" Hex BB RS-550 100</v>
      </c>
      <c r="E586" s="132">
        <v>1</v>
      </c>
      <c r="F586" s="132">
        <v>0</v>
      </c>
      <c r="G586" s="132">
        <v>0</v>
      </c>
      <c r="H586" s="132">
        <v>0</v>
      </c>
      <c r="I586" s="132">
        <v>0</v>
      </c>
    </row>
    <row r="587" spans="1:9" ht="14.25" customHeight="1" x14ac:dyDescent="0.25">
      <c r="A587" s="132" t="s">
        <v>243</v>
      </c>
      <c r="B587" s="132" t="s">
        <v>327</v>
      </c>
      <c r="C587" s="132">
        <v>-3</v>
      </c>
      <c r="D587" s="132" t="str">
        <f t="shared" ref="D587:D592" si="41">A587&amp;" "&amp;B587&amp;" "&amp;C587</f>
        <v>3/8" Hex BB RS-775 -3</v>
      </c>
      <c r="E587" s="132">
        <v>1</v>
      </c>
      <c r="F587" s="132">
        <v>1</v>
      </c>
      <c r="G587" s="132">
        <v>0</v>
      </c>
      <c r="H587" s="132">
        <v>0</v>
      </c>
      <c r="I587" s="132">
        <v>1</v>
      </c>
    </row>
    <row r="588" spans="1:9" ht="14.25" customHeight="1" x14ac:dyDescent="0.25">
      <c r="A588" s="132" t="s">
        <v>243</v>
      </c>
      <c r="B588" s="132" t="s">
        <v>327</v>
      </c>
      <c r="C588" s="132">
        <v>-4</v>
      </c>
      <c r="D588" s="132" t="str">
        <f t="shared" si="41"/>
        <v>3/8" Hex BB RS-775 -4</v>
      </c>
      <c r="E588" s="132">
        <v>1</v>
      </c>
      <c r="F588" s="132">
        <v>1</v>
      </c>
      <c r="G588" s="132">
        <v>0</v>
      </c>
      <c r="H588" s="132">
        <v>0</v>
      </c>
      <c r="I588" s="132">
        <v>1</v>
      </c>
    </row>
    <row r="589" spans="1:9" ht="14.25" customHeight="1" x14ac:dyDescent="0.25">
      <c r="A589" s="132" t="s">
        <v>243</v>
      </c>
      <c r="B589" s="132" t="s">
        <v>327</v>
      </c>
      <c r="C589" s="132">
        <v>-5</v>
      </c>
      <c r="D589" s="132" t="str">
        <f t="shared" si="41"/>
        <v>3/8" Hex BB RS-775 -5</v>
      </c>
      <c r="E589" s="132">
        <v>1</v>
      </c>
      <c r="F589" s="132">
        <v>1</v>
      </c>
      <c r="G589" s="132">
        <v>0</v>
      </c>
      <c r="H589" s="132">
        <v>0</v>
      </c>
      <c r="I589" s="132">
        <v>1</v>
      </c>
    </row>
    <row r="590" spans="1:9" ht="14.25" customHeight="1" x14ac:dyDescent="0.25">
      <c r="A590" s="132" t="s">
        <v>243</v>
      </c>
      <c r="B590" s="132" t="s">
        <v>327</v>
      </c>
      <c r="C590" s="132">
        <v>-7</v>
      </c>
      <c r="D590" s="132" t="str">
        <f t="shared" si="41"/>
        <v>3/8" Hex BB RS-775 -7</v>
      </c>
      <c r="E590" s="132">
        <v>1</v>
      </c>
      <c r="F590" s="132">
        <v>1</v>
      </c>
      <c r="G590" s="132">
        <v>0</v>
      </c>
      <c r="H590" s="132">
        <v>0</v>
      </c>
      <c r="I590" s="132">
        <v>1</v>
      </c>
    </row>
    <row r="591" spans="1:9" ht="14.25" customHeight="1" x14ac:dyDescent="0.25">
      <c r="A591" s="132" t="s">
        <v>243</v>
      </c>
      <c r="B591" s="132" t="s">
        <v>327</v>
      </c>
      <c r="C591" s="132">
        <v>-9</v>
      </c>
      <c r="D591" s="132" t="str">
        <f t="shared" si="41"/>
        <v>3/8" Hex BB RS-775 -9</v>
      </c>
      <c r="E591" s="132">
        <v>1</v>
      </c>
      <c r="F591" s="132">
        <v>1</v>
      </c>
      <c r="G591" s="132">
        <v>0</v>
      </c>
      <c r="H591" s="132">
        <v>0</v>
      </c>
      <c r="I591" s="132">
        <v>1</v>
      </c>
    </row>
    <row r="592" spans="1:9" ht="14.25" customHeight="1" x14ac:dyDescent="0.25">
      <c r="A592" s="132" t="s">
        <v>243</v>
      </c>
      <c r="B592" s="132" t="s">
        <v>327</v>
      </c>
      <c r="C592" s="132">
        <v>-10</v>
      </c>
      <c r="D592" s="132" t="str">
        <f t="shared" si="41"/>
        <v>3/8" Hex BB RS-775 -10</v>
      </c>
      <c r="E592" s="132">
        <v>1</v>
      </c>
      <c r="F592" s="132">
        <v>1</v>
      </c>
      <c r="G592" s="132">
        <v>0</v>
      </c>
      <c r="H592" s="132">
        <v>0</v>
      </c>
      <c r="I592" s="132">
        <v>1</v>
      </c>
    </row>
    <row r="593" spans="1:9" ht="14.25" customHeight="1" x14ac:dyDescent="0.25">
      <c r="A593" s="132" t="s">
        <v>243</v>
      </c>
      <c r="B593" s="132" t="s">
        <v>327</v>
      </c>
      <c r="C593" s="132">
        <v>9</v>
      </c>
      <c r="D593" s="132" t="str">
        <f t="shared" ref="D593:D613" si="42">A593&amp;" "&amp;B593&amp;" "&amp;C593</f>
        <v>3/8" Hex BB RS-775 9</v>
      </c>
      <c r="E593" s="132">
        <v>7</v>
      </c>
      <c r="F593" s="132">
        <v>3</v>
      </c>
      <c r="G593" s="132">
        <v>0</v>
      </c>
      <c r="H593" s="132">
        <v>0</v>
      </c>
      <c r="I593" s="132">
        <v>10</v>
      </c>
    </row>
    <row r="594" spans="1:9" ht="14.25" customHeight="1" x14ac:dyDescent="0.25">
      <c r="A594" s="132" t="s">
        <v>243</v>
      </c>
      <c r="B594" s="132" t="s">
        <v>327</v>
      </c>
      <c r="C594" s="132">
        <v>12</v>
      </c>
      <c r="D594" s="132" t="str">
        <f t="shared" si="42"/>
        <v>3/8" Hex BB RS-775 12</v>
      </c>
      <c r="E594" s="132">
        <v>5</v>
      </c>
      <c r="F594" s="132">
        <v>1</v>
      </c>
      <c r="G594" s="132">
        <v>0</v>
      </c>
      <c r="H594" s="132">
        <v>0</v>
      </c>
      <c r="I594" s="132">
        <v>10</v>
      </c>
    </row>
    <row r="595" spans="1:9" ht="14.25" customHeight="1" x14ac:dyDescent="0.25">
      <c r="A595" s="132" t="s">
        <v>243</v>
      </c>
      <c r="B595" s="132" t="s">
        <v>327</v>
      </c>
      <c r="C595" s="132">
        <v>15</v>
      </c>
      <c r="D595" s="132" t="str">
        <f t="shared" si="42"/>
        <v>3/8" Hex BB RS-775 15</v>
      </c>
      <c r="E595" s="132">
        <v>4</v>
      </c>
      <c r="F595" s="132">
        <v>1</v>
      </c>
      <c r="G595" s="132">
        <v>0</v>
      </c>
      <c r="H595" s="132">
        <v>0</v>
      </c>
      <c r="I595" s="132">
        <v>7</v>
      </c>
    </row>
    <row r="596" spans="1:9" ht="14.25" customHeight="1" x14ac:dyDescent="0.25">
      <c r="A596" s="132" t="s">
        <v>243</v>
      </c>
      <c r="B596" s="132" t="s">
        <v>327</v>
      </c>
      <c r="C596" s="132">
        <v>16</v>
      </c>
      <c r="D596" s="132" t="str">
        <f t="shared" si="42"/>
        <v>3/8" Hex BB RS-775 16</v>
      </c>
      <c r="E596" s="132">
        <v>4</v>
      </c>
      <c r="F596" s="132">
        <v>1</v>
      </c>
      <c r="G596" s="132">
        <v>0</v>
      </c>
      <c r="H596" s="132">
        <v>0</v>
      </c>
      <c r="I596" s="132">
        <v>7</v>
      </c>
    </row>
    <row r="597" spans="1:9" ht="14.25" customHeight="1" x14ac:dyDescent="0.25">
      <c r="A597" s="132" t="s">
        <v>243</v>
      </c>
      <c r="B597" s="132" t="s">
        <v>327</v>
      </c>
      <c r="C597" s="132">
        <v>20</v>
      </c>
      <c r="D597" s="132" t="str">
        <f t="shared" si="42"/>
        <v>3/8" Hex BB RS-775 20</v>
      </c>
      <c r="E597" s="132">
        <v>3</v>
      </c>
      <c r="F597" s="132">
        <v>1</v>
      </c>
      <c r="G597" s="132">
        <v>0</v>
      </c>
      <c r="H597" s="132">
        <v>0</v>
      </c>
      <c r="I597" s="132">
        <v>5</v>
      </c>
    </row>
    <row r="598" spans="1:9" ht="14.25" customHeight="1" x14ac:dyDescent="0.25">
      <c r="A598" s="132" t="s">
        <v>243</v>
      </c>
      <c r="B598" s="132" t="s">
        <v>327</v>
      </c>
      <c r="C598" s="132">
        <v>21</v>
      </c>
      <c r="D598" s="132" t="str">
        <f t="shared" si="42"/>
        <v>3/8" Hex BB RS-775 21</v>
      </c>
      <c r="E598" s="132">
        <v>3</v>
      </c>
      <c r="F598" s="132">
        <v>1</v>
      </c>
      <c r="G598" s="132">
        <v>0</v>
      </c>
      <c r="H598" s="132">
        <v>0</v>
      </c>
      <c r="I598" s="132">
        <v>5</v>
      </c>
    </row>
    <row r="599" spans="1:9" ht="14.25" customHeight="1" x14ac:dyDescent="0.25">
      <c r="A599" s="132" t="s">
        <v>243</v>
      </c>
      <c r="B599" s="132" t="s">
        <v>327</v>
      </c>
      <c r="C599" s="132">
        <v>25</v>
      </c>
      <c r="D599" s="132" t="str">
        <f t="shared" si="42"/>
        <v>3/8" Hex BB RS-775 25</v>
      </c>
      <c r="E599" s="132">
        <v>1</v>
      </c>
      <c r="F599" s="132">
        <v>1</v>
      </c>
      <c r="G599" s="132">
        <v>0</v>
      </c>
      <c r="H599" s="132">
        <v>0</v>
      </c>
      <c r="I599" s="132">
        <v>5</v>
      </c>
    </row>
    <row r="600" spans="1:9" ht="14.25" customHeight="1" x14ac:dyDescent="0.25">
      <c r="A600" s="132" t="s">
        <v>243</v>
      </c>
      <c r="B600" s="132" t="s">
        <v>327</v>
      </c>
      <c r="C600" s="132">
        <v>27</v>
      </c>
      <c r="D600" s="132" t="str">
        <f t="shared" si="42"/>
        <v>3/8" Hex BB RS-775 27</v>
      </c>
      <c r="E600" s="132">
        <v>1</v>
      </c>
      <c r="F600" s="132">
        <v>1</v>
      </c>
      <c r="G600" s="132">
        <v>0</v>
      </c>
      <c r="H600" s="132">
        <v>0</v>
      </c>
      <c r="I600" s="132">
        <v>4</v>
      </c>
    </row>
    <row r="601" spans="1:9" ht="14.25" customHeight="1" x14ac:dyDescent="0.25">
      <c r="A601" s="132" t="s">
        <v>243</v>
      </c>
      <c r="B601" s="132" t="s">
        <v>327</v>
      </c>
      <c r="C601" s="132">
        <v>28</v>
      </c>
      <c r="D601" s="132" t="str">
        <f t="shared" si="42"/>
        <v>3/8" Hex BB RS-775 28</v>
      </c>
      <c r="E601" s="132">
        <v>1</v>
      </c>
      <c r="F601" s="132">
        <v>1</v>
      </c>
      <c r="G601" s="132">
        <v>0</v>
      </c>
      <c r="H601" s="132">
        <v>0</v>
      </c>
      <c r="I601" s="132">
        <v>4</v>
      </c>
    </row>
    <row r="602" spans="1:9" ht="14.25" customHeight="1" x14ac:dyDescent="0.25">
      <c r="A602" s="132" t="s">
        <v>243</v>
      </c>
      <c r="B602" s="132" t="s">
        <v>327</v>
      </c>
      <c r="C602" s="132">
        <v>30</v>
      </c>
      <c r="D602" s="132" t="str">
        <f t="shared" si="42"/>
        <v>3/8" Hex BB RS-775 30</v>
      </c>
      <c r="E602" s="132">
        <v>1</v>
      </c>
      <c r="F602" s="132">
        <v>1</v>
      </c>
      <c r="G602" s="132">
        <v>0</v>
      </c>
      <c r="H602" s="132">
        <v>0</v>
      </c>
      <c r="I602" s="132">
        <v>4</v>
      </c>
    </row>
    <row r="603" spans="1:9" ht="14.25" customHeight="1" x14ac:dyDescent="0.25">
      <c r="A603" s="132" t="s">
        <v>243</v>
      </c>
      <c r="B603" s="132" t="s">
        <v>327</v>
      </c>
      <c r="C603" s="132">
        <v>35</v>
      </c>
      <c r="D603" s="132" t="str">
        <f t="shared" si="42"/>
        <v>3/8" Hex BB RS-775 35</v>
      </c>
      <c r="E603" s="132">
        <v>1</v>
      </c>
      <c r="F603" s="132">
        <v>1</v>
      </c>
      <c r="G603" s="132">
        <v>0</v>
      </c>
      <c r="H603" s="132">
        <v>0</v>
      </c>
      <c r="I603" s="132">
        <v>3</v>
      </c>
    </row>
    <row r="604" spans="1:9" ht="14.25" customHeight="1" x14ac:dyDescent="0.25">
      <c r="A604" s="132" t="s">
        <v>243</v>
      </c>
      <c r="B604" s="132" t="s">
        <v>327</v>
      </c>
      <c r="C604" s="132">
        <v>36</v>
      </c>
      <c r="D604" s="132" t="str">
        <f t="shared" si="42"/>
        <v>3/8" Hex BB RS-775 36</v>
      </c>
      <c r="E604" s="132">
        <v>1</v>
      </c>
      <c r="F604" s="132">
        <v>0</v>
      </c>
      <c r="G604" s="132">
        <v>0</v>
      </c>
      <c r="H604" s="132">
        <v>0</v>
      </c>
      <c r="I604" s="132">
        <v>3</v>
      </c>
    </row>
    <row r="605" spans="1:9" ht="14.25" customHeight="1" x14ac:dyDescent="0.25">
      <c r="A605" s="132" t="s">
        <v>243</v>
      </c>
      <c r="B605" s="132" t="s">
        <v>327</v>
      </c>
      <c r="C605" s="132">
        <v>40</v>
      </c>
      <c r="D605" s="132" t="str">
        <f t="shared" si="42"/>
        <v>3/8" Hex BB RS-775 40</v>
      </c>
      <c r="E605" s="132">
        <v>1</v>
      </c>
      <c r="F605" s="132">
        <v>0</v>
      </c>
      <c r="G605" s="132">
        <v>0</v>
      </c>
      <c r="H605" s="132">
        <v>0</v>
      </c>
      <c r="I605" s="132">
        <v>3</v>
      </c>
    </row>
    <row r="606" spans="1:9" ht="14.25" customHeight="1" x14ac:dyDescent="0.25">
      <c r="A606" s="132" t="s">
        <v>243</v>
      </c>
      <c r="B606" s="132" t="s">
        <v>327</v>
      </c>
      <c r="C606" s="132">
        <v>45</v>
      </c>
      <c r="D606" s="132" t="str">
        <f t="shared" si="42"/>
        <v>3/8" Hex BB RS-775 45</v>
      </c>
      <c r="E606" s="132">
        <v>1</v>
      </c>
      <c r="F606" s="132">
        <v>0</v>
      </c>
      <c r="G606" s="132">
        <v>0</v>
      </c>
      <c r="H606" s="132">
        <v>0</v>
      </c>
      <c r="I606" s="132">
        <v>1</v>
      </c>
    </row>
    <row r="607" spans="1:9" ht="14.25" customHeight="1" x14ac:dyDescent="0.25">
      <c r="A607" s="132" t="s">
        <v>243</v>
      </c>
      <c r="B607" s="132" t="s">
        <v>327</v>
      </c>
      <c r="C607" s="132">
        <v>49</v>
      </c>
      <c r="D607" s="132" t="str">
        <f t="shared" si="42"/>
        <v>3/8" Hex BB RS-775 49</v>
      </c>
      <c r="E607" s="132">
        <v>1</v>
      </c>
      <c r="F607" s="132">
        <v>0</v>
      </c>
      <c r="G607" s="132">
        <v>0</v>
      </c>
      <c r="H607" s="132">
        <v>0</v>
      </c>
      <c r="I607" s="132">
        <v>1</v>
      </c>
    </row>
    <row r="608" spans="1:9" ht="14.25" customHeight="1" x14ac:dyDescent="0.25">
      <c r="A608" s="132" t="s">
        <v>243</v>
      </c>
      <c r="B608" s="132" t="s">
        <v>327</v>
      </c>
      <c r="C608" s="132">
        <v>50</v>
      </c>
      <c r="D608" s="132" t="str">
        <f t="shared" si="42"/>
        <v>3/8" Hex BB RS-775 50</v>
      </c>
      <c r="E608" s="132">
        <v>1</v>
      </c>
      <c r="F608" s="132">
        <v>0</v>
      </c>
      <c r="G608" s="132">
        <v>0</v>
      </c>
      <c r="H608" s="132">
        <v>0</v>
      </c>
      <c r="I608" s="132">
        <v>1</v>
      </c>
    </row>
    <row r="609" spans="1:9" ht="14.25" customHeight="1" x14ac:dyDescent="0.25">
      <c r="A609" s="132" t="s">
        <v>243</v>
      </c>
      <c r="B609" s="132" t="s">
        <v>327</v>
      </c>
      <c r="C609" s="132">
        <v>63</v>
      </c>
      <c r="D609" s="132" t="str">
        <f t="shared" si="42"/>
        <v>3/8" Hex BB RS-775 63</v>
      </c>
      <c r="E609" s="132">
        <v>1</v>
      </c>
      <c r="F609" s="132">
        <v>0</v>
      </c>
      <c r="G609" s="132">
        <v>0</v>
      </c>
      <c r="H609" s="132">
        <v>0</v>
      </c>
      <c r="I609" s="132">
        <v>1</v>
      </c>
    </row>
    <row r="610" spans="1:9" ht="14.25" customHeight="1" x14ac:dyDescent="0.25">
      <c r="A610" s="132" t="s">
        <v>243</v>
      </c>
      <c r="B610" s="132" t="s">
        <v>327</v>
      </c>
      <c r="C610" s="132">
        <v>70</v>
      </c>
      <c r="D610" s="132" t="str">
        <f t="shared" si="42"/>
        <v>3/8" Hex BB RS-775 70</v>
      </c>
      <c r="E610" s="132">
        <v>1</v>
      </c>
      <c r="F610" s="132">
        <v>0</v>
      </c>
      <c r="G610" s="132">
        <v>0</v>
      </c>
      <c r="H610" s="132">
        <v>0</v>
      </c>
      <c r="I610" s="132">
        <v>1</v>
      </c>
    </row>
    <row r="611" spans="1:9" ht="14.25" customHeight="1" x14ac:dyDescent="0.25">
      <c r="A611" s="132" t="s">
        <v>243</v>
      </c>
      <c r="B611" s="132" t="s">
        <v>327</v>
      </c>
      <c r="C611" s="132">
        <v>81</v>
      </c>
      <c r="D611" s="132" t="str">
        <f t="shared" si="42"/>
        <v>3/8" Hex BB RS-775 81</v>
      </c>
      <c r="E611" s="132">
        <v>0</v>
      </c>
      <c r="F611" s="132">
        <v>0</v>
      </c>
      <c r="G611" s="132">
        <v>0</v>
      </c>
      <c r="H611" s="132">
        <v>0</v>
      </c>
      <c r="I611" s="132">
        <v>1</v>
      </c>
    </row>
    <row r="612" spans="1:9" ht="14.25" customHeight="1" x14ac:dyDescent="0.25">
      <c r="A612" s="132" t="s">
        <v>243</v>
      </c>
      <c r="B612" s="132" t="s">
        <v>327</v>
      </c>
      <c r="C612" s="132">
        <v>90</v>
      </c>
      <c r="D612" s="132" t="str">
        <f t="shared" si="42"/>
        <v>3/8" Hex BB RS-775 90</v>
      </c>
      <c r="E612" s="132">
        <v>0</v>
      </c>
      <c r="F612" s="132">
        <v>0</v>
      </c>
      <c r="G612" s="132">
        <v>0</v>
      </c>
      <c r="H612" s="132">
        <v>0</v>
      </c>
      <c r="I612" s="132">
        <v>1</v>
      </c>
    </row>
    <row r="613" spans="1:9" ht="14.25" customHeight="1" x14ac:dyDescent="0.25">
      <c r="A613" s="132" t="s">
        <v>243</v>
      </c>
      <c r="B613" s="132" t="s">
        <v>327</v>
      </c>
      <c r="C613" s="132">
        <v>100</v>
      </c>
      <c r="D613" s="132" t="str">
        <f t="shared" si="42"/>
        <v>3/8" Hex BB RS-775 100</v>
      </c>
      <c r="E613" s="132">
        <v>0</v>
      </c>
      <c r="F613" s="132">
        <v>0</v>
      </c>
      <c r="G613" s="132">
        <v>0</v>
      </c>
      <c r="H613" s="132">
        <v>0</v>
      </c>
      <c r="I613" s="132">
        <v>1</v>
      </c>
    </row>
    <row r="614" spans="1:9" ht="14.25" customHeight="1" x14ac:dyDescent="0.25">
      <c r="A614" s="132" t="s">
        <v>243</v>
      </c>
      <c r="B614" s="132" t="s">
        <v>8</v>
      </c>
      <c r="C614" s="132">
        <v>-3</v>
      </c>
      <c r="D614" s="132" t="str">
        <f t="shared" ref="D614:D619" si="43">A614&amp;" "&amp;B614&amp;" "&amp;C614</f>
        <v>3/8" Hex BAG Motor -3</v>
      </c>
      <c r="E614" s="132">
        <v>1</v>
      </c>
      <c r="F614" s="132">
        <v>1</v>
      </c>
      <c r="G614" s="132">
        <v>1</v>
      </c>
      <c r="H614" s="132">
        <v>0</v>
      </c>
      <c r="I614" s="132">
        <v>1</v>
      </c>
    </row>
    <row r="615" spans="1:9" ht="14.25" customHeight="1" x14ac:dyDescent="0.25">
      <c r="A615" s="132" t="s">
        <v>243</v>
      </c>
      <c r="B615" s="132" t="s">
        <v>8</v>
      </c>
      <c r="C615" s="132">
        <v>-4</v>
      </c>
      <c r="D615" s="132" t="str">
        <f t="shared" si="43"/>
        <v>3/8" Hex BAG Motor -4</v>
      </c>
      <c r="E615" s="132">
        <v>1</v>
      </c>
      <c r="F615" s="132">
        <v>1</v>
      </c>
      <c r="G615" s="132">
        <v>1</v>
      </c>
      <c r="H615" s="132">
        <v>0</v>
      </c>
      <c r="I615" s="132">
        <v>1</v>
      </c>
    </row>
    <row r="616" spans="1:9" ht="14.25" customHeight="1" x14ac:dyDescent="0.25">
      <c r="A616" s="132" t="s">
        <v>243</v>
      </c>
      <c r="B616" s="132" t="s">
        <v>8</v>
      </c>
      <c r="C616" s="132">
        <v>-5</v>
      </c>
      <c r="D616" s="132" t="str">
        <f t="shared" si="43"/>
        <v>3/8" Hex BAG Motor -5</v>
      </c>
      <c r="E616" s="132">
        <v>1</v>
      </c>
      <c r="F616" s="132">
        <v>1</v>
      </c>
      <c r="G616" s="132">
        <v>0</v>
      </c>
      <c r="H616" s="132">
        <v>0</v>
      </c>
      <c r="I616" s="132">
        <v>1</v>
      </c>
    </row>
    <row r="617" spans="1:9" ht="14.25" customHeight="1" x14ac:dyDescent="0.25">
      <c r="A617" s="132" t="s">
        <v>243</v>
      </c>
      <c r="B617" s="132" t="s">
        <v>8</v>
      </c>
      <c r="C617" s="132">
        <v>-7</v>
      </c>
      <c r="D617" s="132" t="str">
        <f t="shared" si="43"/>
        <v>3/8" Hex BAG Motor -7</v>
      </c>
      <c r="E617" s="132">
        <v>1</v>
      </c>
      <c r="F617" s="132">
        <v>1</v>
      </c>
      <c r="G617" s="132">
        <v>0</v>
      </c>
      <c r="H617" s="132">
        <v>0</v>
      </c>
      <c r="I617" s="132">
        <v>1</v>
      </c>
    </row>
    <row r="618" spans="1:9" ht="14.25" customHeight="1" x14ac:dyDescent="0.25">
      <c r="A618" s="132" t="s">
        <v>243</v>
      </c>
      <c r="B618" s="132" t="s">
        <v>8</v>
      </c>
      <c r="C618" s="132">
        <v>-9</v>
      </c>
      <c r="D618" s="132" t="str">
        <f t="shared" si="43"/>
        <v>3/8" Hex BAG Motor -9</v>
      </c>
      <c r="E618" s="132">
        <v>1</v>
      </c>
      <c r="F618" s="132">
        <v>1</v>
      </c>
      <c r="G618" s="132">
        <v>0</v>
      </c>
      <c r="H618" s="132">
        <v>0</v>
      </c>
      <c r="I618" s="132">
        <v>1</v>
      </c>
    </row>
    <row r="619" spans="1:9" ht="14.25" customHeight="1" x14ac:dyDescent="0.25">
      <c r="A619" s="132" t="s">
        <v>243</v>
      </c>
      <c r="B619" s="132" t="s">
        <v>8</v>
      </c>
      <c r="C619" s="132">
        <v>-10</v>
      </c>
      <c r="D619" s="132" t="str">
        <f t="shared" si="43"/>
        <v>3/8" Hex BAG Motor -10</v>
      </c>
      <c r="E619" s="132">
        <v>1</v>
      </c>
      <c r="F619" s="132">
        <v>1</v>
      </c>
      <c r="G619" s="132">
        <v>0</v>
      </c>
      <c r="H619" s="132">
        <v>0</v>
      </c>
      <c r="I619" s="132">
        <v>1</v>
      </c>
    </row>
    <row r="620" spans="1:9" ht="14.25" customHeight="1" x14ac:dyDescent="0.25">
      <c r="A620" s="132" t="s">
        <v>243</v>
      </c>
      <c r="B620" s="132" t="s">
        <v>8</v>
      </c>
      <c r="C620" s="132">
        <v>9</v>
      </c>
      <c r="D620" s="132" t="str">
        <f t="shared" ref="D620:D640" si="44">A620&amp;" "&amp;B620&amp;" "&amp;C620</f>
        <v>3/8" Hex BAG Motor 9</v>
      </c>
      <c r="E620" s="132">
        <v>10</v>
      </c>
      <c r="F620" s="132">
        <v>5</v>
      </c>
      <c r="G620" s="132">
        <v>0</v>
      </c>
      <c r="H620" s="132">
        <v>0</v>
      </c>
      <c r="I620" s="132">
        <v>9</v>
      </c>
    </row>
    <row r="621" spans="1:9" ht="14.25" customHeight="1" x14ac:dyDescent="0.25">
      <c r="A621" s="132" t="s">
        <v>243</v>
      </c>
      <c r="B621" s="132" t="s">
        <v>8</v>
      </c>
      <c r="C621" s="132">
        <v>12</v>
      </c>
      <c r="D621" s="132" t="str">
        <f t="shared" si="44"/>
        <v>3/8" Hex BAG Motor 12</v>
      </c>
      <c r="E621" s="132">
        <v>10</v>
      </c>
      <c r="F621" s="132">
        <v>5</v>
      </c>
      <c r="G621" s="132">
        <v>0</v>
      </c>
      <c r="H621" s="132">
        <v>0</v>
      </c>
      <c r="I621" s="132">
        <v>5</v>
      </c>
    </row>
    <row r="622" spans="1:9" ht="14.25" customHeight="1" x14ac:dyDescent="0.25">
      <c r="A622" s="132" t="s">
        <v>243</v>
      </c>
      <c r="B622" s="132" t="s">
        <v>8</v>
      </c>
      <c r="C622" s="132">
        <v>15</v>
      </c>
      <c r="D622" s="132" t="str">
        <f t="shared" si="44"/>
        <v>3/8" Hex BAG Motor 15</v>
      </c>
      <c r="E622" s="132">
        <v>7</v>
      </c>
      <c r="F622" s="132">
        <v>4</v>
      </c>
      <c r="G622" s="132">
        <v>0</v>
      </c>
      <c r="H622" s="132">
        <v>0</v>
      </c>
      <c r="I622" s="132">
        <v>5</v>
      </c>
    </row>
    <row r="623" spans="1:9" ht="14.25" customHeight="1" x14ac:dyDescent="0.25">
      <c r="A623" s="132" t="s">
        <v>243</v>
      </c>
      <c r="B623" s="132" t="s">
        <v>8</v>
      </c>
      <c r="C623" s="132">
        <v>16</v>
      </c>
      <c r="D623" s="132" t="str">
        <f t="shared" si="44"/>
        <v>3/8" Hex BAG Motor 16</v>
      </c>
      <c r="E623" s="132">
        <v>7</v>
      </c>
      <c r="F623" s="132">
        <v>3</v>
      </c>
      <c r="G623" s="132">
        <v>0</v>
      </c>
      <c r="H623" s="132">
        <v>0</v>
      </c>
      <c r="I623" s="132">
        <v>5</v>
      </c>
    </row>
    <row r="624" spans="1:9" ht="14.25" customHeight="1" x14ac:dyDescent="0.25">
      <c r="A624" s="132" t="s">
        <v>243</v>
      </c>
      <c r="B624" s="132" t="s">
        <v>8</v>
      </c>
      <c r="C624" s="132">
        <v>20</v>
      </c>
      <c r="D624" s="132" t="str">
        <f t="shared" si="44"/>
        <v>3/8" Hex BAG Motor 20</v>
      </c>
      <c r="E624" s="132">
        <v>5</v>
      </c>
      <c r="F624" s="132">
        <v>3</v>
      </c>
      <c r="G624" s="132">
        <v>0</v>
      </c>
      <c r="H624" s="132">
        <v>0</v>
      </c>
      <c r="I624" s="132">
        <v>4</v>
      </c>
    </row>
    <row r="625" spans="1:9" ht="14.25" customHeight="1" x14ac:dyDescent="0.25">
      <c r="A625" s="132" t="s">
        <v>243</v>
      </c>
      <c r="B625" s="132" t="s">
        <v>8</v>
      </c>
      <c r="C625" s="132">
        <v>21</v>
      </c>
      <c r="D625" s="132" t="str">
        <f t="shared" si="44"/>
        <v>3/8" Hex BAG Motor 21</v>
      </c>
      <c r="E625" s="132">
        <v>5</v>
      </c>
      <c r="F625" s="132">
        <v>1</v>
      </c>
      <c r="G625" s="132">
        <v>0</v>
      </c>
      <c r="H625" s="132">
        <v>0</v>
      </c>
      <c r="I625" s="132">
        <v>3</v>
      </c>
    </row>
    <row r="626" spans="1:9" ht="14.25" customHeight="1" x14ac:dyDescent="0.25">
      <c r="A626" s="132" t="s">
        <v>243</v>
      </c>
      <c r="B626" s="132" t="s">
        <v>8</v>
      </c>
      <c r="C626" s="132">
        <v>25</v>
      </c>
      <c r="D626" s="132" t="str">
        <f t="shared" si="44"/>
        <v>3/8" Hex BAG Motor 25</v>
      </c>
      <c r="E626" s="132">
        <v>5</v>
      </c>
      <c r="F626" s="132">
        <v>1</v>
      </c>
      <c r="G626" s="132">
        <v>0</v>
      </c>
      <c r="H626" s="132">
        <v>0</v>
      </c>
      <c r="I626" s="132">
        <v>3</v>
      </c>
    </row>
    <row r="627" spans="1:9" ht="14.25" customHeight="1" x14ac:dyDescent="0.25">
      <c r="A627" s="132" t="s">
        <v>243</v>
      </c>
      <c r="B627" s="132" t="s">
        <v>8</v>
      </c>
      <c r="C627" s="132">
        <v>27</v>
      </c>
      <c r="D627" s="132" t="str">
        <f t="shared" si="44"/>
        <v>3/8" Hex BAG Motor 27</v>
      </c>
      <c r="E627" s="132">
        <v>4</v>
      </c>
      <c r="F627" s="132">
        <v>1</v>
      </c>
      <c r="G627" s="132">
        <v>0</v>
      </c>
      <c r="H627" s="132">
        <v>0</v>
      </c>
      <c r="I627" s="132">
        <v>3</v>
      </c>
    </row>
    <row r="628" spans="1:9" ht="14.25" customHeight="1" x14ac:dyDescent="0.25">
      <c r="A628" s="132" t="s">
        <v>243</v>
      </c>
      <c r="B628" s="132" t="s">
        <v>8</v>
      </c>
      <c r="C628" s="132">
        <v>28</v>
      </c>
      <c r="D628" s="132" t="str">
        <f t="shared" si="44"/>
        <v>3/8" Hex BAG Motor 28</v>
      </c>
      <c r="E628" s="132">
        <v>4</v>
      </c>
      <c r="F628" s="132">
        <v>1</v>
      </c>
      <c r="G628" s="132">
        <v>0</v>
      </c>
      <c r="H628" s="132">
        <v>0</v>
      </c>
      <c r="I628" s="132">
        <v>1</v>
      </c>
    </row>
    <row r="629" spans="1:9" ht="14.25" customHeight="1" x14ac:dyDescent="0.25">
      <c r="A629" s="132" t="s">
        <v>243</v>
      </c>
      <c r="B629" s="132" t="s">
        <v>8</v>
      </c>
      <c r="C629" s="132">
        <v>30</v>
      </c>
      <c r="D629" s="132" t="str">
        <f t="shared" si="44"/>
        <v>3/8" Hex BAG Motor 30</v>
      </c>
      <c r="E629" s="132">
        <v>4</v>
      </c>
      <c r="F629" s="132">
        <v>1</v>
      </c>
      <c r="G629" s="132">
        <v>0</v>
      </c>
      <c r="H629" s="132">
        <v>0</v>
      </c>
      <c r="I629" s="132">
        <v>1</v>
      </c>
    </row>
    <row r="630" spans="1:9" ht="14.25" customHeight="1" x14ac:dyDescent="0.25">
      <c r="A630" s="132" t="s">
        <v>243</v>
      </c>
      <c r="B630" s="132" t="s">
        <v>8</v>
      </c>
      <c r="C630" s="132">
        <v>35</v>
      </c>
      <c r="D630" s="132" t="str">
        <f t="shared" si="44"/>
        <v>3/8" Hex BAG Motor 35</v>
      </c>
      <c r="E630" s="132">
        <v>3</v>
      </c>
      <c r="F630" s="132">
        <v>1</v>
      </c>
      <c r="G630" s="132">
        <v>0</v>
      </c>
      <c r="H630" s="132">
        <v>0</v>
      </c>
      <c r="I630" s="132">
        <v>1</v>
      </c>
    </row>
    <row r="631" spans="1:9" ht="14.25" customHeight="1" x14ac:dyDescent="0.25">
      <c r="A631" s="132" t="s">
        <v>243</v>
      </c>
      <c r="B631" s="132" t="s">
        <v>8</v>
      </c>
      <c r="C631" s="132">
        <v>36</v>
      </c>
      <c r="D631" s="132" t="str">
        <f t="shared" si="44"/>
        <v>3/8" Hex BAG Motor 36</v>
      </c>
      <c r="E631" s="132">
        <v>3</v>
      </c>
      <c r="F631" s="132">
        <v>1</v>
      </c>
      <c r="G631" s="132">
        <v>0</v>
      </c>
      <c r="H631" s="132">
        <v>0</v>
      </c>
      <c r="I631" s="132">
        <v>1</v>
      </c>
    </row>
    <row r="632" spans="1:9" ht="14.25" customHeight="1" x14ac:dyDescent="0.25">
      <c r="A632" s="132" t="s">
        <v>243</v>
      </c>
      <c r="B632" s="132" t="s">
        <v>8</v>
      </c>
      <c r="C632" s="132">
        <v>40</v>
      </c>
      <c r="D632" s="132" t="str">
        <f t="shared" si="44"/>
        <v>3/8" Hex BAG Motor 40</v>
      </c>
      <c r="E632" s="132">
        <v>3</v>
      </c>
      <c r="F632" s="132">
        <v>1</v>
      </c>
      <c r="G632" s="132">
        <v>0</v>
      </c>
      <c r="H632" s="132">
        <v>0</v>
      </c>
      <c r="I632" s="132">
        <v>1</v>
      </c>
    </row>
    <row r="633" spans="1:9" ht="14.25" customHeight="1" x14ac:dyDescent="0.25">
      <c r="A633" s="132" t="s">
        <v>243</v>
      </c>
      <c r="B633" s="132" t="s">
        <v>8</v>
      </c>
      <c r="C633" s="132">
        <v>45</v>
      </c>
      <c r="D633" s="132" t="str">
        <f t="shared" si="44"/>
        <v>3/8" Hex BAG Motor 45</v>
      </c>
      <c r="E633" s="132">
        <v>1</v>
      </c>
      <c r="F633" s="132">
        <v>1</v>
      </c>
      <c r="G633" s="132">
        <v>0</v>
      </c>
      <c r="H633" s="132">
        <v>0</v>
      </c>
      <c r="I633" s="132">
        <v>1</v>
      </c>
    </row>
    <row r="634" spans="1:9" ht="14.25" customHeight="1" x14ac:dyDescent="0.25">
      <c r="A634" s="132" t="s">
        <v>243</v>
      </c>
      <c r="B634" s="132" t="s">
        <v>8</v>
      </c>
      <c r="C634" s="132">
        <v>49</v>
      </c>
      <c r="D634" s="132" t="str">
        <f t="shared" si="44"/>
        <v>3/8" Hex BAG Motor 49</v>
      </c>
      <c r="E634" s="132">
        <v>1</v>
      </c>
      <c r="F634" s="132">
        <v>1</v>
      </c>
      <c r="G634" s="132">
        <v>0</v>
      </c>
      <c r="H634" s="132">
        <v>0</v>
      </c>
      <c r="I634" s="132">
        <v>1</v>
      </c>
    </row>
    <row r="635" spans="1:9" ht="14.25" customHeight="1" x14ac:dyDescent="0.25">
      <c r="A635" s="132" t="s">
        <v>243</v>
      </c>
      <c r="B635" s="132" t="s">
        <v>8</v>
      </c>
      <c r="C635" s="132">
        <v>50</v>
      </c>
      <c r="D635" s="132" t="str">
        <f t="shared" si="44"/>
        <v>3/8" Hex BAG Motor 50</v>
      </c>
      <c r="E635" s="132">
        <v>1</v>
      </c>
      <c r="F635" s="132">
        <v>1</v>
      </c>
      <c r="G635" s="132">
        <v>0</v>
      </c>
      <c r="H635" s="132">
        <v>0</v>
      </c>
      <c r="I635" s="132">
        <v>1</v>
      </c>
    </row>
    <row r="636" spans="1:9" ht="14.25" customHeight="1" x14ac:dyDescent="0.25">
      <c r="A636" s="132" t="s">
        <v>243</v>
      </c>
      <c r="B636" s="132" t="s">
        <v>8</v>
      </c>
      <c r="C636" s="132">
        <v>63</v>
      </c>
      <c r="D636" s="132" t="str">
        <f t="shared" si="44"/>
        <v>3/8" Hex BAG Motor 63</v>
      </c>
      <c r="E636" s="132">
        <v>1</v>
      </c>
      <c r="F636" s="132">
        <v>0</v>
      </c>
      <c r="G636" s="132">
        <v>0</v>
      </c>
      <c r="H636" s="132">
        <v>0</v>
      </c>
      <c r="I636" s="132">
        <v>1</v>
      </c>
    </row>
    <row r="637" spans="1:9" ht="14.25" customHeight="1" x14ac:dyDescent="0.25">
      <c r="A637" s="132" t="s">
        <v>243</v>
      </c>
      <c r="B637" s="132" t="s">
        <v>8</v>
      </c>
      <c r="C637" s="132">
        <v>70</v>
      </c>
      <c r="D637" s="132" t="str">
        <f t="shared" si="44"/>
        <v>3/8" Hex BAG Motor 70</v>
      </c>
      <c r="E637" s="132">
        <v>1</v>
      </c>
      <c r="F637" s="132">
        <v>0</v>
      </c>
      <c r="G637" s="132">
        <v>0</v>
      </c>
      <c r="H637" s="132">
        <v>0</v>
      </c>
      <c r="I637" s="132">
        <v>1</v>
      </c>
    </row>
    <row r="638" spans="1:9" ht="14.25" customHeight="1" x14ac:dyDescent="0.25">
      <c r="A638" s="132" t="s">
        <v>243</v>
      </c>
      <c r="B638" s="132" t="s">
        <v>8</v>
      </c>
      <c r="C638" s="132">
        <v>81</v>
      </c>
      <c r="D638" s="132" t="str">
        <f t="shared" si="44"/>
        <v>3/8" Hex BAG Motor 81</v>
      </c>
      <c r="E638" s="132">
        <v>1</v>
      </c>
      <c r="F638" s="132">
        <v>0</v>
      </c>
      <c r="G638" s="132">
        <v>0</v>
      </c>
      <c r="H638" s="132">
        <v>0</v>
      </c>
      <c r="I638" s="132">
        <v>1</v>
      </c>
    </row>
    <row r="639" spans="1:9" ht="14.25" customHeight="1" x14ac:dyDescent="0.25">
      <c r="A639" s="132" t="s">
        <v>243</v>
      </c>
      <c r="B639" s="132" t="s">
        <v>8</v>
      </c>
      <c r="C639" s="132">
        <v>90</v>
      </c>
      <c r="D639" s="132" t="str">
        <f t="shared" si="44"/>
        <v>3/8" Hex BAG Motor 90</v>
      </c>
      <c r="E639" s="132">
        <v>1</v>
      </c>
      <c r="F639" s="132">
        <v>0</v>
      </c>
      <c r="G639" s="132">
        <v>0</v>
      </c>
      <c r="H639" s="132">
        <v>0</v>
      </c>
      <c r="I639" s="132">
        <v>0</v>
      </c>
    </row>
    <row r="640" spans="1:9" ht="14.25" customHeight="1" x14ac:dyDescent="0.25">
      <c r="A640" s="132" t="s">
        <v>243</v>
      </c>
      <c r="B640" s="132" t="s">
        <v>8</v>
      </c>
      <c r="C640" s="132">
        <v>100</v>
      </c>
      <c r="D640" s="132" t="str">
        <f t="shared" si="44"/>
        <v>3/8" Hex BAG Motor 100</v>
      </c>
      <c r="E640" s="132">
        <v>1</v>
      </c>
      <c r="F640" s="132">
        <v>0</v>
      </c>
      <c r="G640" s="132">
        <v>0</v>
      </c>
      <c r="H640" s="132">
        <v>0</v>
      </c>
      <c r="I640" s="132">
        <v>0</v>
      </c>
    </row>
    <row r="641" spans="1:9" ht="14.25" customHeight="1" x14ac:dyDescent="0.25">
      <c r="A641" s="132" t="s">
        <v>243</v>
      </c>
      <c r="B641" s="132" t="s">
        <v>255</v>
      </c>
      <c r="C641" s="132">
        <v>-3</v>
      </c>
      <c r="D641" s="132" t="str">
        <f t="shared" ref="D641:D646" si="45">A641&amp;" "&amp;B641&amp;" "&amp;C641</f>
        <v>3/8" Hex 775pro -3</v>
      </c>
      <c r="E641" s="132">
        <v>1</v>
      </c>
      <c r="F641" s="132">
        <v>1</v>
      </c>
      <c r="G641" s="132">
        <v>0</v>
      </c>
      <c r="H641" s="132">
        <v>0</v>
      </c>
      <c r="I641" s="132">
        <v>1</v>
      </c>
    </row>
    <row r="642" spans="1:9" ht="14.25" customHeight="1" x14ac:dyDescent="0.25">
      <c r="A642" s="132" t="s">
        <v>243</v>
      </c>
      <c r="B642" s="132" t="s">
        <v>255</v>
      </c>
      <c r="C642" s="132">
        <v>-4</v>
      </c>
      <c r="D642" s="132" t="str">
        <f t="shared" si="45"/>
        <v>3/8" Hex 775pro -4</v>
      </c>
      <c r="E642" s="132">
        <v>1</v>
      </c>
      <c r="F642" s="132">
        <v>1</v>
      </c>
      <c r="G642" s="132">
        <v>0</v>
      </c>
      <c r="H642" s="132">
        <v>0</v>
      </c>
      <c r="I642" s="132">
        <v>1</v>
      </c>
    </row>
    <row r="643" spans="1:9" ht="14.25" customHeight="1" x14ac:dyDescent="0.25">
      <c r="A643" s="132" t="s">
        <v>243</v>
      </c>
      <c r="B643" s="132" t="s">
        <v>255</v>
      </c>
      <c r="C643" s="132">
        <v>-5</v>
      </c>
      <c r="D643" s="132" t="str">
        <f t="shared" si="45"/>
        <v>3/8" Hex 775pro -5</v>
      </c>
      <c r="E643" s="132">
        <v>1</v>
      </c>
      <c r="F643" s="132">
        <v>1</v>
      </c>
      <c r="G643" s="132">
        <v>0</v>
      </c>
      <c r="H643" s="132">
        <v>0</v>
      </c>
      <c r="I643" s="132">
        <v>1</v>
      </c>
    </row>
    <row r="644" spans="1:9" ht="14.25" customHeight="1" x14ac:dyDescent="0.25">
      <c r="A644" s="132" t="s">
        <v>243</v>
      </c>
      <c r="B644" s="132" t="s">
        <v>255</v>
      </c>
      <c r="C644" s="132">
        <v>-7</v>
      </c>
      <c r="D644" s="132" t="str">
        <f t="shared" si="45"/>
        <v>3/8" Hex 775pro -7</v>
      </c>
      <c r="E644" s="132">
        <v>1</v>
      </c>
      <c r="F644" s="132">
        <v>1</v>
      </c>
      <c r="G644" s="132">
        <v>0</v>
      </c>
      <c r="H644" s="132">
        <v>0</v>
      </c>
      <c r="I644" s="132">
        <v>1</v>
      </c>
    </row>
    <row r="645" spans="1:9" ht="14.25" customHeight="1" x14ac:dyDescent="0.25">
      <c r="A645" s="132" t="s">
        <v>243</v>
      </c>
      <c r="B645" s="132" t="s">
        <v>255</v>
      </c>
      <c r="C645" s="132">
        <v>-9</v>
      </c>
      <c r="D645" s="132" t="str">
        <f t="shared" si="45"/>
        <v>3/8" Hex 775pro -9</v>
      </c>
      <c r="E645" s="132">
        <v>1</v>
      </c>
      <c r="F645" s="132">
        <v>1</v>
      </c>
      <c r="G645" s="132">
        <v>0</v>
      </c>
      <c r="H645" s="132">
        <v>0</v>
      </c>
      <c r="I645" s="132">
        <v>1</v>
      </c>
    </row>
    <row r="646" spans="1:9" ht="14.25" customHeight="1" x14ac:dyDescent="0.25">
      <c r="A646" s="132" t="s">
        <v>243</v>
      </c>
      <c r="B646" s="132" t="s">
        <v>255</v>
      </c>
      <c r="C646" s="132">
        <v>-10</v>
      </c>
      <c r="D646" s="132" t="str">
        <f t="shared" si="45"/>
        <v>3/8" Hex 775pro -10</v>
      </c>
      <c r="E646" s="132">
        <v>1</v>
      </c>
      <c r="F646" s="132">
        <v>1</v>
      </c>
      <c r="G646" s="132">
        <v>0</v>
      </c>
      <c r="H646" s="132">
        <v>0</v>
      </c>
      <c r="I646" s="132">
        <v>1</v>
      </c>
    </row>
    <row r="647" spans="1:9" ht="14.25" customHeight="1" x14ac:dyDescent="0.25">
      <c r="A647" s="132" t="s">
        <v>243</v>
      </c>
      <c r="B647" s="132" t="s">
        <v>255</v>
      </c>
      <c r="C647" s="132">
        <v>9</v>
      </c>
      <c r="D647" s="132" t="str">
        <f t="shared" ref="D647:D667" si="46">A647&amp;" "&amp;B647&amp;" "&amp;C647</f>
        <v>3/8" Hex 775pro 9</v>
      </c>
      <c r="E647" s="132">
        <v>7</v>
      </c>
      <c r="F647" s="132">
        <v>4</v>
      </c>
      <c r="G647" s="132">
        <v>0</v>
      </c>
      <c r="H647" s="132">
        <v>0</v>
      </c>
      <c r="I647" s="132">
        <v>5</v>
      </c>
    </row>
    <row r="648" spans="1:9" ht="14.25" customHeight="1" x14ac:dyDescent="0.25">
      <c r="A648" s="132" t="s">
        <v>243</v>
      </c>
      <c r="B648" s="132" t="s">
        <v>255</v>
      </c>
      <c r="C648" s="132">
        <v>12</v>
      </c>
      <c r="D648" s="132" t="str">
        <f t="shared" si="46"/>
        <v>3/8" Hex 775pro 12</v>
      </c>
      <c r="E648" s="132">
        <v>5</v>
      </c>
      <c r="F648" s="132">
        <v>3</v>
      </c>
      <c r="G648" s="132">
        <v>0</v>
      </c>
      <c r="H648" s="132">
        <v>0</v>
      </c>
      <c r="I648" s="132">
        <v>4</v>
      </c>
    </row>
    <row r="649" spans="1:9" ht="14.25" customHeight="1" x14ac:dyDescent="0.25">
      <c r="A649" s="132" t="s">
        <v>243</v>
      </c>
      <c r="B649" s="132" t="s">
        <v>255</v>
      </c>
      <c r="C649" s="132">
        <v>15</v>
      </c>
      <c r="D649" s="132" t="str">
        <f t="shared" si="46"/>
        <v>3/8" Hex 775pro 15</v>
      </c>
      <c r="E649" s="132">
        <v>5</v>
      </c>
      <c r="F649" s="132">
        <v>1</v>
      </c>
      <c r="G649" s="132">
        <v>0</v>
      </c>
      <c r="H649" s="132">
        <v>0</v>
      </c>
      <c r="I649" s="132">
        <v>3</v>
      </c>
    </row>
    <row r="650" spans="1:9" ht="14.25" customHeight="1" x14ac:dyDescent="0.25">
      <c r="A650" s="132" t="s">
        <v>243</v>
      </c>
      <c r="B650" s="132" t="s">
        <v>255</v>
      </c>
      <c r="C650" s="132">
        <v>16</v>
      </c>
      <c r="D650" s="132" t="str">
        <f t="shared" si="46"/>
        <v>3/8" Hex 775pro 16</v>
      </c>
      <c r="E650" s="132">
        <v>4</v>
      </c>
      <c r="F650" s="132">
        <v>1</v>
      </c>
      <c r="G650" s="132">
        <v>0</v>
      </c>
      <c r="H650" s="132">
        <v>0</v>
      </c>
      <c r="I650" s="132">
        <v>3</v>
      </c>
    </row>
    <row r="651" spans="1:9" ht="14.25" customHeight="1" x14ac:dyDescent="0.25">
      <c r="A651" s="132" t="s">
        <v>243</v>
      </c>
      <c r="B651" s="132" t="s">
        <v>255</v>
      </c>
      <c r="C651" s="132">
        <v>20</v>
      </c>
      <c r="D651" s="132" t="str">
        <f t="shared" si="46"/>
        <v>3/8" Hex 775pro 20</v>
      </c>
      <c r="E651" s="132">
        <v>3</v>
      </c>
      <c r="F651" s="132">
        <v>1</v>
      </c>
      <c r="G651" s="132">
        <v>0</v>
      </c>
      <c r="H651" s="132">
        <v>0</v>
      </c>
      <c r="I651" s="132">
        <v>1</v>
      </c>
    </row>
    <row r="652" spans="1:9" ht="14.25" customHeight="1" x14ac:dyDescent="0.25">
      <c r="A652" s="132" t="s">
        <v>243</v>
      </c>
      <c r="B652" s="132" t="s">
        <v>255</v>
      </c>
      <c r="C652" s="132">
        <v>21</v>
      </c>
      <c r="D652" s="132" t="str">
        <f t="shared" si="46"/>
        <v>3/8" Hex 775pro 21</v>
      </c>
      <c r="E652" s="132">
        <v>3</v>
      </c>
      <c r="F652" s="132">
        <v>1</v>
      </c>
      <c r="G652" s="132">
        <v>0</v>
      </c>
      <c r="H652" s="132">
        <v>0</v>
      </c>
      <c r="I652" s="132">
        <v>1</v>
      </c>
    </row>
    <row r="653" spans="1:9" ht="14.25" customHeight="1" x14ac:dyDescent="0.25">
      <c r="A653" s="132" t="s">
        <v>243</v>
      </c>
      <c r="B653" s="132" t="s">
        <v>255</v>
      </c>
      <c r="C653" s="132">
        <v>25</v>
      </c>
      <c r="D653" s="132" t="str">
        <f t="shared" si="46"/>
        <v>3/8" Hex 775pro 25</v>
      </c>
      <c r="E653" s="132">
        <v>3</v>
      </c>
      <c r="F653" s="132">
        <v>1</v>
      </c>
      <c r="G653" s="132">
        <v>0</v>
      </c>
      <c r="H653" s="132">
        <v>0</v>
      </c>
      <c r="I653" s="132">
        <v>1</v>
      </c>
    </row>
    <row r="654" spans="1:9" ht="14.25" customHeight="1" x14ac:dyDescent="0.25">
      <c r="A654" s="132" t="s">
        <v>243</v>
      </c>
      <c r="B654" s="132" t="s">
        <v>255</v>
      </c>
      <c r="C654" s="132">
        <v>27</v>
      </c>
      <c r="D654" s="132" t="str">
        <f t="shared" si="46"/>
        <v>3/8" Hex 775pro 27</v>
      </c>
      <c r="E654" s="132">
        <v>1</v>
      </c>
      <c r="F654" s="132">
        <v>1</v>
      </c>
      <c r="G654" s="132">
        <v>0</v>
      </c>
      <c r="H654" s="132">
        <v>0</v>
      </c>
      <c r="I654" s="132">
        <v>1</v>
      </c>
    </row>
    <row r="655" spans="1:9" ht="14.25" customHeight="1" x14ac:dyDescent="0.25">
      <c r="A655" s="132" t="s">
        <v>243</v>
      </c>
      <c r="B655" s="132" t="s">
        <v>255</v>
      </c>
      <c r="C655" s="132">
        <v>28</v>
      </c>
      <c r="D655" s="132" t="str">
        <f t="shared" si="46"/>
        <v>3/8" Hex 775pro 28</v>
      </c>
      <c r="E655" s="132">
        <v>1</v>
      </c>
      <c r="F655" s="132">
        <v>1</v>
      </c>
      <c r="G655" s="132">
        <v>0</v>
      </c>
      <c r="H655" s="132">
        <v>0</v>
      </c>
      <c r="I655" s="132">
        <v>1</v>
      </c>
    </row>
    <row r="656" spans="1:9" ht="14.25" customHeight="1" x14ac:dyDescent="0.25">
      <c r="A656" s="132" t="s">
        <v>243</v>
      </c>
      <c r="B656" s="132" t="s">
        <v>255</v>
      </c>
      <c r="C656" s="132">
        <v>30</v>
      </c>
      <c r="D656" s="132" t="str">
        <f t="shared" si="46"/>
        <v>3/8" Hex 775pro 30</v>
      </c>
      <c r="E656" s="132">
        <v>1</v>
      </c>
      <c r="F656" s="132">
        <v>1</v>
      </c>
      <c r="G656" s="132">
        <v>0</v>
      </c>
      <c r="H656" s="132">
        <v>0</v>
      </c>
      <c r="I656" s="132">
        <v>1</v>
      </c>
    </row>
    <row r="657" spans="1:9" ht="14.25" customHeight="1" x14ac:dyDescent="0.25">
      <c r="A657" s="132" t="s">
        <v>243</v>
      </c>
      <c r="B657" s="132" t="s">
        <v>255</v>
      </c>
      <c r="C657" s="132">
        <v>35</v>
      </c>
      <c r="D657" s="132" t="str">
        <f t="shared" si="46"/>
        <v>3/8" Hex 775pro 35</v>
      </c>
      <c r="E657" s="132">
        <v>1</v>
      </c>
      <c r="F657" s="132">
        <v>1</v>
      </c>
      <c r="G657" s="132">
        <v>0</v>
      </c>
      <c r="H657" s="132">
        <v>0</v>
      </c>
      <c r="I657" s="132">
        <v>1</v>
      </c>
    </row>
    <row r="658" spans="1:9" ht="14.25" customHeight="1" x14ac:dyDescent="0.25">
      <c r="A658" s="132" t="s">
        <v>243</v>
      </c>
      <c r="B658" s="132" t="s">
        <v>255</v>
      </c>
      <c r="C658" s="132">
        <v>36</v>
      </c>
      <c r="D658" s="132" t="str">
        <f t="shared" si="46"/>
        <v>3/8" Hex 775pro 36</v>
      </c>
      <c r="E658" s="132">
        <v>1</v>
      </c>
      <c r="F658" s="132">
        <v>1</v>
      </c>
      <c r="G658" s="132">
        <v>0</v>
      </c>
      <c r="H658" s="132">
        <v>0</v>
      </c>
      <c r="I658" s="132">
        <v>1</v>
      </c>
    </row>
    <row r="659" spans="1:9" ht="14.25" customHeight="1" x14ac:dyDescent="0.25">
      <c r="A659" s="132" t="s">
        <v>243</v>
      </c>
      <c r="B659" s="132" t="s">
        <v>255</v>
      </c>
      <c r="C659" s="132">
        <v>40</v>
      </c>
      <c r="D659" s="132" t="str">
        <f t="shared" si="46"/>
        <v>3/8" Hex 775pro 40</v>
      </c>
      <c r="E659" s="132">
        <v>1</v>
      </c>
      <c r="F659" s="132">
        <v>0</v>
      </c>
      <c r="G659" s="132">
        <v>0</v>
      </c>
      <c r="H659" s="132">
        <v>0</v>
      </c>
      <c r="I659" s="132">
        <v>1</v>
      </c>
    </row>
    <row r="660" spans="1:9" ht="14.25" customHeight="1" x14ac:dyDescent="0.25">
      <c r="A660" s="132" t="s">
        <v>243</v>
      </c>
      <c r="B660" s="132" t="s">
        <v>255</v>
      </c>
      <c r="C660" s="132">
        <v>45</v>
      </c>
      <c r="D660" s="132" t="str">
        <f t="shared" si="46"/>
        <v>3/8" Hex 775pro 45</v>
      </c>
      <c r="E660" s="132">
        <v>1</v>
      </c>
      <c r="F660" s="132">
        <v>0</v>
      </c>
      <c r="G660" s="132">
        <v>0</v>
      </c>
      <c r="H660" s="132">
        <v>0</v>
      </c>
      <c r="I660" s="132">
        <v>1</v>
      </c>
    </row>
    <row r="661" spans="1:9" ht="14.25" customHeight="1" x14ac:dyDescent="0.25">
      <c r="A661" s="132" t="s">
        <v>243</v>
      </c>
      <c r="B661" s="132" t="s">
        <v>255</v>
      </c>
      <c r="C661" s="132">
        <v>49</v>
      </c>
      <c r="D661" s="132" t="str">
        <f t="shared" si="46"/>
        <v>3/8" Hex 775pro 49</v>
      </c>
      <c r="E661" s="132">
        <v>1</v>
      </c>
      <c r="F661" s="132">
        <v>0</v>
      </c>
      <c r="G661" s="132">
        <v>0</v>
      </c>
      <c r="H661" s="132">
        <v>0</v>
      </c>
      <c r="I661" s="132">
        <v>1</v>
      </c>
    </row>
    <row r="662" spans="1:9" ht="14.25" customHeight="1" x14ac:dyDescent="0.25">
      <c r="A662" s="132" t="s">
        <v>243</v>
      </c>
      <c r="B662" s="132" t="s">
        <v>255</v>
      </c>
      <c r="C662" s="132">
        <v>50</v>
      </c>
      <c r="D662" s="132" t="str">
        <f t="shared" si="46"/>
        <v>3/8" Hex 775pro 50</v>
      </c>
      <c r="E662" s="132">
        <v>1</v>
      </c>
      <c r="F662" s="132">
        <v>0</v>
      </c>
      <c r="G662" s="132">
        <v>0</v>
      </c>
      <c r="H662" s="132">
        <v>0</v>
      </c>
      <c r="I662" s="132">
        <v>0</v>
      </c>
    </row>
    <row r="663" spans="1:9" ht="14.25" customHeight="1" x14ac:dyDescent="0.25">
      <c r="A663" s="132" t="s">
        <v>243</v>
      </c>
      <c r="B663" s="132" t="s">
        <v>255</v>
      </c>
      <c r="C663" s="132">
        <v>63</v>
      </c>
      <c r="D663" s="132" t="str">
        <f t="shared" si="46"/>
        <v>3/8" Hex 775pro 63</v>
      </c>
      <c r="E663" s="132">
        <v>1</v>
      </c>
      <c r="F663" s="132">
        <v>0</v>
      </c>
      <c r="G663" s="132">
        <v>0</v>
      </c>
      <c r="H663" s="132">
        <v>0</v>
      </c>
      <c r="I663" s="132">
        <v>0</v>
      </c>
    </row>
    <row r="664" spans="1:9" ht="14.25" customHeight="1" x14ac:dyDescent="0.25">
      <c r="A664" s="132" t="s">
        <v>243</v>
      </c>
      <c r="B664" s="132" t="s">
        <v>255</v>
      </c>
      <c r="C664" s="132">
        <v>70</v>
      </c>
      <c r="D664" s="132" t="str">
        <f t="shared" si="46"/>
        <v>3/8" Hex 775pro 70</v>
      </c>
      <c r="E664" s="132">
        <v>1</v>
      </c>
      <c r="F664" s="132">
        <v>0</v>
      </c>
      <c r="G664" s="132">
        <v>0</v>
      </c>
      <c r="H664" s="132">
        <v>0</v>
      </c>
      <c r="I664" s="132">
        <v>0</v>
      </c>
    </row>
    <row r="665" spans="1:9" ht="14.25" customHeight="1" x14ac:dyDescent="0.25">
      <c r="A665" s="132" t="s">
        <v>243</v>
      </c>
      <c r="B665" s="132" t="s">
        <v>255</v>
      </c>
      <c r="C665" s="132">
        <v>81</v>
      </c>
      <c r="D665" s="132" t="str">
        <f t="shared" si="46"/>
        <v>3/8" Hex 775pro 81</v>
      </c>
      <c r="E665" s="132">
        <v>0</v>
      </c>
      <c r="F665" s="132">
        <v>0</v>
      </c>
      <c r="G665" s="132">
        <v>0</v>
      </c>
      <c r="H665" s="132">
        <v>0</v>
      </c>
      <c r="I665" s="132">
        <v>0</v>
      </c>
    </row>
    <row r="666" spans="1:9" ht="14.25" customHeight="1" x14ac:dyDescent="0.25">
      <c r="A666" s="132" t="s">
        <v>243</v>
      </c>
      <c r="B666" s="132" t="s">
        <v>255</v>
      </c>
      <c r="C666" s="132">
        <v>90</v>
      </c>
      <c r="D666" s="132" t="str">
        <f t="shared" si="46"/>
        <v>3/8" Hex 775pro 90</v>
      </c>
      <c r="E666" s="132">
        <v>0</v>
      </c>
      <c r="F666" s="132">
        <v>0</v>
      </c>
      <c r="G666" s="132">
        <v>0</v>
      </c>
      <c r="H666" s="132">
        <v>0</v>
      </c>
      <c r="I666" s="132">
        <v>0</v>
      </c>
    </row>
    <row r="667" spans="1:9" ht="14.25" customHeight="1" x14ac:dyDescent="0.25">
      <c r="A667" s="132" t="s">
        <v>243</v>
      </c>
      <c r="B667" s="132" t="s">
        <v>255</v>
      </c>
      <c r="C667" s="132">
        <v>100</v>
      </c>
      <c r="D667" s="132" t="str">
        <f t="shared" si="46"/>
        <v>3/8" Hex 775pro 100</v>
      </c>
      <c r="E667" s="132">
        <v>0</v>
      </c>
      <c r="F667" s="132">
        <v>0</v>
      </c>
      <c r="G667" s="132">
        <v>0</v>
      </c>
      <c r="H667" s="132">
        <v>0</v>
      </c>
      <c r="I667" s="132">
        <v>0</v>
      </c>
    </row>
    <row r="668" spans="1:9" ht="14.25" customHeight="1" x14ac:dyDescent="0.25">
      <c r="A668" s="132" t="s">
        <v>243</v>
      </c>
      <c r="B668" s="132" t="s">
        <v>7</v>
      </c>
      <c r="C668" s="132">
        <v>-3</v>
      </c>
      <c r="D668" s="132" t="str">
        <f t="shared" ref="D668:D673" si="47">A668&amp;" "&amp;B668&amp;" "&amp;C668</f>
        <v>3/8" Hex Mini CIM -3</v>
      </c>
      <c r="E668" s="132">
        <v>1</v>
      </c>
      <c r="I668" s="132">
        <v>0</v>
      </c>
    </row>
    <row r="669" spans="1:9" ht="14.25" customHeight="1" x14ac:dyDescent="0.25">
      <c r="A669" s="132" t="s">
        <v>243</v>
      </c>
      <c r="B669" s="132" t="s">
        <v>7</v>
      </c>
      <c r="C669" s="132">
        <v>-4</v>
      </c>
      <c r="D669" s="132" t="str">
        <f t="shared" si="47"/>
        <v>3/8" Hex Mini CIM -4</v>
      </c>
      <c r="E669" s="132">
        <v>1</v>
      </c>
      <c r="I669" s="132">
        <v>0</v>
      </c>
    </row>
    <row r="670" spans="1:9" ht="14.25" customHeight="1" x14ac:dyDescent="0.25">
      <c r="A670" s="132" t="s">
        <v>243</v>
      </c>
      <c r="B670" s="132" t="s">
        <v>7</v>
      </c>
      <c r="C670" s="132">
        <v>-5</v>
      </c>
      <c r="D670" s="132" t="str">
        <f t="shared" si="47"/>
        <v>3/8" Hex Mini CIM -5</v>
      </c>
      <c r="E670" s="132">
        <v>1</v>
      </c>
      <c r="I670" s="132">
        <v>0</v>
      </c>
    </row>
    <row r="671" spans="1:9" ht="14.25" customHeight="1" x14ac:dyDescent="0.25">
      <c r="A671" s="132" t="s">
        <v>243</v>
      </c>
      <c r="B671" s="132" t="s">
        <v>7</v>
      </c>
      <c r="C671" s="132">
        <v>-7</v>
      </c>
      <c r="D671" s="132" t="str">
        <f t="shared" si="47"/>
        <v>3/8" Hex Mini CIM -7</v>
      </c>
      <c r="E671" s="132">
        <v>1</v>
      </c>
      <c r="I671" s="132">
        <v>0</v>
      </c>
    </row>
    <row r="672" spans="1:9" ht="14.25" customHeight="1" x14ac:dyDescent="0.25">
      <c r="A672" s="132" t="s">
        <v>243</v>
      </c>
      <c r="B672" s="132" t="s">
        <v>7</v>
      </c>
      <c r="C672" s="132">
        <v>-9</v>
      </c>
      <c r="D672" s="132" t="str">
        <f t="shared" si="47"/>
        <v>3/8" Hex Mini CIM -9</v>
      </c>
      <c r="E672" s="132">
        <v>1</v>
      </c>
      <c r="I672" s="132">
        <v>0</v>
      </c>
    </row>
    <row r="673" spans="1:9" ht="14.25" customHeight="1" x14ac:dyDescent="0.25">
      <c r="A673" s="132" t="s">
        <v>243</v>
      </c>
      <c r="B673" s="132" t="s">
        <v>7</v>
      </c>
      <c r="C673" s="132">
        <v>-10</v>
      </c>
      <c r="D673" s="132" t="str">
        <f t="shared" si="47"/>
        <v>3/8" Hex Mini CIM -10</v>
      </c>
      <c r="E673" s="132">
        <v>1</v>
      </c>
      <c r="I673" s="132">
        <v>0</v>
      </c>
    </row>
    <row r="674" spans="1:9" ht="14.25" customHeight="1" x14ac:dyDescent="0.25">
      <c r="A674" s="132" t="s">
        <v>243</v>
      </c>
      <c r="B674" s="132" t="s">
        <v>7</v>
      </c>
      <c r="C674" s="132">
        <v>9</v>
      </c>
      <c r="D674" s="132" t="str">
        <f t="shared" ref="D674:D694" si="48">A674&amp;" "&amp;B674&amp;" "&amp;C674</f>
        <v>3/8" Hex Mini CIM 9</v>
      </c>
      <c r="E674" s="132">
        <v>4</v>
      </c>
      <c r="I674" s="132">
        <v>0</v>
      </c>
    </row>
    <row r="675" spans="1:9" ht="14.25" customHeight="1" x14ac:dyDescent="0.25">
      <c r="A675" s="132" t="s">
        <v>243</v>
      </c>
      <c r="B675" s="132" t="s">
        <v>7</v>
      </c>
      <c r="C675" s="132">
        <v>12</v>
      </c>
      <c r="D675" s="132" t="str">
        <f t="shared" si="48"/>
        <v>3/8" Hex Mini CIM 12</v>
      </c>
      <c r="E675" s="132">
        <v>3</v>
      </c>
      <c r="I675" s="132">
        <v>0</v>
      </c>
    </row>
    <row r="676" spans="1:9" ht="14.25" customHeight="1" x14ac:dyDescent="0.25">
      <c r="A676" s="132" t="s">
        <v>243</v>
      </c>
      <c r="B676" s="132" t="s">
        <v>7</v>
      </c>
      <c r="C676" s="132">
        <v>15</v>
      </c>
      <c r="D676" s="132" t="str">
        <f t="shared" si="48"/>
        <v>3/8" Hex Mini CIM 15</v>
      </c>
      <c r="E676" s="132">
        <v>1</v>
      </c>
      <c r="I676" s="132">
        <v>0</v>
      </c>
    </row>
    <row r="677" spans="1:9" ht="14.25" customHeight="1" x14ac:dyDescent="0.25">
      <c r="A677" s="132" t="s">
        <v>243</v>
      </c>
      <c r="B677" s="132" t="s">
        <v>7</v>
      </c>
      <c r="C677" s="132">
        <v>16</v>
      </c>
      <c r="D677" s="132" t="str">
        <f t="shared" si="48"/>
        <v>3/8" Hex Mini CIM 16</v>
      </c>
      <c r="E677" s="132">
        <v>1</v>
      </c>
      <c r="I677" s="132">
        <v>0</v>
      </c>
    </row>
    <row r="678" spans="1:9" ht="14.25" customHeight="1" x14ac:dyDescent="0.25">
      <c r="A678" s="132" t="s">
        <v>243</v>
      </c>
      <c r="B678" s="132" t="s">
        <v>7</v>
      </c>
      <c r="C678" s="132">
        <v>20</v>
      </c>
      <c r="D678" s="132" t="str">
        <f t="shared" si="48"/>
        <v>3/8" Hex Mini CIM 20</v>
      </c>
      <c r="E678" s="132">
        <v>1</v>
      </c>
      <c r="I678" s="132">
        <v>0</v>
      </c>
    </row>
    <row r="679" spans="1:9" ht="14.25" customHeight="1" x14ac:dyDescent="0.25">
      <c r="A679" s="132" t="s">
        <v>243</v>
      </c>
      <c r="B679" s="132" t="s">
        <v>7</v>
      </c>
      <c r="C679" s="132">
        <v>21</v>
      </c>
      <c r="D679" s="132" t="str">
        <f t="shared" si="48"/>
        <v>3/8" Hex Mini CIM 21</v>
      </c>
      <c r="E679" s="132">
        <v>1</v>
      </c>
      <c r="I679" s="132">
        <v>0</v>
      </c>
    </row>
    <row r="680" spans="1:9" ht="14.25" customHeight="1" x14ac:dyDescent="0.25">
      <c r="A680" s="132" t="s">
        <v>243</v>
      </c>
      <c r="B680" s="132" t="s">
        <v>7</v>
      </c>
      <c r="C680" s="132">
        <v>25</v>
      </c>
      <c r="D680" s="132" t="str">
        <f t="shared" si="48"/>
        <v>3/8" Hex Mini CIM 25</v>
      </c>
      <c r="E680" s="132">
        <v>1</v>
      </c>
      <c r="I680" s="132">
        <v>0</v>
      </c>
    </row>
    <row r="681" spans="1:9" ht="14.25" customHeight="1" x14ac:dyDescent="0.25">
      <c r="A681" s="132" t="s">
        <v>243</v>
      </c>
      <c r="B681" s="132" t="s">
        <v>7</v>
      </c>
      <c r="C681" s="132">
        <v>27</v>
      </c>
      <c r="D681" s="132" t="str">
        <f t="shared" si="48"/>
        <v>3/8" Hex Mini CIM 27</v>
      </c>
      <c r="E681" s="132">
        <v>1</v>
      </c>
      <c r="I681" s="132">
        <v>0</v>
      </c>
    </row>
    <row r="682" spans="1:9" ht="14.25" customHeight="1" x14ac:dyDescent="0.25">
      <c r="A682" s="132" t="s">
        <v>243</v>
      </c>
      <c r="B682" s="132" t="s">
        <v>7</v>
      </c>
      <c r="C682" s="132">
        <v>28</v>
      </c>
      <c r="D682" s="132" t="str">
        <f t="shared" si="48"/>
        <v>3/8" Hex Mini CIM 28</v>
      </c>
      <c r="E682" s="132">
        <v>1</v>
      </c>
      <c r="I682" s="132">
        <v>0</v>
      </c>
    </row>
    <row r="683" spans="1:9" ht="14.25" customHeight="1" x14ac:dyDescent="0.25">
      <c r="A683" s="132" t="s">
        <v>243</v>
      </c>
      <c r="B683" s="132" t="s">
        <v>7</v>
      </c>
      <c r="C683" s="132">
        <v>30</v>
      </c>
      <c r="D683" s="132" t="str">
        <f t="shared" si="48"/>
        <v>3/8" Hex Mini CIM 30</v>
      </c>
      <c r="E683" s="132">
        <v>1</v>
      </c>
      <c r="I683" s="132">
        <v>0</v>
      </c>
    </row>
    <row r="684" spans="1:9" ht="14.25" customHeight="1" x14ac:dyDescent="0.25">
      <c r="A684" s="132" t="s">
        <v>243</v>
      </c>
      <c r="B684" s="132" t="s">
        <v>7</v>
      </c>
      <c r="C684" s="132">
        <v>35</v>
      </c>
      <c r="D684" s="132" t="str">
        <f t="shared" si="48"/>
        <v>3/8" Hex Mini CIM 35</v>
      </c>
      <c r="E684" s="132">
        <v>1</v>
      </c>
      <c r="I684" s="132">
        <v>0</v>
      </c>
    </row>
    <row r="685" spans="1:9" ht="14.25" customHeight="1" x14ac:dyDescent="0.25">
      <c r="A685" s="132" t="s">
        <v>243</v>
      </c>
      <c r="B685" s="132" t="s">
        <v>7</v>
      </c>
      <c r="C685" s="132">
        <v>36</v>
      </c>
      <c r="D685" s="132" t="str">
        <f t="shared" si="48"/>
        <v>3/8" Hex Mini CIM 36</v>
      </c>
      <c r="E685" s="132">
        <v>1</v>
      </c>
      <c r="I685" s="132">
        <v>0</v>
      </c>
    </row>
    <row r="686" spans="1:9" ht="14.25" customHeight="1" x14ac:dyDescent="0.25">
      <c r="A686" s="132" t="s">
        <v>243</v>
      </c>
      <c r="B686" s="132" t="s">
        <v>7</v>
      </c>
      <c r="C686" s="132">
        <v>40</v>
      </c>
      <c r="D686" s="132" t="str">
        <f t="shared" si="48"/>
        <v>3/8" Hex Mini CIM 40</v>
      </c>
      <c r="E686" s="132">
        <v>0</v>
      </c>
      <c r="I686" s="132">
        <v>0</v>
      </c>
    </row>
    <row r="687" spans="1:9" ht="14.25" customHeight="1" x14ac:dyDescent="0.25">
      <c r="A687" s="132" t="s">
        <v>243</v>
      </c>
      <c r="B687" s="132" t="s">
        <v>7</v>
      </c>
      <c r="C687" s="132">
        <v>45</v>
      </c>
      <c r="D687" s="132" t="str">
        <f t="shared" si="48"/>
        <v>3/8" Hex Mini CIM 45</v>
      </c>
      <c r="E687" s="132">
        <v>0</v>
      </c>
      <c r="I687" s="132">
        <v>0</v>
      </c>
    </row>
    <row r="688" spans="1:9" ht="14.25" customHeight="1" x14ac:dyDescent="0.25">
      <c r="A688" s="132" t="s">
        <v>243</v>
      </c>
      <c r="B688" s="132" t="s">
        <v>7</v>
      </c>
      <c r="C688" s="132">
        <v>49</v>
      </c>
      <c r="D688" s="132" t="str">
        <f t="shared" si="48"/>
        <v>3/8" Hex Mini CIM 49</v>
      </c>
      <c r="E688" s="132">
        <v>0</v>
      </c>
      <c r="I688" s="132">
        <v>0</v>
      </c>
    </row>
    <row r="689" spans="1:9" ht="14.25" customHeight="1" x14ac:dyDescent="0.25">
      <c r="A689" s="132" t="s">
        <v>243</v>
      </c>
      <c r="B689" s="132" t="s">
        <v>7</v>
      </c>
      <c r="C689" s="132">
        <v>50</v>
      </c>
      <c r="D689" s="132" t="str">
        <f t="shared" si="48"/>
        <v>3/8" Hex Mini CIM 50</v>
      </c>
      <c r="E689" s="132">
        <v>0</v>
      </c>
      <c r="I689" s="132">
        <v>0</v>
      </c>
    </row>
    <row r="690" spans="1:9" ht="14.25" customHeight="1" x14ac:dyDescent="0.25">
      <c r="A690" s="132" t="s">
        <v>243</v>
      </c>
      <c r="B690" s="132" t="s">
        <v>7</v>
      </c>
      <c r="C690" s="132">
        <v>63</v>
      </c>
      <c r="D690" s="132" t="str">
        <f t="shared" si="48"/>
        <v>3/8" Hex Mini CIM 63</v>
      </c>
      <c r="E690" s="132">
        <v>0</v>
      </c>
      <c r="I690" s="132">
        <v>0</v>
      </c>
    </row>
    <row r="691" spans="1:9" ht="14.25" customHeight="1" x14ac:dyDescent="0.25">
      <c r="A691" s="132" t="s">
        <v>243</v>
      </c>
      <c r="B691" s="132" t="s">
        <v>7</v>
      </c>
      <c r="C691" s="132">
        <v>70</v>
      </c>
      <c r="D691" s="132" t="str">
        <f t="shared" si="48"/>
        <v>3/8" Hex Mini CIM 70</v>
      </c>
      <c r="E691" s="132">
        <v>0</v>
      </c>
      <c r="I691" s="132">
        <v>0</v>
      </c>
    </row>
    <row r="692" spans="1:9" ht="14.25" customHeight="1" x14ac:dyDescent="0.25">
      <c r="A692" s="132" t="s">
        <v>243</v>
      </c>
      <c r="B692" s="132" t="s">
        <v>7</v>
      </c>
      <c r="C692" s="132">
        <v>81</v>
      </c>
      <c r="D692" s="132" t="str">
        <f t="shared" si="48"/>
        <v>3/8" Hex Mini CIM 81</v>
      </c>
      <c r="E692" s="132">
        <v>0</v>
      </c>
      <c r="I692" s="132">
        <v>0</v>
      </c>
    </row>
    <row r="693" spans="1:9" ht="14.25" customHeight="1" x14ac:dyDescent="0.25">
      <c r="A693" s="132" t="s">
        <v>243</v>
      </c>
      <c r="B693" s="132" t="s">
        <v>7</v>
      </c>
      <c r="C693" s="132">
        <v>90</v>
      </c>
      <c r="D693" s="132" t="str">
        <f t="shared" si="48"/>
        <v>3/8" Hex Mini CIM 90</v>
      </c>
      <c r="E693" s="132">
        <v>0</v>
      </c>
      <c r="I693" s="132">
        <v>0</v>
      </c>
    </row>
    <row r="694" spans="1:9" ht="14.25" customHeight="1" x14ac:dyDescent="0.25">
      <c r="A694" s="132" t="s">
        <v>243</v>
      </c>
      <c r="B694" s="132" t="s">
        <v>7</v>
      </c>
      <c r="C694" s="132">
        <v>100</v>
      </c>
      <c r="D694" s="132" t="str">
        <f t="shared" si="48"/>
        <v>3/8" Hex Mini CIM 100</v>
      </c>
      <c r="E694" s="132">
        <v>0</v>
      </c>
      <c r="I694" s="132">
        <v>0</v>
      </c>
    </row>
    <row r="695" spans="1:9" ht="14.25" customHeight="1" x14ac:dyDescent="0.25">
      <c r="A695" s="132" t="s">
        <v>243</v>
      </c>
      <c r="B695" s="132" t="s">
        <v>6</v>
      </c>
      <c r="C695" s="132">
        <v>-3</v>
      </c>
      <c r="D695" s="132" t="str">
        <f t="shared" ref="D695:D700" si="49">A695&amp;" "&amp;B695&amp;" "&amp;C695</f>
        <v>3/8" Hex CIM -3</v>
      </c>
      <c r="E695" s="132">
        <v>1</v>
      </c>
      <c r="I695" s="132">
        <v>0</v>
      </c>
    </row>
    <row r="696" spans="1:9" ht="14.25" customHeight="1" x14ac:dyDescent="0.25">
      <c r="A696" s="132" t="s">
        <v>243</v>
      </c>
      <c r="B696" s="132" t="s">
        <v>6</v>
      </c>
      <c r="C696" s="132">
        <v>-4</v>
      </c>
      <c r="D696" s="132" t="str">
        <f t="shared" si="49"/>
        <v>3/8" Hex CIM -4</v>
      </c>
      <c r="E696" s="132">
        <v>1</v>
      </c>
      <c r="I696" s="132">
        <v>0</v>
      </c>
    </row>
    <row r="697" spans="1:9" ht="14.25" customHeight="1" x14ac:dyDescent="0.25">
      <c r="A697" s="132" t="s">
        <v>243</v>
      </c>
      <c r="B697" s="132" t="s">
        <v>6</v>
      </c>
      <c r="C697" s="132">
        <v>-5</v>
      </c>
      <c r="D697" s="132" t="str">
        <f t="shared" si="49"/>
        <v>3/8" Hex CIM -5</v>
      </c>
      <c r="E697" s="132">
        <v>1</v>
      </c>
      <c r="I697" s="132">
        <v>0</v>
      </c>
    </row>
    <row r="698" spans="1:9" ht="14.25" customHeight="1" x14ac:dyDescent="0.25">
      <c r="A698" s="132" t="s">
        <v>243</v>
      </c>
      <c r="B698" s="132" t="s">
        <v>6</v>
      </c>
      <c r="C698" s="132">
        <v>-7</v>
      </c>
      <c r="D698" s="132" t="str">
        <f t="shared" si="49"/>
        <v>3/8" Hex CIM -7</v>
      </c>
      <c r="E698" s="132">
        <v>1</v>
      </c>
      <c r="I698" s="132">
        <v>0</v>
      </c>
    </row>
    <row r="699" spans="1:9" ht="14.25" customHeight="1" x14ac:dyDescent="0.25">
      <c r="A699" s="132" t="s">
        <v>243</v>
      </c>
      <c r="B699" s="132" t="s">
        <v>6</v>
      </c>
      <c r="C699" s="132">
        <v>-9</v>
      </c>
      <c r="D699" s="132" t="str">
        <f t="shared" si="49"/>
        <v>3/8" Hex CIM -9</v>
      </c>
      <c r="E699" s="132">
        <v>1</v>
      </c>
      <c r="I699" s="132">
        <v>0</v>
      </c>
    </row>
    <row r="700" spans="1:9" ht="14.25" customHeight="1" x14ac:dyDescent="0.25">
      <c r="A700" s="132" t="s">
        <v>243</v>
      </c>
      <c r="B700" s="132" t="s">
        <v>6</v>
      </c>
      <c r="C700" s="132">
        <v>-10</v>
      </c>
      <c r="D700" s="132" t="str">
        <f t="shared" si="49"/>
        <v>3/8" Hex CIM -10</v>
      </c>
      <c r="E700" s="132">
        <v>1</v>
      </c>
      <c r="I700" s="132">
        <v>0</v>
      </c>
    </row>
    <row r="701" spans="1:9" ht="14.25" customHeight="1" x14ac:dyDescent="0.25">
      <c r="A701" s="132" t="s">
        <v>243</v>
      </c>
      <c r="B701" s="132" t="s">
        <v>6</v>
      </c>
      <c r="C701" s="132">
        <v>9</v>
      </c>
      <c r="D701" s="132" t="str">
        <f t="shared" ref="D701:D721" si="50">A701&amp;" "&amp;B701&amp;" "&amp;C701</f>
        <v>3/8" Hex CIM 9</v>
      </c>
      <c r="E701" s="132">
        <v>1</v>
      </c>
      <c r="I701" s="132">
        <v>0</v>
      </c>
    </row>
    <row r="702" spans="1:9" ht="14.25" customHeight="1" x14ac:dyDescent="0.25">
      <c r="A702" s="132" t="s">
        <v>243</v>
      </c>
      <c r="B702" s="132" t="s">
        <v>6</v>
      </c>
      <c r="C702" s="132">
        <v>12</v>
      </c>
      <c r="D702" s="132" t="str">
        <f t="shared" si="50"/>
        <v>3/8" Hex CIM 12</v>
      </c>
      <c r="E702" s="132">
        <v>1</v>
      </c>
      <c r="I702" s="132">
        <v>0</v>
      </c>
    </row>
    <row r="703" spans="1:9" ht="14.25" customHeight="1" x14ac:dyDescent="0.25">
      <c r="A703" s="132" t="s">
        <v>243</v>
      </c>
      <c r="B703" s="132" t="s">
        <v>6</v>
      </c>
      <c r="C703" s="132">
        <v>15</v>
      </c>
      <c r="D703" s="132" t="str">
        <f t="shared" si="50"/>
        <v>3/8" Hex CIM 15</v>
      </c>
      <c r="E703" s="132">
        <v>1</v>
      </c>
      <c r="I703" s="132">
        <v>0</v>
      </c>
    </row>
    <row r="704" spans="1:9" ht="14.25" customHeight="1" x14ac:dyDescent="0.25">
      <c r="A704" s="132" t="s">
        <v>243</v>
      </c>
      <c r="B704" s="132" t="s">
        <v>6</v>
      </c>
      <c r="C704" s="132">
        <v>16</v>
      </c>
      <c r="D704" s="132" t="str">
        <f t="shared" si="50"/>
        <v>3/8" Hex CIM 16</v>
      </c>
      <c r="E704" s="132">
        <v>1</v>
      </c>
      <c r="I704" s="132">
        <v>0</v>
      </c>
    </row>
    <row r="705" spans="1:9" ht="14.25" customHeight="1" x14ac:dyDescent="0.25">
      <c r="A705" s="132" t="s">
        <v>243</v>
      </c>
      <c r="B705" s="132" t="s">
        <v>6</v>
      </c>
      <c r="C705" s="132">
        <v>20</v>
      </c>
      <c r="D705" s="132" t="str">
        <f t="shared" si="50"/>
        <v>3/8" Hex CIM 20</v>
      </c>
      <c r="E705" s="132">
        <v>1</v>
      </c>
      <c r="I705" s="132">
        <v>0</v>
      </c>
    </row>
    <row r="706" spans="1:9" ht="14.25" customHeight="1" x14ac:dyDescent="0.25">
      <c r="A706" s="132" t="s">
        <v>243</v>
      </c>
      <c r="B706" s="132" t="s">
        <v>6</v>
      </c>
      <c r="C706" s="132">
        <v>21</v>
      </c>
      <c r="D706" s="132" t="str">
        <f t="shared" si="50"/>
        <v>3/8" Hex CIM 21</v>
      </c>
      <c r="E706" s="132">
        <v>1</v>
      </c>
      <c r="I706" s="132">
        <v>0</v>
      </c>
    </row>
    <row r="707" spans="1:9" ht="14.25" customHeight="1" x14ac:dyDescent="0.25">
      <c r="A707" s="132" t="s">
        <v>243</v>
      </c>
      <c r="B707" s="132" t="s">
        <v>6</v>
      </c>
      <c r="C707" s="132">
        <v>25</v>
      </c>
      <c r="D707" s="132" t="str">
        <f t="shared" si="50"/>
        <v>3/8" Hex CIM 25</v>
      </c>
      <c r="E707" s="132">
        <v>0</v>
      </c>
      <c r="I707" s="132">
        <v>0</v>
      </c>
    </row>
    <row r="708" spans="1:9" ht="14.25" customHeight="1" x14ac:dyDescent="0.25">
      <c r="A708" s="132" t="s">
        <v>243</v>
      </c>
      <c r="B708" s="132" t="s">
        <v>6</v>
      </c>
      <c r="C708" s="132">
        <v>27</v>
      </c>
      <c r="D708" s="132" t="str">
        <f t="shared" si="50"/>
        <v>3/8" Hex CIM 27</v>
      </c>
      <c r="E708" s="132">
        <v>0</v>
      </c>
      <c r="I708" s="132">
        <v>0</v>
      </c>
    </row>
    <row r="709" spans="1:9" ht="14.25" customHeight="1" x14ac:dyDescent="0.25">
      <c r="A709" s="132" t="s">
        <v>243</v>
      </c>
      <c r="B709" s="132" t="s">
        <v>6</v>
      </c>
      <c r="C709" s="132">
        <v>28</v>
      </c>
      <c r="D709" s="132" t="str">
        <f t="shared" si="50"/>
        <v>3/8" Hex CIM 28</v>
      </c>
      <c r="E709" s="132">
        <v>0</v>
      </c>
      <c r="I709" s="132">
        <v>0</v>
      </c>
    </row>
    <row r="710" spans="1:9" ht="14.25" customHeight="1" x14ac:dyDescent="0.25">
      <c r="A710" s="132" t="s">
        <v>243</v>
      </c>
      <c r="B710" s="132" t="s">
        <v>6</v>
      </c>
      <c r="C710" s="132">
        <v>30</v>
      </c>
      <c r="D710" s="132" t="str">
        <f t="shared" si="50"/>
        <v>3/8" Hex CIM 30</v>
      </c>
      <c r="E710" s="132">
        <v>0</v>
      </c>
      <c r="I710" s="132">
        <v>0</v>
      </c>
    </row>
    <row r="711" spans="1:9" ht="14.25" customHeight="1" x14ac:dyDescent="0.25">
      <c r="A711" s="132" t="s">
        <v>243</v>
      </c>
      <c r="B711" s="132" t="s">
        <v>6</v>
      </c>
      <c r="C711" s="132">
        <v>35</v>
      </c>
      <c r="D711" s="132" t="str">
        <f t="shared" si="50"/>
        <v>3/8" Hex CIM 35</v>
      </c>
      <c r="E711" s="132">
        <v>0</v>
      </c>
      <c r="I711" s="132">
        <v>0</v>
      </c>
    </row>
    <row r="712" spans="1:9" ht="14.25" customHeight="1" x14ac:dyDescent="0.25">
      <c r="A712" s="132" t="s">
        <v>243</v>
      </c>
      <c r="B712" s="132" t="s">
        <v>6</v>
      </c>
      <c r="C712" s="132">
        <v>36</v>
      </c>
      <c r="D712" s="132" t="str">
        <f t="shared" si="50"/>
        <v>3/8" Hex CIM 36</v>
      </c>
      <c r="E712" s="132">
        <v>0</v>
      </c>
      <c r="I712" s="132">
        <v>0</v>
      </c>
    </row>
    <row r="713" spans="1:9" ht="14.25" customHeight="1" x14ac:dyDescent="0.25">
      <c r="A713" s="132" t="s">
        <v>243</v>
      </c>
      <c r="B713" s="132" t="s">
        <v>6</v>
      </c>
      <c r="C713" s="132">
        <v>40</v>
      </c>
      <c r="D713" s="132" t="str">
        <f t="shared" si="50"/>
        <v>3/8" Hex CIM 40</v>
      </c>
      <c r="E713" s="132">
        <v>0</v>
      </c>
      <c r="I713" s="132">
        <v>0</v>
      </c>
    </row>
    <row r="714" spans="1:9" ht="14.25" customHeight="1" x14ac:dyDescent="0.25">
      <c r="A714" s="132" t="s">
        <v>243</v>
      </c>
      <c r="B714" s="132" t="s">
        <v>6</v>
      </c>
      <c r="C714" s="132">
        <v>45</v>
      </c>
      <c r="D714" s="132" t="str">
        <f t="shared" si="50"/>
        <v>3/8" Hex CIM 45</v>
      </c>
      <c r="E714" s="132">
        <v>0</v>
      </c>
      <c r="I714" s="132">
        <v>0</v>
      </c>
    </row>
    <row r="715" spans="1:9" ht="14.25" customHeight="1" x14ac:dyDescent="0.25">
      <c r="A715" s="132" t="s">
        <v>243</v>
      </c>
      <c r="B715" s="132" t="s">
        <v>6</v>
      </c>
      <c r="C715" s="132">
        <v>49</v>
      </c>
      <c r="D715" s="132" t="str">
        <f t="shared" si="50"/>
        <v>3/8" Hex CIM 49</v>
      </c>
      <c r="E715" s="132">
        <v>0</v>
      </c>
      <c r="I715" s="132">
        <v>0</v>
      </c>
    </row>
    <row r="716" spans="1:9" ht="14.25" customHeight="1" x14ac:dyDescent="0.25">
      <c r="A716" s="132" t="s">
        <v>243</v>
      </c>
      <c r="B716" s="132" t="s">
        <v>6</v>
      </c>
      <c r="C716" s="132">
        <v>50</v>
      </c>
      <c r="D716" s="132" t="str">
        <f t="shared" si="50"/>
        <v>3/8" Hex CIM 50</v>
      </c>
      <c r="E716" s="132">
        <v>0</v>
      </c>
      <c r="I716" s="132">
        <v>0</v>
      </c>
    </row>
    <row r="717" spans="1:9" ht="14.25" customHeight="1" x14ac:dyDescent="0.25">
      <c r="A717" s="132" t="s">
        <v>243</v>
      </c>
      <c r="B717" s="132" t="s">
        <v>6</v>
      </c>
      <c r="C717" s="132">
        <v>63</v>
      </c>
      <c r="D717" s="132" t="str">
        <f t="shared" si="50"/>
        <v>3/8" Hex CIM 63</v>
      </c>
      <c r="E717" s="132">
        <v>0</v>
      </c>
      <c r="I717" s="132">
        <v>0</v>
      </c>
    </row>
    <row r="718" spans="1:9" ht="14.25" customHeight="1" x14ac:dyDescent="0.25">
      <c r="A718" s="132" t="s">
        <v>243</v>
      </c>
      <c r="B718" s="132" t="s">
        <v>6</v>
      </c>
      <c r="C718" s="132">
        <v>70</v>
      </c>
      <c r="D718" s="132" t="str">
        <f t="shared" si="50"/>
        <v>3/8" Hex CIM 70</v>
      </c>
      <c r="E718" s="132">
        <v>0</v>
      </c>
      <c r="I718" s="132">
        <v>0</v>
      </c>
    </row>
    <row r="719" spans="1:9" ht="14.25" customHeight="1" x14ac:dyDescent="0.25">
      <c r="A719" s="132" t="s">
        <v>243</v>
      </c>
      <c r="B719" s="132" t="s">
        <v>6</v>
      </c>
      <c r="C719" s="132">
        <v>81</v>
      </c>
      <c r="D719" s="132" t="str">
        <f t="shared" si="50"/>
        <v>3/8" Hex CIM 81</v>
      </c>
      <c r="E719" s="132">
        <v>0</v>
      </c>
      <c r="I719" s="132">
        <v>0</v>
      </c>
    </row>
    <row r="720" spans="1:9" ht="14.25" customHeight="1" x14ac:dyDescent="0.25">
      <c r="A720" s="132" t="s">
        <v>243</v>
      </c>
      <c r="B720" s="132" t="s">
        <v>6</v>
      </c>
      <c r="C720" s="132">
        <v>90</v>
      </c>
      <c r="D720" s="132" t="str">
        <f t="shared" si="50"/>
        <v>3/8" Hex CIM 90</v>
      </c>
      <c r="E720" s="132">
        <v>0</v>
      </c>
      <c r="I720" s="132">
        <v>0</v>
      </c>
    </row>
    <row r="721" spans="1:9" ht="14.25" customHeight="1" x14ac:dyDescent="0.25">
      <c r="A721" s="132" t="s">
        <v>243</v>
      </c>
      <c r="B721" s="132" t="s">
        <v>6</v>
      </c>
      <c r="C721" s="132">
        <v>100</v>
      </c>
      <c r="D721" s="132" t="str">
        <f t="shared" si="50"/>
        <v>3/8" Hex CIM 100</v>
      </c>
      <c r="E721" s="132">
        <v>0</v>
      </c>
      <c r="I721" s="132">
        <v>0</v>
      </c>
    </row>
    <row r="722" spans="1:9" ht="14.25" customHeight="1" x14ac:dyDescent="0.25">
      <c r="A722" s="132" t="s">
        <v>243</v>
      </c>
      <c r="B722" s="132" t="s">
        <v>9</v>
      </c>
      <c r="C722" s="132">
        <v>-3</v>
      </c>
      <c r="D722" s="132" t="str">
        <f t="shared" ref="D722:D727" si="51">A722&amp;" "&amp;B722&amp;" "&amp;C722</f>
        <v>3/8" Hex NEO -3</v>
      </c>
      <c r="E722" s="132">
        <v>1</v>
      </c>
      <c r="I722" s="132">
        <v>0</v>
      </c>
    </row>
    <row r="723" spans="1:9" ht="14.25" customHeight="1" x14ac:dyDescent="0.25">
      <c r="A723" s="132" t="s">
        <v>243</v>
      </c>
      <c r="B723" s="132" t="s">
        <v>9</v>
      </c>
      <c r="C723" s="132">
        <v>-4</v>
      </c>
      <c r="D723" s="132" t="str">
        <f t="shared" si="51"/>
        <v>3/8" Hex NEO -4</v>
      </c>
      <c r="E723" s="132">
        <v>1</v>
      </c>
      <c r="I723" s="132">
        <v>0</v>
      </c>
    </row>
    <row r="724" spans="1:9" ht="14.25" customHeight="1" x14ac:dyDescent="0.25">
      <c r="A724" s="132" t="s">
        <v>243</v>
      </c>
      <c r="B724" s="132" t="s">
        <v>9</v>
      </c>
      <c r="C724" s="132">
        <v>-5</v>
      </c>
      <c r="D724" s="132" t="str">
        <f t="shared" si="51"/>
        <v>3/8" Hex NEO -5</v>
      </c>
      <c r="E724" s="132">
        <v>1</v>
      </c>
      <c r="I724" s="132">
        <v>0</v>
      </c>
    </row>
    <row r="725" spans="1:9" ht="14.25" customHeight="1" x14ac:dyDescent="0.25">
      <c r="A725" s="132" t="s">
        <v>243</v>
      </c>
      <c r="B725" s="132" t="s">
        <v>9</v>
      </c>
      <c r="C725" s="132">
        <v>-7</v>
      </c>
      <c r="D725" s="132" t="str">
        <f t="shared" si="51"/>
        <v>3/8" Hex NEO -7</v>
      </c>
      <c r="E725" s="132">
        <v>1</v>
      </c>
      <c r="I725" s="132">
        <v>0</v>
      </c>
    </row>
    <row r="726" spans="1:9" ht="14.25" customHeight="1" x14ac:dyDescent="0.25">
      <c r="A726" s="132" t="s">
        <v>243</v>
      </c>
      <c r="B726" s="132" t="s">
        <v>9</v>
      </c>
      <c r="C726" s="132">
        <v>-9</v>
      </c>
      <c r="D726" s="132" t="str">
        <f t="shared" si="51"/>
        <v>3/8" Hex NEO -9</v>
      </c>
      <c r="E726" s="132">
        <v>1</v>
      </c>
      <c r="I726" s="132">
        <v>0</v>
      </c>
    </row>
    <row r="727" spans="1:9" ht="14.25" customHeight="1" x14ac:dyDescent="0.25">
      <c r="A727" s="132" t="s">
        <v>243</v>
      </c>
      <c r="B727" s="132" t="s">
        <v>9</v>
      </c>
      <c r="C727" s="132">
        <v>-10</v>
      </c>
      <c r="D727" s="132" t="str">
        <f t="shared" si="51"/>
        <v>3/8" Hex NEO -10</v>
      </c>
      <c r="E727" s="132">
        <v>1</v>
      </c>
      <c r="I727" s="132">
        <v>0</v>
      </c>
    </row>
    <row r="728" spans="1:9" ht="14.25" customHeight="1" x14ac:dyDescent="0.25">
      <c r="A728" s="132" t="s">
        <v>243</v>
      </c>
      <c r="B728" s="132" t="s">
        <v>9</v>
      </c>
      <c r="C728" s="132">
        <v>9</v>
      </c>
      <c r="D728" s="132" t="str">
        <f t="shared" ref="D728:D748" si="52">A728&amp;" "&amp;B728&amp;" "&amp;C728</f>
        <v>3/8" Hex NEO 9</v>
      </c>
      <c r="E728" s="132">
        <v>1</v>
      </c>
      <c r="I728" s="132">
        <v>0</v>
      </c>
    </row>
    <row r="729" spans="1:9" ht="14.25" customHeight="1" x14ac:dyDescent="0.25">
      <c r="A729" s="132" t="s">
        <v>243</v>
      </c>
      <c r="B729" s="132" t="s">
        <v>9</v>
      </c>
      <c r="C729" s="132">
        <v>12</v>
      </c>
      <c r="D729" s="132" t="str">
        <f t="shared" si="52"/>
        <v>3/8" Hex NEO 12</v>
      </c>
      <c r="E729" s="132">
        <v>1</v>
      </c>
      <c r="I729" s="132">
        <v>0</v>
      </c>
    </row>
    <row r="730" spans="1:9" ht="14.25" customHeight="1" x14ac:dyDescent="0.25">
      <c r="A730" s="132" t="s">
        <v>243</v>
      </c>
      <c r="B730" s="132" t="s">
        <v>9</v>
      </c>
      <c r="C730" s="132">
        <v>15</v>
      </c>
      <c r="D730" s="132" t="str">
        <f t="shared" si="52"/>
        <v>3/8" Hex NEO 15</v>
      </c>
      <c r="E730" s="132">
        <v>1</v>
      </c>
      <c r="I730" s="132">
        <v>0</v>
      </c>
    </row>
    <row r="731" spans="1:9" ht="14.25" customHeight="1" x14ac:dyDescent="0.25">
      <c r="A731" s="132" t="s">
        <v>243</v>
      </c>
      <c r="B731" s="132" t="s">
        <v>9</v>
      </c>
      <c r="C731" s="132">
        <v>16</v>
      </c>
      <c r="D731" s="132" t="str">
        <f t="shared" si="52"/>
        <v>3/8" Hex NEO 16</v>
      </c>
      <c r="E731" s="132">
        <v>1</v>
      </c>
      <c r="I731" s="132">
        <v>0</v>
      </c>
    </row>
    <row r="732" spans="1:9" ht="14.25" customHeight="1" x14ac:dyDescent="0.25">
      <c r="A732" s="132" t="s">
        <v>243</v>
      </c>
      <c r="B732" s="132" t="s">
        <v>9</v>
      </c>
      <c r="C732" s="132">
        <v>20</v>
      </c>
      <c r="D732" s="132" t="str">
        <f t="shared" si="52"/>
        <v>3/8" Hex NEO 20</v>
      </c>
      <c r="E732" s="132">
        <v>0</v>
      </c>
      <c r="I732" s="132">
        <v>0</v>
      </c>
    </row>
    <row r="733" spans="1:9" ht="14.25" customHeight="1" x14ac:dyDescent="0.25">
      <c r="A733" s="132" t="s">
        <v>243</v>
      </c>
      <c r="B733" s="132" t="s">
        <v>9</v>
      </c>
      <c r="C733" s="132">
        <v>21</v>
      </c>
      <c r="D733" s="132" t="str">
        <f t="shared" si="52"/>
        <v>3/8" Hex NEO 21</v>
      </c>
      <c r="E733" s="132">
        <v>0</v>
      </c>
      <c r="I733" s="132">
        <v>0</v>
      </c>
    </row>
    <row r="734" spans="1:9" ht="14.25" customHeight="1" x14ac:dyDescent="0.25">
      <c r="A734" s="132" t="s">
        <v>243</v>
      </c>
      <c r="B734" s="132" t="s">
        <v>9</v>
      </c>
      <c r="C734" s="132">
        <v>25</v>
      </c>
      <c r="D734" s="132" t="str">
        <f t="shared" si="52"/>
        <v>3/8" Hex NEO 25</v>
      </c>
      <c r="E734" s="132">
        <v>0</v>
      </c>
      <c r="I734" s="132">
        <v>0</v>
      </c>
    </row>
    <row r="735" spans="1:9" ht="14.25" customHeight="1" x14ac:dyDescent="0.25">
      <c r="A735" s="132" t="s">
        <v>243</v>
      </c>
      <c r="B735" s="132" t="s">
        <v>9</v>
      </c>
      <c r="C735" s="132">
        <v>27</v>
      </c>
      <c r="D735" s="132" t="str">
        <f t="shared" si="52"/>
        <v>3/8" Hex NEO 27</v>
      </c>
      <c r="E735" s="132">
        <v>0</v>
      </c>
      <c r="I735" s="132">
        <v>0</v>
      </c>
    </row>
    <row r="736" spans="1:9" ht="14.25" customHeight="1" x14ac:dyDescent="0.25">
      <c r="A736" s="132" t="s">
        <v>243</v>
      </c>
      <c r="B736" s="132" t="s">
        <v>9</v>
      </c>
      <c r="C736" s="132">
        <v>28</v>
      </c>
      <c r="D736" s="132" t="str">
        <f t="shared" si="52"/>
        <v>3/8" Hex NEO 28</v>
      </c>
      <c r="E736" s="132">
        <v>0</v>
      </c>
      <c r="I736" s="132">
        <v>0</v>
      </c>
    </row>
    <row r="737" spans="1:9" ht="14.25" customHeight="1" x14ac:dyDescent="0.25">
      <c r="A737" s="132" t="s">
        <v>243</v>
      </c>
      <c r="B737" s="132" t="s">
        <v>9</v>
      </c>
      <c r="C737" s="132">
        <v>30</v>
      </c>
      <c r="D737" s="132" t="str">
        <f t="shared" si="52"/>
        <v>3/8" Hex NEO 30</v>
      </c>
      <c r="E737" s="132">
        <v>0</v>
      </c>
      <c r="I737" s="132">
        <v>0</v>
      </c>
    </row>
    <row r="738" spans="1:9" ht="14.25" customHeight="1" x14ac:dyDescent="0.25">
      <c r="A738" s="132" t="s">
        <v>243</v>
      </c>
      <c r="B738" s="132" t="s">
        <v>9</v>
      </c>
      <c r="C738" s="132">
        <v>35</v>
      </c>
      <c r="D738" s="132" t="str">
        <f t="shared" si="52"/>
        <v>3/8" Hex NEO 35</v>
      </c>
      <c r="E738" s="132">
        <v>0</v>
      </c>
      <c r="I738" s="132">
        <v>0</v>
      </c>
    </row>
    <row r="739" spans="1:9" ht="14.25" customHeight="1" x14ac:dyDescent="0.25">
      <c r="A739" s="132" t="s">
        <v>243</v>
      </c>
      <c r="B739" s="132" t="s">
        <v>9</v>
      </c>
      <c r="C739" s="132">
        <v>36</v>
      </c>
      <c r="D739" s="132" t="str">
        <f t="shared" si="52"/>
        <v>3/8" Hex NEO 36</v>
      </c>
      <c r="E739" s="132">
        <v>0</v>
      </c>
      <c r="I739" s="132">
        <v>0</v>
      </c>
    </row>
    <row r="740" spans="1:9" ht="14.25" customHeight="1" x14ac:dyDescent="0.25">
      <c r="A740" s="132" t="s">
        <v>243</v>
      </c>
      <c r="B740" s="132" t="s">
        <v>9</v>
      </c>
      <c r="C740" s="132">
        <v>40</v>
      </c>
      <c r="D740" s="132" t="str">
        <f t="shared" si="52"/>
        <v>3/8" Hex NEO 40</v>
      </c>
      <c r="E740" s="132">
        <v>0</v>
      </c>
      <c r="I740" s="132">
        <v>0</v>
      </c>
    </row>
    <row r="741" spans="1:9" ht="14.25" customHeight="1" x14ac:dyDescent="0.25">
      <c r="A741" s="132" t="s">
        <v>243</v>
      </c>
      <c r="B741" s="132" t="s">
        <v>9</v>
      </c>
      <c r="C741" s="132">
        <v>45</v>
      </c>
      <c r="D741" s="132" t="str">
        <f t="shared" si="52"/>
        <v>3/8" Hex NEO 45</v>
      </c>
      <c r="E741" s="132">
        <v>0</v>
      </c>
      <c r="I741" s="132">
        <v>0</v>
      </c>
    </row>
    <row r="742" spans="1:9" ht="14.25" customHeight="1" x14ac:dyDescent="0.25">
      <c r="A742" s="132" t="s">
        <v>243</v>
      </c>
      <c r="B742" s="132" t="s">
        <v>9</v>
      </c>
      <c r="C742" s="132">
        <v>49</v>
      </c>
      <c r="D742" s="132" t="str">
        <f t="shared" si="52"/>
        <v>3/8" Hex NEO 49</v>
      </c>
      <c r="E742" s="132">
        <v>0</v>
      </c>
      <c r="I742" s="132">
        <v>0</v>
      </c>
    </row>
    <row r="743" spans="1:9" ht="14.25" customHeight="1" x14ac:dyDescent="0.25">
      <c r="A743" s="132" t="s">
        <v>243</v>
      </c>
      <c r="B743" s="132" t="s">
        <v>9</v>
      </c>
      <c r="C743" s="132">
        <v>50</v>
      </c>
      <c r="D743" s="132" t="str">
        <f t="shared" si="52"/>
        <v>3/8" Hex NEO 50</v>
      </c>
      <c r="E743" s="132">
        <v>0</v>
      </c>
      <c r="I743" s="132">
        <v>0</v>
      </c>
    </row>
    <row r="744" spans="1:9" ht="14.25" customHeight="1" x14ac:dyDescent="0.25">
      <c r="A744" s="132" t="s">
        <v>243</v>
      </c>
      <c r="B744" s="132" t="s">
        <v>9</v>
      </c>
      <c r="C744" s="132">
        <v>63</v>
      </c>
      <c r="D744" s="132" t="str">
        <f t="shared" si="52"/>
        <v>3/8" Hex NEO 63</v>
      </c>
      <c r="E744" s="132">
        <v>0</v>
      </c>
      <c r="I744" s="132">
        <v>0</v>
      </c>
    </row>
    <row r="745" spans="1:9" ht="14.25" customHeight="1" x14ac:dyDescent="0.25">
      <c r="A745" s="132" t="s">
        <v>243</v>
      </c>
      <c r="B745" s="132" t="s">
        <v>9</v>
      </c>
      <c r="C745" s="132">
        <v>70</v>
      </c>
      <c r="D745" s="132" t="str">
        <f t="shared" si="52"/>
        <v>3/8" Hex NEO 70</v>
      </c>
      <c r="E745" s="132">
        <v>0</v>
      </c>
      <c r="I745" s="132">
        <v>0</v>
      </c>
    </row>
    <row r="746" spans="1:9" ht="14.25" customHeight="1" x14ac:dyDescent="0.25">
      <c r="A746" s="132" t="s">
        <v>243</v>
      </c>
      <c r="B746" s="132" t="s">
        <v>9</v>
      </c>
      <c r="C746" s="132">
        <v>81</v>
      </c>
      <c r="D746" s="132" t="str">
        <f t="shared" si="52"/>
        <v>3/8" Hex NEO 81</v>
      </c>
      <c r="E746" s="132">
        <v>0</v>
      </c>
      <c r="I746" s="132">
        <v>0</v>
      </c>
    </row>
    <row r="747" spans="1:9" ht="14.25" customHeight="1" x14ac:dyDescent="0.25">
      <c r="A747" s="132" t="s">
        <v>243</v>
      </c>
      <c r="B747" s="132" t="s">
        <v>9</v>
      </c>
      <c r="C747" s="132">
        <v>90</v>
      </c>
      <c r="D747" s="132" t="str">
        <f t="shared" si="52"/>
        <v>3/8" Hex NEO 90</v>
      </c>
      <c r="E747" s="132">
        <v>0</v>
      </c>
      <c r="I747" s="132">
        <v>0</v>
      </c>
    </row>
    <row r="748" spans="1:9" ht="14.25" customHeight="1" x14ac:dyDescent="0.25">
      <c r="A748" s="132" t="s">
        <v>243</v>
      </c>
      <c r="B748" s="132" t="s">
        <v>9</v>
      </c>
      <c r="C748" s="132">
        <v>100</v>
      </c>
      <c r="D748" s="132" t="str">
        <f t="shared" si="52"/>
        <v>3/8" Hex NEO 100</v>
      </c>
      <c r="E748" s="132">
        <v>0</v>
      </c>
      <c r="I748" s="132">
        <v>0</v>
      </c>
    </row>
    <row r="749" spans="1:9" ht="14.25" customHeight="1" x14ac:dyDescent="0.25">
      <c r="A749" s="132" t="s">
        <v>243</v>
      </c>
      <c r="B749" s="132" t="s">
        <v>333</v>
      </c>
      <c r="C749" s="132">
        <v>-3</v>
      </c>
      <c r="D749" s="132" t="str">
        <f t="shared" ref="D749:D754" si="53">A749&amp;" "&amp;B749&amp;" "&amp;C749</f>
        <v>3/8" Hex Falcon 500 -3</v>
      </c>
      <c r="E749" s="132">
        <v>1</v>
      </c>
      <c r="I749" s="132">
        <v>0</v>
      </c>
    </row>
    <row r="750" spans="1:9" ht="14.25" customHeight="1" x14ac:dyDescent="0.25">
      <c r="A750" s="132" t="s">
        <v>243</v>
      </c>
      <c r="B750" s="132" t="s">
        <v>333</v>
      </c>
      <c r="C750" s="132">
        <v>-4</v>
      </c>
      <c r="D750" s="132" t="str">
        <f t="shared" si="53"/>
        <v>3/8" Hex Falcon 500 -4</v>
      </c>
      <c r="E750" s="132">
        <v>1</v>
      </c>
      <c r="I750" s="132">
        <v>0</v>
      </c>
    </row>
    <row r="751" spans="1:9" ht="14.25" customHeight="1" x14ac:dyDescent="0.25">
      <c r="A751" s="132" t="s">
        <v>243</v>
      </c>
      <c r="B751" s="132" t="s">
        <v>333</v>
      </c>
      <c r="C751" s="132">
        <v>-5</v>
      </c>
      <c r="D751" s="132" t="str">
        <f t="shared" si="53"/>
        <v>3/8" Hex Falcon 500 -5</v>
      </c>
      <c r="E751" s="132">
        <v>1</v>
      </c>
      <c r="I751" s="132">
        <v>0</v>
      </c>
    </row>
    <row r="752" spans="1:9" ht="14.25" customHeight="1" x14ac:dyDescent="0.25">
      <c r="A752" s="132" t="s">
        <v>243</v>
      </c>
      <c r="B752" s="132" t="s">
        <v>333</v>
      </c>
      <c r="C752" s="132">
        <v>-7</v>
      </c>
      <c r="D752" s="132" t="str">
        <f t="shared" si="53"/>
        <v>3/8" Hex Falcon 500 -7</v>
      </c>
      <c r="E752" s="132">
        <v>1</v>
      </c>
      <c r="I752" s="132">
        <v>0</v>
      </c>
    </row>
    <row r="753" spans="1:9" ht="14.25" customHeight="1" x14ac:dyDescent="0.25">
      <c r="A753" s="132" t="s">
        <v>243</v>
      </c>
      <c r="B753" s="132" t="s">
        <v>333</v>
      </c>
      <c r="C753" s="132">
        <v>-9</v>
      </c>
      <c r="D753" s="132" t="str">
        <f t="shared" si="53"/>
        <v>3/8" Hex Falcon 500 -9</v>
      </c>
      <c r="E753" s="132">
        <v>1</v>
      </c>
      <c r="I753" s="132">
        <v>0</v>
      </c>
    </row>
    <row r="754" spans="1:9" ht="14.25" customHeight="1" x14ac:dyDescent="0.25">
      <c r="A754" s="132" t="s">
        <v>243</v>
      </c>
      <c r="B754" s="132" t="s">
        <v>333</v>
      </c>
      <c r="C754" s="132">
        <v>-10</v>
      </c>
      <c r="D754" s="132" t="str">
        <f t="shared" si="53"/>
        <v>3/8" Hex Falcon 500 -10</v>
      </c>
      <c r="E754" s="132">
        <v>1</v>
      </c>
      <c r="I754" s="132">
        <v>0</v>
      </c>
    </row>
    <row r="755" spans="1:9" ht="14.25" customHeight="1" x14ac:dyDescent="0.25">
      <c r="A755" s="132" t="s">
        <v>243</v>
      </c>
      <c r="B755" s="132" t="s">
        <v>333</v>
      </c>
      <c r="C755" s="132">
        <v>9</v>
      </c>
      <c r="D755" s="132" t="str">
        <f t="shared" ref="D755:D775" si="54">A755&amp;" "&amp;B755&amp;" "&amp;C755</f>
        <v>3/8" Hex Falcon 500 9</v>
      </c>
      <c r="E755" s="132">
        <v>1</v>
      </c>
      <c r="I755" s="132">
        <v>0</v>
      </c>
    </row>
    <row r="756" spans="1:9" ht="14.25" customHeight="1" x14ac:dyDescent="0.25">
      <c r="A756" s="132" t="s">
        <v>243</v>
      </c>
      <c r="B756" s="132" t="s">
        <v>333</v>
      </c>
      <c r="C756" s="132">
        <v>12</v>
      </c>
      <c r="D756" s="132" t="str">
        <f t="shared" si="54"/>
        <v>3/8" Hex Falcon 500 12</v>
      </c>
      <c r="E756" s="132">
        <v>1</v>
      </c>
      <c r="I756" s="132">
        <v>0</v>
      </c>
    </row>
    <row r="757" spans="1:9" ht="14.25" customHeight="1" x14ac:dyDescent="0.25">
      <c r="A757" s="132" t="s">
        <v>243</v>
      </c>
      <c r="B757" s="132" t="s">
        <v>333</v>
      </c>
      <c r="C757" s="132">
        <v>15</v>
      </c>
      <c r="D757" s="132" t="str">
        <f t="shared" si="54"/>
        <v>3/8" Hex Falcon 500 15</v>
      </c>
      <c r="E757" s="132">
        <v>0</v>
      </c>
      <c r="I757" s="132">
        <v>0</v>
      </c>
    </row>
    <row r="758" spans="1:9" ht="14.25" customHeight="1" x14ac:dyDescent="0.25">
      <c r="A758" s="132" t="s">
        <v>243</v>
      </c>
      <c r="B758" s="132" t="s">
        <v>333</v>
      </c>
      <c r="C758" s="132">
        <v>16</v>
      </c>
      <c r="D758" s="132" t="str">
        <f t="shared" si="54"/>
        <v>3/8" Hex Falcon 500 16</v>
      </c>
      <c r="E758" s="132">
        <v>0</v>
      </c>
      <c r="I758" s="132">
        <v>0</v>
      </c>
    </row>
    <row r="759" spans="1:9" ht="14.25" customHeight="1" x14ac:dyDescent="0.25">
      <c r="A759" s="132" t="s">
        <v>243</v>
      </c>
      <c r="B759" s="132" t="s">
        <v>333</v>
      </c>
      <c r="C759" s="132">
        <v>20</v>
      </c>
      <c r="D759" s="132" t="str">
        <f t="shared" si="54"/>
        <v>3/8" Hex Falcon 500 20</v>
      </c>
      <c r="E759" s="132">
        <v>0</v>
      </c>
      <c r="I759" s="132">
        <v>0</v>
      </c>
    </row>
    <row r="760" spans="1:9" ht="14.25" customHeight="1" x14ac:dyDescent="0.25">
      <c r="A760" s="132" t="s">
        <v>243</v>
      </c>
      <c r="B760" s="132" t="s">
        <v>333</v>
      </c>
      <c r="C760" s="132">
        <v>21</v>
      </c>
      <c r="D760" s="132" t="str">
        <f t="shared" si="54"/>
        <v>3/8" Hex Falcon 500 21</v>
      </c>
      <c r="E760" s="132">
        <v>0</v>
      </c>
      <c r="I760" s="132">
        <v>0</v>
      </c>
    </row>
    <row r="761" spans="1:9" ht="14.25" customHeight="1" x14ac:dyDescent="0.25">
      <c r="A761" s="132" t="s">
        <v>243</v>
      </c>
      <c r="B761" s="132" t="s">
        <v>333</v>
      </c>
      <c r="C761" s="132">
        <v>25</v>
      </c>
      <c r="D761" s="132" t="str">
        <f t="shared" si="54"/>
        <v>3/8" Hex Falcon 500 25</v>
      </c>
      <c r="E761" s="132">
        <v>0</v>
      </c>
      <c r="I761" s="132">
        <v>0</v>
      </c>
    </row>
    <row r="762" spans="1:9" ht="14.25" customHeight="1" x14ac:dyDescent="0.25">
      <c r="A762" s="132" t="s">
        <v>243</v>
      </c>
      <c r="B762" s="132" t="s">
        <v>333</v>
      </c>
      <c r="C762" s="132">
        <v>27</v>
      </c>
      <c r="D762" s="132" t="str">
        <f t="shared" si="54"/>
        <v>3/8" Hex Falcon 500 27</v>
      </c>
      <c r="E762" s="132">
        <v>0</v>
      </c>
      <c r="I762" s="132">
        <v>0</v>
      </c>
    </row>
    <row r="763" spans="1:9" ht="14.25" customHeight="1" x14ac:dyDescent="0.25">
      <c r="A763" s="132" t="s">
        <v>243</v>
      </c>
      <c r="B763" s="132" t="s">
        <v>333</v>
      </c>
      <c r="C763" s="132">
        <v>28</v>
      </c>
      <c r="D763" s="132" t="str">
        <f t="shared" si="54"/>
        <v>3/8" Hex Falcon 500 28</v>
      </c>
      <c r="E763" s="132">
        <v>0</v>
      </c>
      <c r="I763" s="132">
        <v>0</v>
      </c>
    </row>
    <row r="764" spans="1:9" ht="14.25" customHeight="1" x14ac:dyDescent="0.25">
      <c r="A764" s="132" t="s">
        <v>243</v>
      </c>
      <c r="B764" s="132" t="s">
        <v>333</v>
      </c>
      <c r="C764" s="132">
        <v>30</v>
      </c>
      <c r="D764" s="132" t="str">
        <f t="shared" si="54"/>
        <v>3/8" Hex Falcon 500 30</v>
      </c>
      <c r="E764" s="132">
        <v>0</v>
      </c>
      <c r="I764" s="132">
        <v>0</v>
      </c>
    </row>
    <row r="765" spans="1:9" ht="14.25" customHeight="1" x14ac:dyDescent="0.25">
      <c r="A765" s="132" t="s">
        <v>243</v>
      </c>
      <c r="B765" s="132" t="s">
        <v>333</v>
      </c>
      <c r="C765" s="132">
        <v>35</v>
      </c>
      <c r="D765" s="132" t="str">
        <f t="shared" si="54"/>
        <v>3/8" Hex Falcon 500 35</v>
      </c>
      <c r="E765" s="132">
        <v>0</v>
      </c>
      <c r="I765" s="132">
        <v>0</v>
      </c>
    </row>
    <row r="766" spans="1:9" ht="14.25" customHeight="1" x14ac:dyDescent="0.25">
      <c r="A766" s="132" t="s">
        <v>243</v>
      </c>
      <c r="B766" s="132" t="s">
        <v>333</v>
      </c>
      <c r="C766" s="132">
        <v>36</v>
      </c>
      <c r="D766" s="132" t="str">
        <f t="shared" si="54"/>
        <v>3/8" Hex Falcon 500 36</v>
      </c>
      <c r="E766" s="132">
        <v>0</v>
      </c>
      <c r="I766" s="132">
        <v>0</v>
      </c>
    </row>
    <row r="767" spans="1:9" ht="14.25" customHeight="1" x14ac:dyDescent="0.25">
      <c r="A767" s="132" t="s">
        <v>243</v>
      </c>
      <c r="B767" s="132" t="s">
        <v>333</v>
      </c>
      <c r="C767" s="132">
        <v>40</v>
      </c>
      <c r="D767" s="132" t="str">
        <f t="shared" si="54"/>
        <v>3/8" Hex Falcon 500 40</v>
      </c>
      <c r="E767" s="132">
        <v>0</v>
      </c>
      <c r="I767" s="132">
        <v>0</v>
      </c>
    </row>
    <row r="768" spans="1:9" ht="14.25" customHeight="1" x14ac:dyDescent="0.25">
      <c r="A768" s="132" t="s">
        <v>243</v>
      </c>
      <c r="B768" s="132" t="s">
        <v>333</v>
      </c>
      <c r="C768" s="132">
        <v>45</v>
      </c>
      <c r="D768" s="132" t="str">
        <f t="shared" si="54"/>
        <v>3/8" Hex Falcon 500 45</v>
      </c>
      <c r="E768" s="132">
        <v>0</v>
      </c>
      <c r="I768" s="132">
        <v>0</v>
      </c>
    </row>
    <row r="769" spans="1:9" ht="14.25" customHeight="1" x14ac:dyDescent="0.25">
      <c r="A769" s="132" t="s">
        <v>243</v>
      </c>
      <c r="B769" s="132" t="s">
        <v>333</v>
      </c>
      <c r="C769" s="132">
        <v>49</v>
      </c>
      <c r="D769" s="132" t="str">
        <f t="shared" si="54"/>
        <v>3/8" Hex Falcon 500 49</v>
      </c>
      <c r="E769" s="132">
        <v>0</v>
      </c>
      <c r="I769" s="132">
        <v>0</v>
      </c>
    </row>
    <row r="770" spans="1:9" ht="14.25" customHeight="1" x14ac:dyDescent="0.25">
      <c r="A770" s="132" t="s">
        <v>243</v>
      </c>
      <c r="B770" s="132" t="s">
        <v>333</v>
      </c>
      <c r="C770" s="132">
        <v>50</v>
      </c>
      <c r="D770" s="132" t="str">
        <f t="shared" si="54"/>
        <v>3/8" Hex Falcon 500 50</v>
      </c>
      <c r="E770" s="132">
        <v>0</v>
      </c>
      <c r="I770" s="132">
        <v>0</v>
      </c>
    </row>
    <row r="771" spans="1:9" ht="14.25" customHeight="1" x14ac:dyDescent="0.25">
      <c r="A771" s="132" t="s">
        <v>243</v>
      </c>
      <c r="B771" s="132" t="s">
        <v>333</v>
      </c>
      <c r="C771" s="132">
        <v>63</v>
      </c>
      <c r="D771" s="132" t="str">
        <f t="shared" si="54"/>
        <v>3/8" Hex Falcon 500 63</v>
      </c>
      <c r="E771" s="132">
        <v>0</v>
      </c>
      <c r="I771" s="132">
        <v>0</v>
      </c>
    </row>
    <row r="772" spans="1:9" ht="14.25" customHeight="1" x14ac:dyDescent="0.25">
      <c r="A772" s="132" t="s">
        <v>243</v>
      </c>
      <c r="B772" s="132" t="s">
        <v>333</v>
      </c>
      <c r="C772" s="132">
        <v>70</v>
      </c>
      <c r="D772" s="132" t="str">
        <f t="shared" si="54"/>
        <v>3/8" Hex Falcon 500 70</v>
      </c>
      <c r="E772" s="132">
        <v>0</v>
      </c>
      <c r="I772" s="132">
        <v>0</v>
      </c>
    </row>
    <row r="773" spans="1:9" ht="14.25" customHeight="1" x14ac:dyDescent="0.25">
      <c r="A773" s="132" t="s">
        <v>243</v>
      </c>
      <c r="B773" s="132" t="s">
        <v>333</v>
      </c>
      <c r="C773" s="132">
        <v>81</v>
      </c>
      <c r="D773" s="132" t="str">
        <f t="shared" si="54"/>
        <v>3/8" Hex Falcon 500 81</v>
      </c>
      <c r="E773" s="132">
        <v>0</v>
      </c>
      <c r="I773" s="132">
        <v>0</v>
      </c>
    </row>
    <row r="774" spans="1:9" ht="14.25" customHeight="1" x14ac:dyDescent="0.25">
      <c r="A774" s="132" t="s">
        <v>243</v>
      </c>
      <c r="B774" s="132" t="s">
        <v>333</v>
      </c>
      <c r="C774" s="132">
        <v>90</v>
      </c>
      <c r="D774" s="132" t="str">
        <f t="shared" si="54"/>
        <v>3/8" Hex Falcon 500 90</v>
      </c>
      <c r="E774" s="132">
        <v>0</v>
      </c>
      <c r="I774" s="132">
        <v>0</v>
      </c>
    </row>
    <row r="775" spans="1:9" ht="14.25" customHeight="1" x14ac:dyDescent="0.25">
      <c r="A775" s="132" t="s">
        <v>243</v>
      </c>
      <c r="B775" s="132" t="s">
        <v>333</v>
      </c>
      <c r="C775" s="132">
        <v>100</v>
      </c>
      <c r="D775" s="132" t="str">
        <f t="shared" si="54"/>
        <v>3/8" Hex Falcon 500 100</v>
      </c>
      <c r="E775" s="132">
        <v>0</v>
      </c>
      <c r="I775" s="132">
        <v>0</v>
      </c>
    </row>
    <row r="776" spans="1:9" ht="14.25" customHeight="1" x14ac:dyDescent="0.25">
      <c r="A776" s="132" t="s">
        <v>246</v>
      </c>
      <c r="B776" s="132" t="s">
        <v>11</v>
      </c>
      <c r="C776" s="132">
        <v>-3</v>
      </c>
      <c r="D776" s="132" t="str">
        <f t="shared" ref="D776:D781" si="55">A776&amp;" "&amp;B776&amp;" "&amp;C776</f>
        <v>CIM Motor AM 9015 -3</v>
      </c>
      <c r="E776" s="132">
        <v>1</v>
      </c>
      <c r="I776" s="132">
        <v>1</v>
      </c>
    </row>
    <row r="777" spans="1:9" ht="14.25" customHeight="1" x14ac:dyDescent="0.25">
      <c r="A777" s="132" t="s">
        <v>246</v>
      </c>
      <c r="B777" s="132" t="s">
        <v>11</v>
      </c>
      <c r="C777" s="132">
        <v>-4</v>
      </c>
      <c r="D777" s="132" t="str">
        <f t="shared" si="55"/>
        <v>CIM Motor AM 9015 -4</v>
      </c>
      <c r="E777" s="132">
        <v>1</v>
      </c>
      <c r="I777" s="132">
        <v>1</v>
      </c>
    </row>
    <row r="778" spans="1:9" ht="14.25" customHeight="1" x14ac:dyDescent="0.25">
      <c r="A778" s="132" t="s">
        <v>246</v>
      </c>
      <c r="B778" s="132" t="s">
        <v>11</v>
      </c>
      <c r="C778" s="132">
        <v>-5</v>
      </c>
      <c r="D778" s="132" t="str">
        <f t="shared" si="55"/>
        <v>CIM Motor AM 9015 -5</v>
      </c>
      <c r="E778" s="132">
        <v>1</v>
      </c>
      <c r="I778" s="132">
        <v>1</v>
      </c>
    </row>
    <row r="779" spans="1:9" ht="14.25" customHeight="1" x14ac:dyDescent="0.25">
      <c r="A779" s="132" t="s">
        <v>246</v>
      </c>
      <c r="B779" s="132" t="s">
        <v>11</v>
      </c>
      <c r="C779" s="132">
        <v>-7</v>
      </c>
      <c r="D779" s="132" t="str">
        <f t="shared" si="55"/>
        <v>CIM Motor AM 9015 -7</v>
      </c>
      <c r="E779" s="132">
        <v>1</v>
      </c>
      <c r="I779" s="132">
        <v>1</v>
      </c>
    </row>
    <row r="780" spans="1:9" ht="14.25" customHeight="1" x14ac:dyDescent="0.25">
      <c r="A780" s="132" t="s">
        <v>246</v>
      </c>
      <c r="B780" s="132" t="s">
        <v>11</v>
      </c>
      <c r="C780" s="132">
        <v>-9</v>
      </c>
      <c r="D780" s="132" t="str">
        <f t="shared" si="55"/>
        <v>CIM Motor AM 9015 -9</v>
      </c>
      <c r="E780" s="132">
        <v>1</v>
      </c>
      <c r="I780" s="132">
        <v>1</v>
      </c>
    </row>
    <row r="781" spans="1:9" ht="14.25" customHeight="1" x14ac:dyDescent="0.25">
      <c r="A781" s="132" t="s">
        <v>246</v>
      </c>
      <c r="B781" s="132" t="s">
        <v>11</v>
      </c>
      <c r="C781" s="132">
        <v>-10</v>
      </c>
      <c r="D781" s="132" t="str">
        <f t="shared" si="55"/>
        <v>CIM Motor AM 9015 -10</v>
      </c>
      <c r="E781" s="132">
        <v>1</v>
      </c>
      <c r="I781" s="132">
        <v>1</v>
      </c>
    </row>
    <row r="782" spans="1:9" ht="14.25" customHeight="1" x14ac:dyDescent="0.25">
      <c r="A782" s="132" t="s">
        <v>246</v>
      </c>
      <c r="B782" s="132" t="s">
        <v>11</v>
      </c>
      <c r="C782" s="132">
        <v>9</v>
      </c>
      <c r="D782" s="132" t="str">
        <f t="shared" ref="D782:D802" si="56">A782&amp;" "&amp;B782&amp;" "&amp;C782</f>
        <v>CIM Motor AM 9015 9</v>
      </c>
      <c r="E782" s="132">
        <v>7</v>
      </c>
      <c r="I782" s="132">
        <v>7</v>
      </c>
    </row>
    <row r="783" spans="1:9" ht="14.25" customHeight="1" x14ac:dyDescent="0.25">
      <c r="A783" s="132" t="s">
        <v>246</v>
      </c>
      <c r="B783" s="132" t="s">
        <v>11</v>
      </c>
      <c r="C783" s="132">
        <v>12</v>
      </c>
      <c r="D783" s="132" t="str">
        <f t="shared" si="56"/>
        <v>CIM Motor AM 9015 12</v>
      </c>
      <c r="E783" s="132">
        <v>5</v>
      </c>
      <c r="I783" s="132">
        <v>5</v>
      </c>
    </row>
    <row r="784" spans="1:9" ht="14.25" customHeight="1" x14ac:dyDescent="0.25">
      <c r="A784" s="132" t="s">
        <v>246</v>
      </c>
      <c r="B784" s="132" t="s">
        <v>11</v>
      </c>
      <c r="C784" s="132">
        <v>15</v>
      </c>
      <c r="D784" s="132" t="str">
        <f t="shared" si="56"/>
        <v>CIM Motor AM 9015 15</v>
      </c>
      <c r="E784" s="132">
        <v>4</v>
      </c>
      <c r="I784" s="132">
        <v>5</v>
      </c>
    </row>
    <row r="785" spans="1:9" ht="14.25" customHeight="1" x14ac:dyDescent="0.25">
      <c r="A785" s="132" t="s">
        <v>246</v>
      </c>
      <c r="B785" s="132" t="s">
        <v>11</v>
      </c>
      <c r="C785" s="132">
        <v>16</v>
      </c>
      <c r="D785" s="132" t="str">
        <f t="shared" si="56"/>
        <v>CIM Motor AM 9015 16</v>
      </c>
      <c r="E785" s="132">
        <v>4</v>
      </c>
      <c r="I785" s="132">
        <v>5</v>
      </c>
    </row>
    <row r="786" spans="1:9" ht="14.25" customHeight="1" x14ac:dyDescent="0.25">
      <c r="A786" s="132" t="s">
        <v>246</v>
      </c>
      <c r="B786" s="132" t="s">
        <v>11</v>
      </c>
      <c r="C786" s="132">
        <v>20</v>
      </c>
      <c r="D786" s="132" t="str">
        <f t="shared" si="56"/>
        <v>CIM Motor AM 9015 20</v>
      </c>
      <c r="E786" s="132">
        <v>3</v>
      </c>
      <c r="I786" s="132">
        <v>4</v>
      </c>
    </row>
    <row r="787" spans="1:9" ht="14.25" customHeight="1" x14ac:dyDescent="0.25">
      <c r="A787" s="132" t="s">
        <v>246</v>
      </c>
      <c r="B787" s="132" t="s">
        <v>11</v>
      </c>
      <c r="C787" s="132">
        <v>21</v>
      </c>
      <c r="D787" s="132" t="str">
        <f t="shared" si="56"/>
        <v>CIM Motor AM 9015 21</v>
      </c>
      <c r="E787" s="132">
        <v>3</v>
      </c>
      <c r="I787" s="132">
        <v>3</v>
      </c>
    </row>
    <row r="788" spans="1:9" ht="14.25" customHeight="1" x14ac:dyDescent="0.25">
      <c r="A788" s="132" t="s">
        <v>246</v>
      </c>
      <c r="B788" s="132" t="s">
        <v>11</v>
      </c>
      <c r="C788" s="132">
        <v>25</v>
      </c>
      <c r="D788" s="132" t="str">
        <f t="shared" si="56"/>
        <v>CIM Motor AM 9015 25</v>
      </c>
      <c r="E788" s="132">
        <v>1</v>
      </c>
      <c r="I788" s="132">
        <v>3</v>
      </c>
    </row>
    <row r="789" spans="1:9" ht="14.25" customHeight="1" x14ac:dyDescent="0.25">
      <c r="A789" s="132" t="s">
        <v>246</v>
      </c>
      <c r="B789" s="132" t="s">
        <v>11</v>
      </c>
      <c r="C789" s="132">
        <v>27</v>
      </c>
      <c r="D789" s="132" t="str">
        <f t="shared" si="56"/>
        <v>CIM Motor AM 9015 27</v>
      </c>
      <c r="E789" s="132">
        <v>1</v>
      </c>
      <c r="I789" s="132">
        <v>1</v>
      </c>
    </row>
    <row r="790" spans="1:9" ht="14.25" customHeight="1" x14ac:dyDescent="0.25">
      <c r="A790" s="132" t="s">
        <v>246</v>
      </c>
      <c r="B790" s="132" t="s">
        <v>11</v>
      </c>
      <c r="C790" s="132">
        <v>28</v>
      </c>
      <c r="D790" s="132" t="str">
        <f t="shared" si="56"/>
        <v>CIM Motor AM 9015 28</v>
      </c>
      <c r="E790" s="132">
        <v>1</v>
      </c>
      <c r="I790" s="132">
        <v>1</v>
      </c>
    </row>
    <row r="791" spans="1:9" ht="14.25" customHeight="1" x14ac:dyDescent="0.25">
      <c r="A791" s="132" t="s">
        <v>246</v>
      </c>
      <c r="B791" s="132" t="s">
        <v>11</v>
      </c>
      <c r="C791" s="132">
        <v>30</v>
      </c>
      <c r="D791" s="132" t="str">
        <f t="shared" si="56"/>
        <v>CIM Motor AM 9015 30</v>
      </c>
      <c r="E791" s="132">
        <v>1</v>
      </c>
      <c r="I791" s="132">
        <v>1</v>
      </c>
    </row>
    <row r="792" spans="1:9" ht="14.25" customHeight="1" x14ac:dyDescent="0.25">
      <c r="A792" s="132" t="s">
        <v>246</v>
      </c>
      <c r="B792" s="132" t="s">
        <v>11</v>
      </c>
      <c r="C792" s="132">
        <v>35</v>
      </c>
      <c r="D792" s="132" t="str">
        <f t="shared" si="56"/>
        <v>CIM Motor AM 9015 35</v>
      </c>
      <c r="E792" s="132">
        <v>1</v>
      </c>
      <c r="I792" s="132">
        <v>1</v>
      </c>
    </row>
    <row r="793" spans="1:9" ht="14.25" customHeight="1" x14ac:dyDescent="0.25">
      <c r="A793" s="132" t="s">
        <v>246</v>
      </c>
      <c r="B793" s="132" t="s">
        <v>11</v>
      </c>
      <c r="C793" s="132">
        <v>36</v>
      </c>
      <c r="D793" s="132" t="str">
        <f t="shared" si="56"/>
        <v>CIM Motor AM 9015 36</v>
      </c>
      <c r="E793" s="132">
        <v>1</v>
      </c>
      <c r="I793" s="132">
        <v>1</v>
      </c>
    </row>
    <row r="794" spans="1:9" ht="14.25" customHeight="1" x14ac:dyDescent="0.25">
      <c r="A794" s="132" t="s">
        <v>246</v>
      </c>
      <c r="B794" s="132" t="s">
        <v>11</v>
      </c>
      <c r="C794" s="132">
        <v>40</v>
      </c>
      <c r="D794" s="132" t="str">
        <f t="shared" si="56"/>
        <v>CIM Motor AM 9015 40</v>
      </c>
      <c r="E794" s="132">
        <v>1</v>
      </c>
      <c r="I794" s="132">
        <v>1</v>
      </c>
    </row>
    <row r="795" spans="1:9" ht="14.25" customHeight="1" x14ac:dyDescent="0.25">
      <c r="A795" s="132" t="s">
        <v>246</v>
      </c>
      <c r="B795" s="132" t="s">
        <v>11</v>
      </c>
      <c r="C795" s="132">
        <v>45</v>
      </c>
      <c r="D795" s="132" t="str">
        <f t="shared" si="56"/>
        <v>CIM Motor AM 9015 45</v>
      </c>
      <c r="E795" s="132">
        <v>1</v>
      </c>
      <c r="I795" s="132">
        <v>1</v>
      </c>
    </row>
    <row r="796" spans="1:9" ht="14.25" customHeight="1" x14ac:dyDescent="0.25">
      <c r="A796" s="132" t="s">
        <v>246</v>
      </c>
      <c r="B796" s="132" t="s">
        <v>11</v>
      </c>
      <c r="C796" s="132">
        <v>49</v>
      </c>
      <c r="D796" s="132" t="str">
        <f t="shared" si="56"/>
        <v>CIM Motor AM 9015 49</v>
      </c>
      <c r="E796" s="132">
        <v>1</v>
      </c>
      <c r="I796" s="132">
        <v>1</v>
      </c>
    </row>
    <row r="797" spans="1:9" ht="14.25" customHeight="1" x14ac:dyDescent="0.25">
      <c r="A797" s="132" t="s">
        <v>246</v>
      </c>
      <c r="B797" s="132" t="s">
        <v>11</v>
      </c>
      <c r="C797" s="132">
        <v>50</v>
      </c>
      <c r="D797" s="132" t="str">
        <f t="shared" si="56"/>
        <v>CIM Motor AM 9015 50</v>
      </c>
      <c r="E797" s="132">
        <v>1</v>
      </c>
      <c r="I797" s="132">
        <v>1</v>
      </c>
    </row>
    <row r="798" spans="1:9" ht="14.25" customHeight="1" x14ac:dyDescent="0.25">
      <c r="A798" s="132" t="s">
        <v>246</v>
      </c>
      <c r="B798" s="132" t="s">
        <v>11</v>
      </c>
      <c r="C798" s="132">
        <v>63</v>
      </c>
      <c r="D798" s="132" t="str">
        <f t="shared" si="56"/>
        <v>CIM Motor AM 9015 63</v>
      </c>
      <c r="E798" s="132">
        <v>1</v>
      </c>
      <c r="I798" s="132">
        <v>1</v>
      </c>
    </row>
    <row r="799" spans="1:9" ht="14.25" customHeight="1" x14ac:dyDescent="0.25">
      <c r="A799" s="132" t="s">
        <v>246</v>
      </c>
      <c r="B799" s="132" t="s">
        <v>11</v>
      </c>
      <c r="C799" s="132">
        <v>70</v>
      </c>
      <c r="D799" s="132" t="str">
        <f t="shared" si="56"/>
        <v>CIM Motor AM 9015 70</v>
      </c>
      <c r="E799" s="132">
        <v>0</v>
      </c>
      <c r="I799" s="132">
        <v>1</v>
      </c>
    </row>
    <row r="800" spans="1:9" ht="14.25" customHeight="1" x14ac:dyDescent="0.25">
      <c r="A800" s="132" t="s">
        <v>246</v>
      </c>
      <c r="B800" s="132" t="s">
        <v>11</v>
      </c>
      <c r="C800" s="132">
        <v>81</v>
      </c>
      <c r="D800" s="132" t="str">
        <f t="shared" si="56"/>
        <v>CIM Motor AM 9015 81</v>
      </c>
      <c r="E800" s="132">
        <v>0</v>
      </c>
      <c r="I800" s="132">
        <v>0</v>
      </c>
    </row>
    <row r="801" spans="1:9" ht="14.25" customHeight="1" x14ac:dyDescent="0.25">
      <c r="A801" s="132" t="s">
        <v>246</v>
      </c>
      <c r="B801" s="132" t="s">
        <v>11</v>
      </c>
      <c r="C801" s="132">
        <v>90</v>
      </c>
      <c r="D801" s="132" t="str">
        <f t="shared" si="56"/>
        <v>CIM Motor AM 9015 90</v>
      </c>
      <c r="E801" s="132">
        <v>0</v>
      </c>
      <c r="I801" s="132">
        <v>0</v>
      </c>
    </row>
    <row r="802" spans="1:9" ht="14.25" customHeight="1" x14ac:dyDescent="0.25">
      <c r="A802" s="132" t="s">
        <v>246</v>
      </c>
      <c r="B802" s="132" t="s">
        <v>11</v>
      </c>
      <c r="C802" s="132">
        <v>100</v>
      </c>
      <c r="D802" s="132" t="str">
        <f t="shared" si="56"/>
        <v>CIM Motor AM 9015 100</v>
      </c>
      <c r="E802" s="132">
        <v>0</v>
      </c>
      <c r="I802" s="132">
        <v>0</v>
      </c>
    </row>
    <row r="803" spans="1:9" ht="14.25" customHeight="1" x14ac:dyDescent="0.25">
      <c r="A803" s="132" t="s">
        <v>246</v>
      </c>
      <c r="B803" s="132" t="s">
        <v>326</v>
      </c>
      <c r="C803" s="132">
        <v>-3</v>
      </c>
      <c r="D803" s="132" t="str">
        <f t="shared" ref="D803:D808" si="57">A803&amp;" "&amp;B803&amp;" "&amp;C803</f>
        <v>CIM Motor BB RS-550 -3</v>
      </c>
      <c r="E803" s="132">
        <v>1</v>
      </c>
      <c r="F803" s="132">
        <v>1</v>
      </c>
      <c r="G803" s="132">
        <v>0</v>
      </c>
      <c r="H803" s="132">
        <v>1</v>
      </c>
      <c r="I803" s="132">
        <v>1</v>
      </c>
    </row>
    <row r="804" spans="1:9" ht="14.25" customHeight="1" x14ac:dyDescent="0.25">
      <c r="A804" s="132" t="s">
        <v>246</v>
      </c>
      <c r="B804" s="132" t="s">
        <v>326</v>
      </c>
      <c r="C804" s="132">
        <v>-4</v>
      </c>
      <c r="D804" s="132" t="str">
        <f t="shared" si="57"/>
        <v>CIM Motor BB RS-550 -4</v>
      </c>
      <c r="E804" s="132">
        <v>1</v>
      </c>
      <c r="F804" s="132">
        <v>1</v>
      </c>
      <c r="G804" s="132">
        <v>0</v>
      </c>
      <c r="H804" s="132">
        <v>0</v>
      </c>
      <c r="I804" s="132">
        <v>1</v>
      </c>
    </row>
    <row r="805" spans="1:9" ht="14.25" customHeight="1" x14ac:dyDescent="0.25">
      <c r="A805" s="132" t="s">
        <v>246</v>
      </c>
      <c r="B805" s="132" t="s">
        <v>326</v>
      </c>
      <c r="C805" s="132">
        <v>-5</v>
      </c>
      <c r="D805" s="132" t="str">
        <f t="shared" si="57"/>
        <v>CIM Motor BB RS-550 -5</v>
      </c>
      <c r="E805" s="132">
        <v>1</v>
      </c>
      <c r="F805" s="132">
        <v>1</v>
      </c>
      <c r="G805" s="132">
        <v>0</v>
      </c>
      <c r="H805" s="132">
        <v>0</v>
      </c>
      <c r="I805" s="132">
        <v>1</v>
      </c>
    </row>
    <row r="806" spans="1:9" ht="14.25" customHeight="1" x14ac:dyDescent="0.25">
      <c r="A806" s="132" t="s">
        <v>246</v>
      </c>
      <c r="B806" s="132" t="s">
        <v>326</v>
      </c>
      <c r="C806" s="132">
        <v>-7</v>
      </c>
      <c r="D806" s="132" t="str">
        <f t="shared" si="57"/>
        <v>CIM Motor BB RS-550 -7</v>
      </c>
      <c r="E806" s="132">
        <v>1</v>
      </c>
      <c r="F806" s="132">
        <v>1</v>
      </c>
      <c r="G806" s="132">
        <v>0</v>
      </c>
      <c r="H806" s="132">
        <v>0</v>
      </c>
      <c r="I806" s="132">
        <v>1</v>
      </c>
    </row>
    <row r="807" spans="1:9" ht="14.25" customHeight="1" x14ac:dyDescent="0.25">
      <c r="A807" s="132" t="s">
        <v>246</v>
      </c>
      <c r="B807" s="132" t="s">
        <v>326</v>
      </c>
      <c r="C807" s="132">
        <v>-9</v>
      </c>
      <c r="D807" s="132" t="str">
        <f t="shared" si="57"/>
        <v>CIM Motor BB RS-550 -9</v>
      </c>
      <c r="E807" s="132">
        <v>1</v>
      </c>
      <c r="F807" s="132">
        <v>1</v>
      </c>
      <c r="G807" s="132">
        <v>0</v>
      </c>
      <c r="H807" s="132">
        <v>0</v>
      </c>
      <c r="I807" s="132">
        <v>1</v>
      </c>
    </row>
    <row r="808" spans="1:9" ht="14.25" customHeight="1" x14ac:dyDescent="0.25">
      <c r="A808" s="132" t="s">
        <v>246</v>
      </c>
      <c r="B808" s="132" t="s">
        <v>326</v>
      </c>
      <c r="C808" s="132">
        <v>-10</v>
      </c>
      <c r="D808" s="132" t="str">
        <f t="shared" si="57"/>
        <v>CIM Motor BB RS-550 -10</v>
      </c>
      <c r="E808" s="132">
        <v>1</v>
      </c>
      <c r="F808" s="132">
        <v>1</v>
      </c>
      <c r="G808" s="132">
        <v>0</v>
      </c>
      <c r="H808" s="132">
        <v>0</v>
      </c>
      <c r="I808" s="132">
        <v>1</v>
      </c>
    </row>
    <row r="809" spans="1:9" ht="14.25" customHeight="1" x14ac:dyDescent="0.25">
      <c r="A809" s="132" t="s">
        <v>246</v>
      </c>
      <c r="B809" s="132" t="s">
        <v>326</v>
      </c>
      <c r="C809" s="132">
        <v>9</v>
      </c>
      <c r="D809" s="132" t="str">
        <f t="shared" ref="D809:D829" si="58">A809&amp;" "&amp;B809&amp;" "&amp;C809</f>
        <v>CIM Motor BB RS-550 9</v>
      </c>
      <c r="E809" s="132">
        <v>5</v>
      </c>
      <c r="F809" s="132">
        <v>3</v>
      </c>
      <c r="G809" s="132">
        <v>0</v>
      </c>
      <c r="H809" s="132">
        <v>0</v>
      </c>
      <c r="I809" s="132">
        <v>7</v>
      </c>
    </row>
    <row r="810" spans="1:9" ht="14.25" customHeight="1" x14ac:dyDescent="0.25">
      <c r="A810" s="132" t="s">
        <v>246</v>
      </c>
      <c r="B810" s="132" t="s">
        <v>326</v>
      </c>
      <c r="C810" s="132">
        <v>12</v>
      </c>
      <c r="D810" s="132" t="str">
        <f t="shared" si="58"/>
        <v>CIM Motor BB RS-550 12</v>
      </c>
      <c r="E810" s="132">
        <v>4</v>
      </c>
      <c r="F810" s="132">
        <v>1</v>
      </c>
      <c r="G810" s="132">
        <v>0</v>
      </c>
      <c r="H810" s="132">
        <v>0</v>
      </c>
      <c r="I810" s="132">
        <v>5</v>
      </c>
    </row>
    <row r="811" spans="1:9" ht="14.25" customHeight="1" x14ac:dyDescent="0.25">
      <c r="A811" s="132" t="s">
        <v>246</v>
      </c>
      <c r="B811" s="132" t="s">
        <v>326</v>
      </c>
      <c r="C811" s="132">
        <v>15</v>
      </c>
      <c r="D811" s="132" t="str">
        <f t="shared" si="58"/>
        <v>CIM Motor BB RS-550 15</v>
      </c>
      <c r="E811" s="132">
        <v>3</v>
      </c>
      <c r="F811" s="132">
        <v>1</v>
      </c>
      <c r="G811" s="132">
        <v>0</v>
      </c>
      <c r="H811" s="132">
        <v>0</v>
      </c>
      <c r="I811" s="132">
        <v>5</v>
      </c>
    </row>
    <row r="812" spans="1:9" ht="14.25" customHeight="1" x14ac:dyDescent="0.25">
      <c r="A812" s="132" t="s">
        <v>246</v>
      </c>
      <c r="B812" s="132" t="s">
        <v>326</v>
      </c>
      <c r="C812" s="132">
        <v>16</v>
      </c>
      <c r="D812" s="132" t="str">
        <f t="shared" si="58"/>
        <v>CIM Motor BB RS-550 16</v>
      </c>
      <c r="E812" s="132">
        <v>3</v>
      </c>
      <c r="F812" s="132">
        <v>1</v>
      </c>
      <c r="G812" s="132">
        <v>0</v>
      </c>
      <c r="H812" s="132">
        <v>0</v>
      </c>
      <c r="I812" s="132">
        <v>5</v>
      </c>
    </row>
    <row r="813" spans="1:9" ht="14.25" customHeight="1" x14ac:dyDescent="0.25">
      <c r="A813" s="132" t="s">
        <v>246</v>
      </c>
      <c r="B813" s="132" t="s">
        <v>326</v>
      </c>
      <c r="C813" s="132">
        <v>20</v>
      </c>
      <c r="D813" s="132" t="str">
        <f t="shared" si="58"/>
        <v>CIM Motor BB RS-550 20</v>
      </c>
      <c r="E813" s="132">
        <v>1</v>
      </c>
      <c r="F813" s="132">
        <v>1</v>
      </c>
      <c r="G813" s="132">
        <v>0</v>
      </c>
      <c r="H813" s="132">
        <v>0</v>
      </c>
      <c r="I813" s="132">
        <v>4</v>
      </c>
    </row>
    <row r="814" spans="1:9" ht="14.25" customHeight="1" x14ac:dyDescent="0.25">
      <c r="A814" s="132" t="s">
        <v>246</v>
      </c>
      <c r="B814" s="132" t="s">
        <v>326</v>
      </c>
      <c r="C814" s="132">
        <v>21</v>
      </c>
      <c r="D814" s="132" t="str">
        <f t="shared" si="58"/>
        <v>CIM Motor BB RS-550 21</v>
      </c>
      <c r="E814" s="132">
        <v>1</v>
      </c>
      <c r="F814" s="132">
        <v>1</v>
      </c>
      <c r="G814" s="132">
        <v>0</v>
      </c>
      <c r="H814" s="132">
        <v>0</v>
      </c>
      <c r="I814" s="132">
        <v>3</v>
      </c>
    </row>
    <row r="815" spans="1:9" ht="14.25" customHeight="1" x14ac:dyDescent="0.25">
      <c r="A815" s="132" t="s">
        <v>246</v>
      </c>
      <c r="B815" s="132" t="s">
        <v>326</v>
      </c>
      <c r="C815" s="132">
        <v>25</v>
      </c>
      <c r="D815" s="132" t="str">
        <f t="shared" si="58"/>
        <v>CIM Motor BB RS-550 25</v>
      </c>
      <c r="E815" s="132">
        <v>1</v>
      </c>
      <c r="F815" s="132">
        <v>1</v>
      </c>
      <c r="G815" s="132">
        <v>0</v>
      </c>
      <c r="H815" s="132">
        <v>0</v>
      </c>
      <c r="I815" s="132">
        <v>3</v>
      </c>
    </row>
    <row r="816" spans="1:9" ht="14.25" customHeight="1" x14ac:dyDescent="0.25">
      <c r="A816" s="132" t="s">
        <v>246</v>
      </c>
      <c r="B816" s="132" t="s">
        <v>326</v>
      </c>
      <c r="C816" s="132">
        <v>27</v>
      </c>
      <c r="D816" s="132" t="str">
        <f t="shared" si="58"/>
        <v>CIM Motor BB RS-550 27</v>
      </c>
      <c r="E816" s="132">
        <v>1</v>
      </c>
      <c r="F816" s="132">
        <v>1</v>
      </c>
      <c r="G816" s="132">
        <v>0</v>
      </c>
      <c r="H816" s="132">
        <v>0</v>
      </c>
      <c r="I816" s="132">
        <v>1</v>
      </c>
    </row>
    <row r="817" spans="1:9" ht="14.25" customHeight="1" x14ac:dyDescent="0.25">
      <c r="A817" s="132" t="s">
        <v>246</v>
      </c>
      <c r="B817" s="132" t="s">
        <v>326</v>
      </c>
      <c r="C817" s="132">
        <v>28</v>
      </c>
      <c r="D817" s="132" t="str">
        <f t="shared" si="58"/>
        <v>CIM Motor BB RS-550 28</v>
      </c>
      <c r="E817" s="132">
        <v>1</v>
      </c>
      <c r="F817" s="132">
        <v>1</v>
      </c>
      <c r="G817" s="132">
        <v>0</v>
      </c>
      <c r="H817" s="132">
        <v>0</v>
      </c>
      <c r="I817" s="132">
        <v>1</v>
      </c>
    </row>
    <row r="818" spans="1:9" ht="14.25" customHeight="1" x14ac:dyDescent="0.25">
      <c r="A818" s="132" t="s">
        <v>246</v>
      </c>
      <c r="B818" s="132" t="s">
        <v>326</v>
      </c>
      <c r="C818" s="132">
        <v>30</v>
      </c>
      <c r="D818" s="132" t="str">
        <f t="shared" si="58"/>
        <v>CIM Motor BB RS-550 30</v>
      </c>
      <c r="E818" s="132">
        <v>1</v>
      </c>
      <c r="F818" s="132">
        <v>0</v>
      </c>
      <c r="G818" s="132">
        <v>0</v>
      </c>
      <c r="H818" s="132">
        <v>0</v>
      </c>
      <c r="I818" s="132">
        <v>1</v>
      </c>
    </row>
    <row r="819" spans="1:9" ht="14.25" customHeight="1" x14ac:dyDescent="0.25">
      <c r="A819" s="132" t="s">
        <v>246</v>
      </c>
      <c r="B819" s="132" t="s">
        <v>326</v>
      </c>
      <c r="C819" s="132">
        <v>35</v>
      </c>
      <c r="D819" s="132" t="str">
        <f t="shared" si="58"/>
        <v>CIM Motor BB RS-550 35</v>
      </c>
      <c r="E819" s="132">
        <v>1</v>
      </c>
      <c r="F819" s="132">
        <v>0</v>
      </c>
      <c r="G819" s="132">
        <v>0</v>
      </c>
      <c r="H819" s="132">
        <v>0</v>
      </c>
      <c r="I819" s="132">
        <v>1</v>
      </c>
    </row>
    <row r="820" spans="1:9" ht="14.25" customHeight="1" x14ac:dyDescent="0.25">
      <c r="A820" s="132" t="s">
        <v>246</v>
      </c>
      <c r="B820" s="132" t="s">
        <v>326</v>
      </c>
      <c r="C820" s="132">
        <v>36</v>
      </c>
      <c r="D820" s="132" t="str">
        <f t="shared" si="58"/>
        <v>CIM Motor BB RS-550 36</v>
      </c>
      <c r="E820" s="132">
        <v>1</v>
      </c>
      <c r="F820" s="132">
        <v>0</v>
      </c>
      <c r="G820" s="132">
        <v>0</v>
      </c>
      <c r="H820" s="132">
        <v>0</v>
      </c>
      <c r="I820" s="132">
        <v>1</v>
      </c>
    </row>
    <row r="821" spans="1:9" ht="14.25" customHeight="1" x14ac:dyDescent="0.25">
      <c r="A821" s="132" t="s">
        <v>246</v>
      </c>
      <c r="B821" s="132" t="s">
        <v>326</v>
      </c>
      <c r="C821" s="132">
        <v>40</v>
      </c>
      <c r="D821" s="132" t="str">
        <f t="shared" si="58"/>
        <v>CIM Motor BB RS-550 40</v>
      </c>
      <c r="E821" s="132">
        <v>1</v>
      </c>
      <c r="F821" s="132">
        <v>0</v>
      </c>
      <c r="G821" s="132">
        <v>0</v>
      </c>
      <c r="H821" s="132">
        <v>0</v>
      </c>
      <c r="I821" s="132">
        <v>1</v>
      </c>
    </row>
    <row r="822" spans="1:9" ht="14.25" customHeight="1" x14ac:dyDescent="0.25">
      <c r="A822" s="132" t="s">
        <v>246</v>
      </c>
      <c r="B822" s="132" t="s">
        <v>326</v>
      </c>
      <c r="C822" s="132">
        <v>45</v>
      </c>
      <c r="D822" s="132" t="str">
        <f t="shared" si="58"/>
        <v>CIM Motor BB RS-550 45</v>
      </c>
      <c r="E822" s="132">
        <v>1</v>
      </c>
      <c r="F822" s="132">
        <v>0</v>
      </c>
      <c r="G822" s="132">
        <v>0</v>
      </c>
      <c r="H822" s="132">
        <v>0</v>
      </c>
      <c r="I822" s="132">
        <v>1</v>
      </c>
    </row>
    <row r="823" spans="1:9" ht="14.25" customHeight="1" x14ac:dyDescent="0.25">
      <c r="A823" s="132" t="s">
        <v>246</v>
      </c>
      <c r="B823" s="132" t="s">
        <v>326</v>
      </c>
      <c r="C823" s="132">
        <v>49</v>
      </c>
      <c r="D823" s="132" t="str">
        <f t="shared" si="58"/>
        <v>CIM Motor BB RS-550 49</v>
      </c>
      <c r="E823" s="132">
        <v>1</v>
      </c>
      <c r="F823" s="132">
        <v>0</v>
      </c>
      <c r="G823" s="132">
        <v>0</v>
      </c>
      <c r="H823" s="132">
        <v>0</v>
      </c>
      <c r="I823" s="132">
        <v>1</v>
      </c>
    </row>
    <row r="824" spans="1:9" ht="14.25" customHeight="1" x14ac:dyDescent="0.25">
      <c r="A824" s="132" t="s">
        <v>246</v>
      </c>
      <c r="B824" s="132" t="s">
        <v>326</v>
      </c>
      <c r="C824" s="132">
        <v>50</v>
      </c>
      <c r="D824" s="132" t="str">
        <f t="shared" si="58"/>
        <v>CIM Motor BB RS-550 50</v>
      </c>
      <c r="E824" s="132">
        <v>1</v>
      </c>
      <c r="F824" s="132">
        <v>0</v>
      </c>
      <c r="G824" s="132">
        <v>0</v>
      </c>
      <c r="H824" s="132">
        <v>0</v>
      </c>
      <c r="I824" s="132">
        <v>1</v>
      </c>
    </row>
    <row r="825" spans="1:9" ht="14.25" customHeight="1" x14ac:dyDescent="0.25">
      <c r="A825" s="132" t="s">
        <v>246</v>
      </c>
      <c r="B825" s="132" t="s">
        <v>326</v>
      </c>
      <c r="C825" s="132">
        <v>63</v>
      </c>
      <c r="D825" s="132" t="str">
        <f t="shared" si="58"/>
        <v>CIM Motor BB RS-550 63</v>
      </c>
      <c r="E825" s="132">
        <v>0</v>
      </c>
      <c r="F825" s="132">
        <v>0</v>
      </c>
      <c r="G825" s="132">
        <v>0</v>
      </c>
      <c r="H825" s="132">
        <v>0</v>
      </c>
      <c r="I825" s="132">
        <v>1</v>
      </c>
    </row>
    <row r="826" spans="1:9" ht="14.25" customHeight="1" x14ac:dyDescent="0.25">
      <c r="A826" s="132" t="s">
        <v>246</v>
      </c>
      <c r="B826" s="132" t="s">
        <v>326</v>
      </c>
      <c r="C826" s="132">
        <v>70</v>
      </c>
      <c r="D826" s="132" t="str">
        <f t="shared" si="58"/>
        <v>CIM Motor BB RS-550 70</v>
      </c>
      <c r="E826" s="132">
        <v>0</v>
      </c>
      <c r="F826" s="132">
        <v>0</v>
      </c>
      <c r="G826" s="132">
        <v>0</v>
      </c>
      <c r="H826" s="132">
        <v>0</v>
      </c>
      <c r="I826" s="132">
        <v>1</v>
      </c>
    </row>
    <row r="827" spans="1:9" ht="14.25" customHeight="1" x14ac:dyDescent="0.25">
      <c r="A827" s="132" t="s">
        <v>246</v>
      </c>
      <c r="B827" s="132" t="s">
        <v>326</v>
      </c>
      <c r="C827" s="132">
        <v>81</v>
      </c>
      <c r="D827" s="132" t="str">
        <f t="shared" si="58"/>
        <v>CIM Motor BB RS-550 81</v>
      </c>
      <c r="E827" s="132">
        <v>0</v>
      </c>
      <c r="F827" s="132">
        <v>0</v>
      </c>
      <c r="G827" s="132">
        <v>0</v>
      </c>
      <c r="H827" s="132">
        <v>0</v>
      </c>
      <c r="I827" s="132">
        <v>0</v>
      </c>
    </row>
    <row r="828" spans="1:9" ht="14.25" customHeight="1" x14ac:dyDescent="0.25">
      <c r="A828" s="132" t="s">
        <v>246</v>
      </c>
      <c r="B828" s="132" t="s">
        <v>326</v>
      </c>
      <c r="C828" s="132">
        <v>90</v>
      </c>
      <c r="D828" s="132" t="str">
        <f t="shared" si="58"/>
        <v>CIM Motor BB RS-550 90</v>
      </c>
      <c r="E828" s="132">
        <v>0</v>
      </c>
      <c r="F828" s="132">
        <v>0</v>
      </c>
      <c r="G828" s="132">
        <v>0</v>
      </c>
      <c r="H828" s="132">
        <v>0</v>
      </c>
      <c r="I828" s="132">
        <v>0</v>
      </c>
    </row>
    <row r="829" spans="1:9" ht="14.25" customHeight="1" x14ac:dyDescent="0.25">
      <c r="A829" s="132" t="s">
        <v>246</v>
      </c>
      <c r="B829" s="132" t="s">
        <v>326</v>
      </c>
      <c r="C829" s="132">
        <v>100</v>
      </c>
      <c r="D829" s="132" t="str">
        <f t="shared" si="58"/>
        <v>CIM Motor BB RS-550 100</v>
      </c>
      <c r="E829" s="132">
        <v>0</v>
      </c>
      <c r="F829" s="132">
        <v>0</v>
      </c>
      <c r="G829" s="132">
        <v>0</v>
      </c>
      <c r="H829" s="132">
        <v>0</v>
      </c>
      <c r="I829" s="132">
        <v>0</v>
      </c>
    </row>
    <row r="830" spans="1:9" ht="14.25" customHeight="1" x14ac:dyDescent="0.25">
      <c r="A830" s="132" t="s">
        <v>246</v>
      </c>
      <c r="B830" s="132" t="s">
        <v>327</v>
      </c>
      <c r="C830" s="132">
        <v>-3</v>
      </c>
      <c r="D830" s="132" t="str">
        <f t="shared" ref="D830:D835" si="59">A830&amp;" "&amp;B830&amp;" "&amp;C830</f>
        <v>CIM Motor BB RS-775 -3</v>
      </c>
      <c r="E830" s="132">
        <v>1</v>
      </c>
      <c r="F830" s="132">
        <v>1</v>
      </c>
      <c r="G830" s="132">
        <v>0</v>
      </c>
      <c r="H830" s="132">
        <v>0</v>
      </c>
      <c r="I830" s="132">
        <v>1</v>
      </c>
    </row>
    <row r="831" spans="1:9" ht="14.25" customHeight="1" x14ac:dyDescent="0.25">
      <c r="A831" s="132" t="s">
        <v>246</v>
      </c>
      <c r="B831" s="132" t="s">
        <v>327</v>
      </c>
      <c r="C831" s="132">
        <v>-4</v>
      </c>
      <c r="D831" s="132" t="str">
        <f t="shared" si="59"/>
        <v>CIM Motor BB RS-775 -4</v>
      </c>
      <c r="E831" s="132">
        <v>1</v>
      </c>
      <c r="F831" s="132">
        <v>1</v>
      </c>
      <c r="G831" s="132">
        <v>0</v>
      </c>
      <c r="H831" s="132">
        <v>0</v>
      </c>
      <c r="I831" s="132">
        <v>1</v>
      </c>
    </row>
    <row r="832" spans="1:9" ht="14.25" customHeight="1" x14ac:dyDescent="0.25">
      <c r="A832" s="132" t="s">
        <v>246</v>
      </c>
      <c r="B832" s="132" t="s">
        <v>327</v>
      </c>
      <c r="C832" s="132">
        <v>-5</v>
      </c>
      <c r="D832" s="132" t="str">
        <f t="shared" si="59"/>
        <v>CIM Motor BB RS-775 -5</v>
      </c>
      <c r="E832" s="132">
        <v>1</v>
      </c>
      <c r="F832" s="132">
        <v>1</v>
      </c>
      <c r="G832" s="132">
        <v>0</v>
      </c>
      <c r="H832" s="132">
        <v>0</v>
      </c>
      <c r="I832" s="132">
        <v>1</v>
      </c>
    </row>
    <row r="833" spans="1:9" ht="14.25" customHeight="1" x14ac:dyDescent="0.25">
      <c r="A833" s="132" t="s">
        <v>246</v>
      </c>
      <c r="B833" s="132" t="s">
        <v>327</v>
      </c>
      <c r="C833" s="132">
        <v>-7</v>
      </c>
      <c r="D833" s="132" t="str">
        <f t="shared" si="59"/>
        <v>CIM Motor BB RS-775 -7</v>
      </c>
      <c r="E833" s="132">
        <v>1</v>
      </c>
      <c r="F833" s="132">
        <v>1</v>
      </c>
      <c r="G833" s="132">
        <v>0</v>
      </c>
      <c r="H833" s="132">
        <v>0</v>
      </c>
      <c r="I833" s="132">
        <v>1</v>
      </c>
    </row>
    <row r="834" spans="1:9" ht="14.25" customHeight="1" x14ac:dyDescent="0.25">
      <c r="A834" s="132" t="s">
        <v>246</v>
      </c>
      <c r="B834" s="132" t="s">
        <v>327</v>
      </c>
      <c r="C834" s="132">
        <v>-9</v>
      </c>
      <c r="D834" s="132" t="str">
        <f t="shared" si="59"/>
        <v>CIM Motor BB RS-775 -9</v>
      </c>
      <c r="E834" s="132">
        <v>1</v>
      </c>
      <c r="F834" s="132">
        <v>1</v>
      </c>
      <c r="G834" s="132">
        <v>0</v>
      </c>
      <c r="H834" s="132">
        <v>0</v>
      </c>
      <c r="I834" s="132">
        <v>1</v>
      </c>
    </row>
    <row r="835" spans="1:9" ht="14.25" customHeight="1" x14ac:dyDescent="0.25">
      <c r="A835" s="132" t="s">
        <v>246</v>
      </c>
      <c r="B835" s="132" t="s">
        <v>327</v>
      </c>
      <c r="C835" s="132">
        <v>-10</v>
      </c>
      <c r="D835" s="132" t="str">
        <f t="shared" si="59"/>
        <v>CIM Motor BB RS-775 -10</v>
      </c>
      <c r="E835" s="132">
        <v>1</v>
      </c>
      <c r="F835" s="132">
        <v>1</v>
      </c>
      <c r="G835" s="132">
        <v>0</v>
      </c>
      <c r="H835" s="132">
        <v>0</v>
      </c>
      <c r="I835" s="132">
        <v>1</v>
      </c>
    </row>
    <row r="836" spans="1:9" ht="14.25" customHeight="1" x14ac:dyDescent="0.25">
      <c r="A836" s="132" t="s">
        <v>246</v>
      </c>
      <c r="B836" s="132" t="s">
        <v>327</v>
      </c>
      <c r="C836" s="132">
        <v>9</v>
      </c>
      <c r="D836" s="132" t="str">
        <f t="shared" ref="D836:D856" si="60">A836&amp;" "&amp;B836&amp;" "&amp;C836</f>
        <v>CIM Motor BB RS-775 9</v>
      </c>
      <c r="E836" s="132">
        <v>4</v>
      </c>
      <c r="F836" s="132">
        <v>1</v>
      </c>
      <c r="G836" s="132">
        <v>0</v>
      </c>
      <c r="H836" s="132">
        <v>0</v>
      </c>
      <c r="I836" s="132">
        <v>7</v>
      </c>
    </row>
    <row r="837" spans="1:9" ht="14.25" customHeight="1" x14ac:dyDescent="0.25">
      <c r="A837" s="132" t="s">
        <v>246</v>
      </c>
      <c r="B837" s="132" t="s">
        <v>327</v>
      </c>
      <c r="C837" s="132">
        <v>12</v>
      </c>
      <c r="D837" s="132" t="str">
        <f t="shared" si="60"/>
        <v>CIM Motor BB RS-775 12</v>
      </c>
      <c r="E837" s="132">
        <v>3</v>
      </c>
      <c r="F837" s="132">
        <v>1</v>
      </c>
      <c r="G837" s="132">
        <v>0</v>
      </c>
      <c r="H837" s="132">
        <v>0</v>
      </c>
      <c r="I837" s="132">
        <v>5</v>
      </c>
    </row>
    <row r="838" spans="1:9" ht="14.25" customHeight="1" x14ac:dyDescent="0.25">
      <c r="A838" s="132" t="s">
        <v>246</v>
      </c>
      <c r="B838" s="132" t="s">
        <v>327</v>
      </c>
      <c r="C838" s="132">
        <v>15</v>
      </c>
      <c r="D838" s="132" t="str">
        <f t="shared" si="60"/>
        <v>CIM Motor BB RS-775 15</v>
      </c>
      <c r="E838" s="132">
        <v>1</v>
      </c>
      <c r="F838" s="132">
        <v>1</v>
      </c>
      <c r="G838" s="132">
        <v>0</v>
      </c>
      <c r="H838" s="132">
        <v>0</v>
      </c>
      <c r="I838" s="132">
        <v>5</v>
      </c>
    </row>
    <row r="839" spans="1:9" ht="14.25" customHeight="1" x14ac:dyDescent="0.25">
      <c r="A839" s="132" t="s">
        <v>246</v>
      </c>
      <c r="B839" s="132" t="s">
        <v>327</v>
      </c>
      <c r="C839" s="132">
        <v>16</v>
      </c>
      <c r="D839" s="132" t="str">
        <f t="shared" si="60"/>
        <v>CIM Motor BB RS-775 16</v>
      </c>
      <c r="E839" s="132">
        <v>1</v>
      </c>
      <c r="F839" s="132">
        <v>1</v>
      </c>
      <c r="G839" s="132">
        <v>0</v>
      </c>
      <c r="H839" s="132">
        <v>0</v>
      </c>
      <c r="I839" s="132">
        <v>5</v>
      </c>
    </row>
    <row r="840" spans="1:9" ht="14.25" customHeight="1" x14ac:dyDescent="0.25">
      <c r="A840" s="132" t="s">
        <v>246</v>
      </c>
      <c r="B840" s="132" t="s">
        <v>327</v>
      </c>
      <c r="C840" s="132">
        <v>20</v>
      </c>
      <c r="D840" s="132" t="str">
        <f t="shared" si="60"/>
        <v>CIM Motor BB RS-775 20</v>
      </c>
      <c r="E840" s="132">
        <v>1</v>
      </c>
      <c r="F840" s="132">
        <v>0</v>
      </c>
      <c r="G840" s="132">
        <v>0</v>
      </c>
      <c r="H840" s="132">
        <v>0</v>
      </c>
      <c r="I840" s="132">
        <v>4</v>
      </c>
    </row>
    <row r="841" spans="1:9" ht="14.25" customHeight="1" x14ac:dyDescent="0.25">
      <c r="A841" s="132" t="s">
        <v>246</v>
      </c>
      <c r="B841" s="132" t="s">
        <v>327</v>
      </c>
      <c r="C841" s="132">
        <v>21</v>
      </c>
      <c r="D841" s="132" t="str">
        <f t="shared" si="60"/>
        <v>CIM Motor BB RS-775 21</v>
      </c>
      <c r="E841" s="132">
        <v>1</v>
      </c>
      <c r="F841" s="132">
        <v>0</v>
      </c>
      <c r="G841" s="132">
        <v>0</v>
      </c>
      <c r="H841" s="132">
        <v>0</v>
      </c>
      <c r="I841" s="132">
        <v>3</v>
      </c>
    </row>
    <row r="842" spans="1:9" ht="14.25" customHeight="1" x14ac:dyDescent="0.25">
      <c r="A842" s="132" t="s">
        <v>246</v>
      </c>
      <c r="B842" s="132" t="s">
        <v>327</v>
      </c>
      <c r="C842" s="132">
        <v>25</v>
      </c>
      <c r="D842" s="132" t="str">
        <f t="shared" si="60"/>
        <v>CIM Motor BB RS-775 25</v>
      </c>
      <c r="E842" s="132">
        <v>1</v>
      </c>
      <c r="F842" s="132">
        <v>0</v>
      </c>
      <c r="G842" s="132">
        <v>0</v>
      </c>
      <c r="H842" s="132">
        <v>0</v>
      </c>
      <c r="I842" s="132">
        <v>3</v>
      </c>
    </row>
    <row r="843" spans="1:9" ht="14.25" customHeight="1" x14ac:dyDescent="0.25">
      <c r="A843" s="132" t="s">
        <v>246</v>
      </c>
      <c r="B843" s="132" t="s">
        <v>327</v>
      </c>
      <c r="C843" s="132">
        <v>27</v>
      </c>
      <c r="D843" s="132" t="str">
        <f t="shared" si="60"/>
        <v>CIM Motor BB RS-775 27</v>
      </c>
      <c r="E843" s="132">
        <v>1</v>
      </c>
      <c r="F843" s="132">
        <v>0</v>
      </c>
      <c r="G843" s="132">
        <v>0</v>
      </c>
      <c r="H843" s="132">
        <v>0</v>
      </c>
      <c r="I843" s="132">
        <v>1</v>
      </c>
    </row>
    <row r="844" spans="1:9" ht="14.25" customHeight="1" x14ac:dyDescent="0.25">
      <c r="A844" s="132" t="s">
        <v>246</v>
      </c>
      <c r="B844" s="132" t="s">
        <v>327</v>
      </c>
      <c r="C844" s="132">
        <v>28</v>
      </c>
      <c r="D844" s="132" t="str">
        <f t="shared" si="60"/>
        <v>CIM Motor BB RS-775 28</v>
      </c>
      <c r="E844" s="132">
        <v>1</v>
      </c>
      <c r="F844" s="132">
        <v>0</v>
      </c>
      <c r="G844" s="132">
        <v>0</v>
      </c>
      <c r="H844" s="132">
        <v>0</v>
      </c>
      <c r="I844" s="132">
        <v>1</v>
      </c>
    </row>
    <row r="845" spans="1:9" ht="14.25" customHeight="1" x14ac:dyDescent="0.25">
      <c r="A845" s="132" t="s">
        <v>246</v>
      </c>
      <c r="B845" s="132" t="s">
        <v>327</v>
      </c>
      <c r="C845" s="132">
        <v>30</v>
      </c>
      <c r="D845" s="132" t="str">
        <f t="shared" si="60"/>
        <v>CIM Motor BB RS-775 30</v>
      </c>
      <c r="E845" s="132">
        <v>1</v>
      </c>
      <c r="F845" s="132">
        <v>0</v>
      </c>
      <c r="G845" s="132">
        <v>0</v>
      </c>
      <c r="H845" s="132">
        <v>0</v>
      </c>
      <c r="I845" s="132">
        <v>1</v>
      </c>
    </row>
    <row r="846" spans="1:9" ht="14.25" customHeight="1" x14ac:dyDescent="0.25">
      <c r="A846" s="132" t="s">
        <v>246</v>
      </c>
      <c r="B846" s="132" t="s">
        <v>327</v>
      </c>
      <c r="C846" s="132">
        <v>35</v>
      </c>
      <c r="D846" s="132" t="str">
        <f t="shared" si="60"/>
        <v>CIM Motor BB RS-775 35</v>
      </c>
      <c r="E846" s="132">
        <v>1</v>
      </c>
      <c r="F846" s="132">
        <v>0</v>
      </c>
      <c r="G846" s="132">
        <v>0</v>
      </c>
      <c r="H846" s="132">
        <v>0</v>
      </c>
      <c r="I846" s="132">
        <v>1</v>
      </c>
    </row>
    <row r="847" spans="1:9" ht="14.25" customHeight="1" x14ac:dyDescent="0.25">
      <c r="A847" s="132" t="s">
        <v>246</v>
      </c>
      <c r="B847" s="132" t="s">
        <v>327</v>
      </c>
      <c r="C847" s="132">
        <v>36</v>
      </c>
      <c r="D847" s="132" t="str">
        <f t="shared" si="60"/>
        <v>CIM Motor BB RS-775 36</v>
      </c>
      <c r="E847" s="132">
        <v>1</v>
      </c>
      <c r="F847" s="132">
        <v>0</v>
      </c>
      <c r="G847" s="132">
        <v>0</v>
      </c>
      <c r="H847" s="132">
        <v>0</v>
      </c>
      <c r="I847" s="132">
        <v>1</v>
      </c>
    </row>
    <row r="848" spans="1:9" ht="14.25" customHeight="1" x14ac:dyDescent="0.25">
      <c r="A848" s="132" t="s">
        <v>246</v>
      </c>
      <c r="B848" s="132" t="s">
        <v>327</v>
      </c>
      <c r="C848" s="132">
        <v>40</v>
      </c>
      <c r="D848" s="132" t="str">
        <f t="shared" si="60"/>
        <v>CIM Motor BB RS-775 40</v>
      </c>
      <c r="E848" s="132">
        <v>0</v>
      </c>
      <c r="F848" s="132">
        <v>0</v>
      </c>
      <c r="G848" s="132">
        <v>0</v>
      </c>
      <c r="H848" s="132">
        <v>0</v>
      </c>
      <c r="I848" s="132">
        <v>1</v>
      </c>
    </row>
    <row r="849" spans="1:9" ht="14.25" customHeight="1" x14ac:dyDescent="0.25">
      <c r="A849" s="132" t="s">
        <v>246</v>
      </c>
      <c r="B849" s="132" t="s">
        <v>327</v>
      </c>
      <c r="C849" s="132">
        <v>45</v>
      </c>
      <c r="D849" s="132" t="str">
        <f t="shared" si="60"/>
        <v>CIM Motor BB RS-775 45</v>
      </c>
      <c r="E849" s="132">
        <v>0</v>
      </c>
      <c r="F849" s="132">
        <v>0</v>
      </c>
      <c r="G849" s="132">
        <v>0</v>
      </c>
      <c r="H849" s="132">
        <v>0</v>
      </c>
      <c r="I849" s="132">
        <v>1</v>
      </c>
    </row>
    <row r="850" spans="1:9" ht="14.25" customHeight="1" x14ac:dyDescent="0.25">
      <c r="A850" s="132" t="s">
        <v>246</v>
      </c>
      <c r="B850" s="132" t="s">
        <v>327</v>
      </c>
      <c r="C850" s="132">
        <v>49</v>
      </c>
      <c r="D850" s="132" t="str">
        <f t="shared" si="60"/>
        <v>CIM Motor BB RS-775 49</v>
      </c>
      <c r="E850" s="132">
        <v>0</v>
      </c>
      <c r="F850" s="132">
        <v>0</v>
      </c>
      <c r="G850" s="132">
        <v>0</v>
      </c>
      <c r="H850" s="132">
        <v>0</v>
      </c>
      <c r="I850" s="132">
        <v>1</v>
      </c>
    </row>
    <row r="851" spans="1:9" ht="14.25" customHeight="1" x14ac:dyDescent="0.25">
      <c r="A851" s="132" t="s">
        <v>246</v>
      </c>
      <c r="B851" s="132" t="s">
        <v>327</v>
      </c>
      <c r="C851" s="132">
        <v>50</v>
      </c>
      <c r="D851" s="132" t="str">
        <f t="shared" si="60"/>
        <v>CIM Motor BB RS-775 50</v>
      </c>
      <c r="E851" s="132">
        <v>0</v>
      </c>
      <c r="F851" s="132">
        <v>0</v>
      </c>
      <c r="G851" s="132">
        <v>0</v>
      </c>
      <c r="H851" s="132">
        <v>0</v>
      </c>
      <c r="I851" s="132">
        <v>1</v>
      </c>
    </row>
    <row r="852" spans="1:9" ht="14.25" customHeight="1" x14ac:dyDescent="0.25">
      <c r="A852" s="132" t="s">
        <v>246</v>
      </c>
      <c r="B852" s="132" t="s">
        <v>327</v>
      </c>
      <c r="C852" s="132">
        <v>63</v>
      </c>
      <c r="D852" s="132" t="str">
        <f t="shared" si="60"/>
        <v>CIM Motor BB RS-775 63</v>
      </c>
      <c r="E852" s="132">
        <v>0</v>
      </c>
      <c r="F852" s="132">
        <v>0</v>
      </c>
      <c r="G852" s="132">
        <v>0</v>
      </c>
      <c r="H852" s="132">
        <v>0</v>
      </c>
      <c r="I852" s="132">
        <v>1</v>
      </c>
    </row>
    <row r="853" spans="1:9" ht="14.25" customHeight="1" x14ac:dyDescent="0.25">
      <c r="A853" s="132" t="s">
        <v>246</v>
      </c>
      <c r="B853" s="132" t="s">
        <v>327</v>
      </c>
      <c r="C853" s="132">
        <v>70</v>
      </c>
      <c r="D853" s="132" t="str">
        <f t="shared" si="60"/>
        <v>CIM Motor BB RS-775 70</v>
      </c>
      <c r="E853" s="132">
        <v>0</v>
      </c>
      <c r="F853" s="132">
        <v>0</v>
      </c>
      <c r="G853" s="132">
        <v>0</v>
      </c>
      <c r="H853" s="132">
        <v>0</v>
      </c>
      <c r="I853" s="132">
        <v>1</v>
      </c>
    </row>
    <row r="854" spans="1:9" ht="14.25" customHeight="1" x14ac:dyDescent="0.25">
      <c r="A854" s="132" t="s">
        <v>246</v>
      </c>
      <c r="B854" s="132" t="s">
        <v>327</v>
      </c>
      <c r="C854" s="132">
        <v>81</v>
      </c>
      <c r="D854" s="132" t="str">
        <f t="shared" si="60"/>
        <v>CIM Motor BB RS-775 81</v>
      </c>
      <c r="E854" s="132">
        <v>0</v>
      </c>
      <c r="F854" s="132">
        <v>0</v>
      </c>
      <c r="G854" s="132">
        <v>0</v>
      </c>
      <c r="H854" s="132">
        <v>0</v>
      </c>
      <c r="I854" s="132">
        <v>1</v>
      </c>
    </row>
    <row r="855" spans="1:9" ht="14.25" customHeight="1" x14ac:dyDescent="0.25">
      <c r="A855" s="132" t="s">
        <v>246</v>
      </c>
      <c r="B855" s="132" t="s">
        <v>327</v>
      </c>
      <c r="C855" s="132">
        <v>90</v>
      </c>
      <c r="D855" s="132" t="str">
        <f t="shared" si="60"/>
        <v>CIM Motor BB RS-775 90</v>
      </c>
      <c r="E855" s="132">
        <v>0</v>
      </c>
      <c r="F855" s="132">
        <v>0</v>
      </c>
      <c r="G855" s="132">
        <v>0</v>
      </c>
      <c r="H855" s="132">
        <v>0</v>
      </c>
      <c r="I855" s="132">
        <v>1</v>
      </c>
    </row>
    <row r="856" spans="1:9" ht="14.25" customHeight="1" x14ac:dyDescent="0.25">
      <c r="A856" s="132" t="s">
        <v>246</v>
      </c>
      <c r="B856" s="132" t="s">
        <v>327</v>
      </c>
      <c r="C856" s="132">
        <v>100</v>
      </c>
      <c r="D856" s="132" t="str">
        <f t="shared" si="60"/>
        <v>CIM Motor BB RS-775 100</v>
      </c>
      <c r="E856" s="132">
        <v>0</v>
      </c>
      <c r="F856" s="132">
        <v>0</v>
      </c>
      <c r="G856" s="132">
        <v>0</v>
      </c>
      <c r="H856" s="132">
        <v>0</v>
      </c>
      <c r="I856" s="132">
        <v>1</v>
      </c>
    </row>
    <row r="857" spans="1:9" ht="14.25" customHeight="1" x14ac:dyDescent="0.25">
      <c r="A857" s="132" t="s">
        <v>246</v>
      </c>
      <c r="B857" s="132" t="s">
        <v>8</v>
      </c>
      <c r="C857" s="132">
        <v>-3</v>
      </c>
      <c r="D857" s="132" t="str">
        <f t="shared" ref="D857:D862" si="61">A857&amp;" "&amp;B857&amp;" "&amp;C857</f>
        <v>CIM Motor BAG Motor -3</v>
      </c>
      <c r="E857" s="132">
        <v>1</v>
      </c>
      <c r="F857" s="132">
        <v>1</v>
      </c>
      <c r="G857" s="132">
        <v>0</v>
      </c>
      <c r="H857" s="132">
        <v>0</v>
      </c>
      <c r="I857" s="132">
        <v>1</v>
      </c>
    </row>
    <row r="858" spans="1:9" ht="14.25" customHeight="1" x14ac:dyDescent="0.25">
      <c r="A858" s="132" t="s">
        <v>246</v>
      </c>
      <c r="B858" s="132" t="s">
        <v>8</v>
      </c>
      <c r="C858" s="132">
        <v>-4</v>
      </c>
      <c r="D858" s="132" t="str">
        <f t="shared" si="61"/>
        <v>CIM Motor BAG Motor -4</v>
      </c>
      <c r="E858" s="132">
        <v>1</v>
      </c>
      <c r="F858" s="132">
        <v>1</v>
      </c>
      <c r="G858" s="132">
        <v>0</v>
      </c>
      <c r="H858" s="132">
        <v>0</v>
      </c>
      <c r="I858" s="132">
        <v>1</v>
      </c>
    </row>
    <row r="859" spans="1:9" ht="14.25" customHeight="1" x14ac:dyDescent="0.25">
      <c r="A859" s="132" t="s">
        <v>246</v>
      </c>
      <c r="B859" s="132" t="s">
        <v>8</v>
      </c>
      <c r="C859" s="132">
        <v>-5</v>
      </c>
      <c r="D859" s="132" t="str">
        <f t="shared" si="61"/>
        <v>CIM Motor BAG Motor -5</v>
      </c>
      <c r="E859" s="132">
        <v>1</v>
      </c>
      <c r="F859" s="132">
        <v>1</v>
      </c>
      <c r="G859" s="132">
        <v>0</v>
      </c>
      <c r="H859" s="132">
        <v>0</v>
      </c>
      <c r="I859" s="132">
        <v>1</v>
      </c>
    </row>
    <row r="860" spans="1:9" ht="14.25" customHeight="1" x14ac:dyDescent="0.25">
      <c r="A860" s="132" t="s">
        <v>246</v>
      </c>
      <c r="B860" s="132" t="s">
        <v>8</v>
      </c>
      <c r="C860" s="132">
        <v>-7</v>
      </c>
      <c r="D860" s="132" t="str">
        <f t="shared" si="61"/>
        <v>CIM Motor BAG Motor -7</v>
      </c>
      <c r="E860" s="132">
        <v>1</v>
      </c>
      <c r="F860" s="132">
        <v>1</v>
      </c>
      <c r="G860" s="132">
        <v>0</v>
      </c>
      <c r="H860" s="132">
        <v>0</v>
      </c>
      <c r="I860" s="132">
        <v>1</v>
      </c>
    </row>
    <row r="861" spans="1:9" ht="14.25" customHeight="1" x14ac:dyDescent="0.25">
      <c r="A861" s="132" t="s">
        <v>246</v>
      </c>
      <c r="B861" s="132" t="s">
        <v>8</v>
      </c>
      <c r="C861" s="132">
        <v>-9</v>
      </c>
      <c r="D861" s="132" t="str">
        <f t="shared" si="61"/>
        <v>CIM Motor BAG Motor -9</v>
      </c>
      <c r="E861" s="132">
        <v>1</v>
      </c>
      <c r="F861" s="132">
        <v>1</v>
      </c>
      <c r="G861" s="132">
        <v>0</v>
      </c>
      <c r="H861" s="132">
        <v>0</v>
      </c>
      <c r="I861" s="132">
        <v>1</v>
      </c>
    </row>
    <row r="862" spans="1:9" ht="14.25" customHeight="1" x14ac:dyDescent="0.25">
      <c r="A862" s="132" t="s">
        <v>246</v>
      </c>
      <c r="B862" s="132" t="s">
        <v>8</v>
      </c>
      <c r="C862" s="132">
        <v>-10</v>
      </c>
      <c r="D862" s="132" t="str">
        <f t="shared" si="61"/>
        <v>CIM Motor BAG Motor -10</v>
      </c>
      <c r="E862" s="132">
        <v>1</v>
      </c>
      <c r="F862" s="132">
        <v>1</v>
      </c>
      <c r="G862" s="132">
        <v>0</v>
      </c>
      <c r="H862" s="132">
        <v>0</v>
      </c>
      <c r="I862" s="132">
        <v>1</v>
      </c>
    </row>
    <row r="863" spans="1:9" ht="14.25" customHeight="1" x14ac:dyDescent="0.25">
      <c r="A863" s="132" t="s">
        <v>246</v>
      </c>
      <c r="B863" s="132" t="s">
        <v>8</v>
      </c>
      <c r="C863" s="132">
        <v>9</v>
      </c>
      <c r="D863" s="132" t="str">
        <f t="shared" ref="D863:D883" si="62">A863&amp;" "&amp;B863&amp;" "&amp;C863</f>
        <v>CIM Motor BAG Motor 9</v>
      </c>
      <c r="E863" s="132">
        <v>7</v>
      </c>
      <c r="F863" s="132">
        <v>3</v>
      </c>
      <c r="G863" s="132">
        <v>0</v>
      </c>
      <c r="H863" s="132">
        <v>0</v>
      </c>
      <c r="I863" s="132">
        <v>7</v>
      </c>
    </row>
    <row r="864" spans="1:9" ht="14.25" customHeight="1" x14ac:dyDescent="0.25">
      <c r="A864" s="132" t="s">
        <v>246</v>
      </c>
      <c r="B864" s="132" t="s">
        <v>8</v>
      </c>
      <c r="C864" s="132">
        <v>12</v>
      </c>
      <c r="D864" s="132" t="str">
        <f t="shared" si="62"/>
        <v>CIM Motor BAG Motor 12</v>
      </c>
      <c r="E864" s="132">
        <v>5</v>
      </c>
      <c r="F864" s="132">
        <v>1</v>
      </c>
      <c r="G864" s="132">
        <v>0</v>
      </c>
      <c r="H864" s="132">
        <v>0</v>
      </c>
      <c r="I864" s="132">
        <v>5</v>
      </c>
    </row>
    <row r="865" spans="1:9" ht="14.25" customHeight="1" x14ac:dyDescent="0.25">
      <c r="A865" s="132" t="s">
        <v>246</v>
      </c>
      <c r="B865" s="132" t="s">
        <v>8</v>
      </c>
      <c r="C865" s="132">
        <v>15</v>
      </c>
      <c r="D865" s="132" t="str">
        <f t="shared" si="62"/>
        <v>CIM Motor BAG Motor 15</v>
      </c>
      <c r="E865" s="132">
        <v>4</v>
      </c>
      <c r="F865" s="132">
        <v>1</v>
      </c>
      <c r="G865" s="132">
        <v>0</v>
      </c>
      <c r="H865" s="132">
        <v>0</v>
      </c>
      <c r="I865" s="132">
        <v>4</v>
      </c>
    </row>
    <row r="866" spans="1:9" ht="14.25" customHeight="1" x14ac:dyDescent="0.25">
      <c r="A866" s="132" t="s">
        <v>246</v>
      </c>
      <c r="B866" s="132" t="s">
        <v>8</v>
      </c>
      <c r="C866" s="132">
        <v>16</v>
      </c>
      <c r="D866" s="132" t="str">
        <f t="shared" si="62"/>
        <v>CIM Motor BAG Motor 16</v>
      </c>
      <c r="E866" s="132">
        <v>4</v>
      </c>
      <c r="F866" s="132">
        <v>1</v>
      </c>
      <c r="G866" s="132">
        <v>0</v>
      </c>
      <c r="H866" s="132">
        <v>0</v>
      </c>
      <c r="I866" s="132">
        <v>4</v>
      </c>
    </row>
    <row r="867" spans="1:9" ht="14.25" customHeight="1" x14ac:dyDescent="0.25">
      <c r="A867" s="132" t="s">
        <v>246</v>
      </c>
      <c r="B867" s="132" t="s">
        <v>8</v>
      </c>
      <c r="C867" s="132">
        <v>20</v>
      </c>
      <c r="D867" s="132" t="str">
        <f t="shared" si="62"/>
        <v>CIM Motor BAG Motor 20</v>
      </c>
      <c r="E867" s="132">
        <v>3</v>
      </c>
      <c r="F867" s="132">
        <v>1</v>
      </c>
      <c r="G867" s="132">
        <v>0</v>
      </c>
      <c r="H867" s="132">
        <v>0</v>
      </c>
      <c r="I867" s="132">
        <v>3</v>
      </c>
    </row>
    <row r="868" spans="1:9" ht="14.25" customHeight="1" x14ac:dyDescent="0.25">
      <c r="A868" s="132" t="s">
        <v>246</v>
      </c>
      <c r="B868" s="132" t="s">
        <v>8</v>
      </c>
      <c r="C868" s="132">
        <v>21</v>
      </c>
      <c r="D868" s="132" t="str">
        <f t="shared" si="62"/>
        <v>CIM Motor BAG Motor 21</v>
      </c>
      <c r="E868" s="132">
        <v>3</v>
      </c>
      <c r="F868" s="132">
        <v>1</v>
      </c>
      <c r="G868" s="132">
        <v>0</v>
      </c>
      <c r="H868" s="132">
        <v>0</v>
      </c>
      <c r="I868" s="132">
        <v>3</v>
      </c>
    </row>
    <row r="869" spans="1:9" ht="14.25" customHeight="1" x14ac:dyDescent="0.25">
      <c r="A869" s="132" t="s">
        <v>246</v>
      </c>
      <c r="B869" s="132" t="s">
        <v>8</v>
      </c>
      <c r="C869" s="132">
        <v>25</v>
      </c>
      <c r="D869" s="132" t="str">
        <f t="shared" si="62"/>
        <v>CIM Motor BAG Motor 25</v>
      </c>
      <c r="E869" s="132">
        <v>1</v>
      </c>
      <c r="F869" s="132">
        <v>1</v>
      </c>
      <c r="G869" s="132">
        <v>0</v>
      </c>
      <c r="H869" s="132">
        <v>0</v>
      </c>
      <c r="I869" s="132">
        <v>1</v>
      </c>
    </row>
    <row r="870" spans="1:9" ht="14.25" customHeight="1" x14ac:dyDescent="0.25">
      <c r="A870" s="132" t="s">
        <v>246</v>
      </c>
      <c r="B870" s="132" t="s">
        <v>8</v>
      </c>
      <c r="C870" s="132">
        <v>27</v>
      </c>
      <c r="D870" s="132" t="str">
        <f t="shared" si="62"/>
        <v>CIM Motor BAG Motor 27</v>
      </c>
      <c r="E870" s="132">
        <v>1</v>
      </c>
      <c r="F870" s="132">
        <v>1</v>
      </c>
      <c r="G870" s="132">
        <v>0</v>
      </c>
      <c r="H870" s="132">
        <v>0</v>
      </c>
      <c r="I870" s="132">
        <v>1</v>
      </c>
    </row>
    <row r="871" spans="1:9" ht="14.25" customHeight="1" x14ac:dyDescent="0.25">
      <c r="A871" s="132" t="s">
        <v>246</v>
      </c>
      <c r="B871" s="132" t="s">
        <v>8</v>
      </c>
      <c r="C871" s="132">
        <v>28</v>
      </c>
      <c r="D871" s="132" t="str">
        <f t="shared" si="62"/>
        <v>CIM Motor BAG Motor 28</v>
      </c>
      <c r="E871" s="132">
        <v>1</v>
      </c>
      <c r="F871" s="132">
        <v>1</v>
      </c>
      <c r="G871" s="132">
        <v>0</v>
      </c>
      <c r="H871" s="132">
        <v>0</v>
      </c>
      <c r="I871" s="132">
        <v>1</v>
      </c>
    </row>
    <row r="872" spans="1:9" ht="14.25" customHeight="1" x14ac:dyDescent="0.25">
      <c r="A872" s="132" t="s">
        <v>246</v>
      </c>
      <c r="B872" s="132" t="s">
        <v>8</v>
      </c>
      <c r="C872" s="132">
        <v>30</v>
      </c>
      <c r="D872" s="132" t="str">
        <f t="shared" si="62"/>
        <v>CIM Motor BAG Motor 30</v>
      </c>
      <c r="E872" s="132">
        <v>1</v>
      </c>
      <c r="F872" s="132">
        <v>1</v>
      </c>
      <c r="G872" s="132">
        <v>0</v>
      </c>
      <c r="H872" s="132">
        <v>0</v>
      </c>
      <c r="I872" s="132">
        <v>1</v>
      </c>
    </row>
    <row r="873" spans="1:9" ht="14.25" customHeight="1" x14ac:dyDescent="0.25">
      <c r="A873" s="132" t="s">
        <v>246</v>
      </c>
      <c r="B873" s="132" t="s">
        <v>8</v>
      </c>
      <c r="C873" s="132">
        <v>35</v>
      </c>
      <c r="D873" s="132" t="str">
        <f t="shared" si="62"/>
        <v>CIM Motor BAG Motor 35</v>
      </c>
      <c r="E873" s="132">
        <v>1</v>
      </c>
      <c r="F873" s="132">
        <v>0</v>
      </c>
      <c r="G873" s="132">
        <v>0</v>
      </c>
      <c r="H873" s="132">
        <v>0</v>
      </c>
      <c r="I873" s="132">
        <v>1</v>
      </c>
    </row>
    <row r="874" spans="1:9" ht="14.25" customHeight="1" x14ac:dyDescent="0.25">
      <c r="A874" s="132" t="s">
        <v>246</v>
      </c>
      <c r="B874" s="132" t="s">
        <v>8</v>
      </c>
      <c r="C874" s="132">
        <v>36</v>
      </c>
      <c r="D874" s="132" t="str">
        <f t="shared" si="62"/>
        <v>CIM Motor BAG Motor 36</v>
      </c>
      <c r="E874" s="132">
        <v>1</v>
      </c>
      <c r="F874" s="132">
        <v>0</v>
      </c>
      <c r="G874" s="132">
        <v>0</v>
      </c>
      <c r="H874" s="132">
        <v>0</v>
      </c>
      <c r="I874" s="132">
        <v>1</v>
      </c>
    </row>
    <row r="875" spans="1:9" ht="14.25" customHeight="1" x14ac:dyDescent="0.25">
      <c r="A875" s="132" t="s">
        <v>246</v>
      </c>
      <c r="B875" s="132" t="s">
        <v>8</v>
      </c>
      <c r="C875" s="132">
        <v>40</v>
      </c>
      <c r="D875" s="132" t="str">
        <f t="shared" si="62"/>
        <v>CIM Motor BAG Motor 40</v>
      </c>
      <c r="E875" s="132">
        <v>1</v>
      </c>
      <c r="F875" s="132">
        <v>0</v>
      </c>
      <c r="G875" s="132">
        <v>0</v>
      </c>
      <c r="H875" s="132">
        <v>0</v>
      </c>
      <c r="I875" s="132">
        <v>1</v>
      </c>
    </row>
    <row r="876" spans="1:9" ht="14.25" customHeight="1" x14ac:dyDescent="0.25">
      <c r="A876" s="132" t="s">
        <v>246</v>
      </c>
      <c r="B876" s="132" t="s">
        <v>8</v>
      </c>
      <c r="C876" s="132">
        <v>45</v>
      </c>
      <c r="D876" s="132" t="str">
        <f t="shared" si="62"/>
        <v>CIM Motor BAG Motor 45</v>
      </c>
      <c r="E876" s="132">
        <v>1</v>
      </c>
      <c r="F876" s="132">
        <v>0</v>
      </c>
      <c r="G876" s="132">
        <v>0</v>
      </c>
      <c r="H876" s="132">
        <v>0</v>
      </c>
      <c r="I876" s="132">
        <v>1</v>
      </c>
    </row>
    <row r="877" spans="1:9" ht="14.25" customHeight="1" x14ac:dyDescent="0.25">
      <c r="A877" s="132" t="s">
        <v>246</v>
      </c>
      <c r="B877" s="132" t="s">
        <v>8</v>
      </c>
      <c r="C877" s="132">
        <v>49</v>
      </c>
      <c r="D877" s="132" t="str">
        <f t="shared" si="62"/>
        <v>CIM Motor BAG Motor 49</v>
      </c>
      <c r="E877" s="132">
        <v>1</v>
      </c>
      <c r="F877" s="132">
        <v>0</v>
      </c>
      <c r="G877" s="132">
        <v>0</v>
      </c>
      <c r="H877" s="132">
        <v>0</v>
      </c>
      <c r="I877" s="132">
        <v>1</v>
      </c>
    </row>
    <row r="878" spans="1:9" ht="14.25" customHeight="1" x14ac:dyDescent="0.25">
      <c r="A878" s="132" t="s">
        <v>246</v>
      </c>
      <c r="B878" s="132" t="s">
        <v>8</v>
      </c>
      <c r="C878" s="132">
        <v>50</v>
      </c>
      <c r="D878" s="132" t="str">
        <f t="shared" si="62"/>
        <v>CIM Motor BAG Motor 50</v>
      </c>
      <c r="E878" s="132">
        <v>1</v>
      </c>
      <c r="F878" s="132">
        <v>0</v>
      </c>
      <c r="G878" s="132">
        <v>0</v>
      </c>
      <c r="H878" s="132">
        <v>0</v>
      </c>
      <c r="I878" s="132">
        <v>1</v>
      </c>
    </row>
    <row r="879" spans="1:9" ht="14.25" customHeight="1" x14ac:dyDescent="0.25">
      <c r="A879" s="132" t="s">
        <v>246</v>
      </c>
      <c r="B879" s="132" t="s">
        <v>8</v>
      </c>
      <c r="C879" s="132">
        <v>63</v>
      </c>
      <c r="D879" s="132" t="str">
        <f t="shared" si="62"/>
        <v>CIM Motor BAG Motor 63</v>
      </c>
      <c r="E879" s="132">
        <v>1</v>
      </c>
      <c r="F879" s="132">
        <v>0</v>
      </c>
      <c r="G879" s="132">
        <v>0</v>
      </c>
      <c r="H879" s="132">
        <v>0</v>
      </c>
      <c r="I879" s="132">
        <v>1</v>
      </c>
    </row>
    <row r="880" spans="1:9" ht="14.25" customHeight="1" x14ac:dyDescent="0.25">
      <c r="A880" s="132" t="s">
        <v>246</v>
      </c>
      <c r="B880" s="132" t="s">
        <v>8</v>
      </c>
      <c r="C880" s="132">
        <v>70</v>
      </c>
      <c r="D880" s="132" t="str">
        <f t="shared" si="62"/>
        <v>CIM Motor BAG Motor 70</v>
      </c>
      <c r="E880" s="132">
        <v>0</v>
      </c>
      <c r="F880" s="132">
        <v>0</v>
      </c>
      <c r="G880" s="132">
        <v>0</v>
      </c>
      <c r="H880" s="132">
        <v>0</v>
      </c>
      <c r="I880" s="132">
        <v>0</v>
      </c>
    </row>
    <row r="881" spans="1:9" ht="14.25" customHeight="1" x14ac:dyDescent="0.25">
      <c r="A881" s="132" t="s">
        <v>246</v>
      </c>
      <c r="B881" s="132" t="s">
        <v>8</v>
      </c>
      <c r="C881" s="132">
        <v>81</v>
      </c>
      <c r="D881" s="132" t="str">
        <f t="shared" si="62"/>
        <v>CIM Motor BAG Motor 81</v>
      </c>
      <c r="E881" s="132">
        <v>0</v>
      </c>
      <c r="F881" s="132">
        <v>0</v>
      </c>
      <c r="G881" s="132">
        <v>0</v>
      </c>
      <c r="H881" s="132">
        <v>0</v>
      </c>
      <c r="I881" s="132">
        <v>0</v>
      </c>
    </row>
    <row r="882" spans="1:9" ht="14.25" customHeight="1" x14ac:dyDescent="0.25">
      <c r="A882" s="132" t="s">
        <v>246</v>
      </c>
      <c r="B882" s="132" t="s">
        <v>8</v>
      </c>
      <c r="C882" s="132">
        <v>90</v>
      </c>
      <c r="D882" s="132" t="str">
        <f t="shared" si="62"/>
        <v>CIM Motor BAG Motor 90</v>
      </c>
      <c r="E882" s="132">
        <v>0</v>
      </c>
      <c r="F882" s="132">
        <v>0</v>
      </c>
      <c r="G882" s="132">
        <v>0</v>
      </c>
      <c r="H882" s="132">
        <v>0</v>
      </c>
      <c r="I882" s="132">
        <v>0</v>
      </c>
    </row>
    <row r="883" spans="1:9" ht="14.25" customHeight="1" x14ac:dyDescent="0.25">
      <c r="A883" s="132" t="s">
        <v>246</v>
      </c>
      <c r="B883" s="132" t="s">
        <v>8</v>
      </c>
      <c r="C883" s="132">
        <v>100</v>
      </c>
      <c r="D883" s="132" t="str">
        <f t="shared" si="62"/>
        <v>CIM Motor BAG Motor 100</v>
      </c>
      <c r="E883" s="132">
        <v>0</v>
      </c>
      <c r="F883" s="132">
        <v>0</v>
      </c>
      <c r="G883" s="132">
        <v>0</v>
      </c>
      <c r="H883" s="132">
        <v>0</v>
      </c>
      <c r="I883" s="132">
        <v>0</v>
      </c>
    </row>
    <row r="884" spans="1:9" ht="14.25" customHeight="1" x14ac:dyDescent="0.25">
      <c r="A884" s="132" t="s">
        <v>246</v>
      </c>
      <c r="B884" s="132" t="s">
        <v>255</v>
      </c>
      <c r="C884" s="132">
        <v>-3</v>
      </c>
      <c r="D884" s="132" t="str">
        <f t="shared" ref="D884:D889" si="63">A884&amp;" "&amp;B884&amp;" "&amp;C884</f>
        <v>CIM Motor 775pro -3</v>
      </c>
      <c r="E884" s="132">
        <v>1</v>
      </c>
      <c r="F884" s="132">
        <v>1</v>
      </c>
      <c r="G884" s="132">
        <v>0</v>
      </c>
      <c r="H884" s="132">
        <v>0</v>
      </c>
      <c r="I884" s="132">
        <v>1</v>
      </c>
    </row>
    <row r="885" spans="1:9" ht="14.25" customHeight="1" x14ac:dyDescent="0.25">
      <c r="A885" s="132" t="s">
        <v>246</v>
      </c>
      <c r="B885" s="132" t="s">
        <v>255</v>
      </c>
      <c r="C885" s="132">
        <v>-4</v>
      </c>
      <c r="D885" s="132" t="str">
        <f t="shared" si="63"/>
        <v>CIM Motor 775pro -4</v>
      </c>
      <c r="E885" s="132">
        <v>1</v>
      </c>
      <c r="F885" s="132">
        <v>1</v>
      </c>
      <c r="G885" s="132">
        <v>0</v>
      </c>
      <c r="H885" s="132">
        <v>0</v>
      </c>
      <c r="I885" s="132">
        <v>1</v>
      </c>
    </row>
    <row r="886" spans="1:9" ht="14.25" customHeight="1" x14ac:dyDescent="0.25">
      <c r="A886" s="132" t="s">
        <v>246</v>
      </c>
      <c r="B886" s="132" t="s">
        <v>255</v>
      </c>
      <c r="C886" s="132">
        <v>-5</v>
      </c>
      <c r="D886" s="132" t="str">
        <f t="shared" si="63"/>
        <v>CIM Motor 775pro -5</v>
      </c>
      <c r="E886" s="132">
        <v>1</v>
      </c>
      <c r="F886" s="132">
        <v>1</v>
      </c>
      <c r="G886" s="132">
        <v>0</v>
      </c>
      <c r="H886" s="132">
        <v>0</v>
      </c>
      <c r="I886" s="132">
        <v>1</v>
      </c>
    </row>
    <row r="887" spans="1:9" ht="14.25" customHeight="1" x14ac:dyDescent="0.25">
      <c r="A887" s="132" t="s">
        <v>246</v>
      </c>
      <c r="B887" s="132" t="s">
        <v>255</v>
      </c>
      <c r="C887" s="132">
        <v>-7</v>
      </c>
      <c r="D887" s="132" t="str">
        <f t="shared" si="63"/>
        <v>CIM Motor 775pro -7</v>
      </c>
      <c r="E887" s="132">
        <v>1</v>
      </c>
      <c r="F887" s="132">
        <v>1</v>
      </c>
      <c r="G887" s="132">
        <v>0</v>
      </c>
      <c r="H887" s="132">
        <v>0</v>
      </c>
      <c r="I887" s="132">
        <v>1</v>
      </c>
    </row>
    <row r="888" spans="1:9" ht="14.25" customHeight="1" x14ac:dyDescent="0.25">
      <c r="A888" s="132" t="s">
        <v>246</v>
      </c>
      <c r="B888" s="132" t="s">
        <v>255</v>
      </c>
      <c r="C888" s="132">
        <v>-9</v>
      </c>
      <c r="D888" s="132" t="str">
        <f t="shared" si="63"/>
        <v>CIM Motor 775pro -9</v>
      </c>
      <c r="E888" s="132">
        <v>1</v>
      </c>
      <c r="F888" s="132">
        <v>1</v>
      </c>
      <c r="G888" s="132">
        <v>0</v>
      </c>
      <c r="H888" s="132">
        <v>0</v>
      </c>
      <c r="I888" s="132">
        <v>1</v>
      </c>
    </row>
    <row r="889" spans="1:9" ht="14.25" customHeight="1" x14ac:dyDescent="0.25">
      <c r="A889" s="132" t="s">
        <v>246</v>
      </c>
      <c r="B889" s="132" t="s">
        <v>255</v>
      </c>
      <c r="C889" s="132">
        <v>-10</v>
      </c>
      <c r="D889" s="132" t="str">
        <f t="shared" si="63"/>
        <v>CIM Motor 775pro -10</v>
      </c>
      <c r="E889" s="132">
        <v>1</v>
      </c>
      <c r="F889" s="132">
        <v>1</v>
      </c>
      <c r="G889" s="132">
        <v>0</v>
      </c>
      <c r="H889" s="132">
        <v>0</v>
      </c>
      <c r="I889" s="132">
        <v>1</v>
      </c>
    </row>
    <row r="890" spans="1:9" ht="14.25" customHeight="1" x14ac:dyDescent="0.25">
      <c r="A890" s="132" t="s">
        <v>246</v>
      </c>
      <c r="B890" s="132" t="s">
        <v>255</v>
      </c>
      <c r="C890" s="132">
        <v>9</v>
      </c>
      <c r="D890" s="132" t="str">
        <f t="shared" ref="D890:D910" si="64">A890&amp;" "&amp;B890&amp;" "&amp;C890</f>
        <v>CIM Motor 775pro 9</v>
      </c>
      <c r="E890" s="132">
        <v>4</v>
      </c>
      <c r="F890" s="132">
        <v>1</v>
      </c>
      <c r="G890" s="132">
        <v>0</v>
      </c>
      <c r="H890" s="132">
        <v>0</v>
      </c>
      <c r="I890" s="132">
        <v>4</v>
      </c>
    </row>
    <row r="891" spans="1:9" ht="14.25" customHeight="1" x14ac:dyDescent="0.25">
      <c r="A891" s="132" t="s">
        <v>246</v>
      </c>
      <c r="B891" s="132" t="s">
        <v>255</v>
      </c>
      <c r="C891" s="132">
        <v>12</v>
      </c>
      <c r="D891" s="132" t="str">
        <f t="shared" si="64"/>
        <v>CIM Motor 775pro 12</v>
      </c>
      <c r="E891" s="132">
        <v>3</v>
      </c>
      <c r="F891" s="132">
        <v>1</v>
      </c>
      <c r="G891" s="132">
        <v>0</v>
      </c>
      <c r="H891" s="132">
        <v>0</v>
      </c>
      <c r="I891" s="132">
        <v>3</v>
      </c>
    </row>
    <row r="892" spans="1:9" ht="14.25" customHeight="1" x14ac:dyDescent="0.25">
      <c r="A892" s="132" t="s">
        <v>246</v>
      </c>
      <c r="B892" s="132" t="s">
        <v>255</v>
      </c>
      <c r="C892" s="132">
        <v>15</v>
      </c>
      <c r="D892" s="132" t="str">
        <f t="shared" si="64"/>
        <v>CIM Motor 775pro 15</v>
      </c>
      <c r="E892" s="132">
        <v>1</v>
      </c>
      <c r="F892" s="132">
        <v>1</v>
      </c>
      <c r="G892" s="132">
        <v>0</v>
      </c>
      <c r="H892" s="132">
        <v>0</v>
      </c>
      <c r="I892" s="132">
        <v>1</v>
      </c>
    </row>
    <row r="893" spans="1:9" ht="14.25" customHeight="1" x14ac:dyDescent="0.25">
      <c r="A893" s="132" t="s">
        <v>246</v>
      </c>
      <c r="B893" s="132" t="s">
        <v>255</v>
      </c>
      <c r="C893" s="132">
        <v>16</v>
      </c>
      <c r="D893" s="132" t="str">
        <f t="shared" si="64"/>
        <v>CIM Motor 775pro 16</v>
      </c>
      <c r="E893" s="132">
        <v>1</v>
      </c>
      <c r="F893" s="132">
        <v>1</v>
      </c>
      <c r="G893" s="132">
        <v>0</v>
      </c>
      <c r="H893" s="132">
        <v>0</v>
      </c>
      <c r="I893" s="132">
        <v>1</v>
      </c>
    </row>
    <row r="894" spans="1:9" ht="14.25" customHeight="1" x14ac:dyDescent="0.25">
      <c r="A894" s="132" t="s">
        <v>246</v>
      </c>
      <c r="B894" s="132" t="s">
        <v>255</v>
      </c>
      <c r="C894" s="132">
        <v>20</v>
      </c>
      <c r="D894" s="132" t="str">
        <f t="shared" si="64"/>
        <v>CIM Motor 775pro 20</v>
      </c>
      <c r="E894" s="132">
        <v>1</v>
      </c>
      <c r="F894" s="132">
        <v>1</v>
      </c>
      <c r="G894" s="132">
        <v>0</v>
      </c>
      <c r="H894" s="132">
        <v>0</v>
      </c>
      <c r="I894" s="132">
        <v>1</v>
      </c>
    </row>
    <row r="895" spans="1:9" ht="14.25" customHeight="1" x14ac:dyDescent="0.25">
      <c r="A895" s="132" t="s">
        <v>246</v>
      </c>
      <c r="B895" s="132" t="s">
        <v>255</v>
      </c>
      <c r="C895" s="132">
        <v>21</v>
      </c>
      <c r="D895" s="132" t="str">
        <f t="shared" si="64"/>
        <v>CIM Motor 775pro 21</v>
      </c>
      <c r="E895" s="132">
        <v>1</v>
      </c>
      <c r="F895" s="132">
        <v>0</v>
      </c>
      <c r="G895" s="132">
        <v>0</v>
      </c>
      <c r="H895" s="132">
        <v>0</v>
      </c>
      <c r="I895" s="132">
        <v>1</v>
      </c>
    </row>
    <row r="896" spans="1:9" ht="14.25" customHeight="1" x14ac:dyDescent="0.25">
      <c r="A896" s="132" t="s">
        <v>246</v>
      </c>
      <c r="B896" s="132" t="s">
        <v>255</v>
      </c>
      <c r="C896" s="132">
        <v>25</v>
      </c>
      <c r="D896" s="132" t="str">
        <f t="shared" si="64"/>
        <v>CIM Motor 775pro 25</v>
      </c>
      <c r="E896" s="132">
        <v>1</v>
      </c>
      <c r="F896" s="132">
        <v>0</v>
      </c>
      <c r="G896" s="132">
        <v>0</v>
      </c>
      <c r="H896" s="132">
        <v>0</v>
      </c>
      <c r="I896" s="132">
        <v>1</v>
      </c>
    </row>
    <row r="897" spans="1:9" ht="14.25" customHeight="1" x14ac:dyDescent="0.25">
      <c r="A897" s="132" t="s">
        <v>246</v>
      </c>
      <c r="B897" s="132" t="s">
        <v>255</v>
      </c>
      <c r="C897" s="132">
        <v>27</v>
      </c>
      <c r="D897" s="132" t="str">
        <f t="shared" si="64"/>
        <v>CIM Motor 775pro 27</v>
      </c>
      <c r="E897" s="132">
        <v>1</v>
      </c>
      <c r="F897" s="132">
        <v>0</v>
      </c>
      <c r="G897" s="132">
        <v>0</v>
      </c>
      <c r="H897" s="132">
        <v>0</v>
      </c>
      <c r="I897" s="132">
        <v>1</v>
      </c>
    </row>
    <row r="898" spans="1:9" ht="14.25" customHeight="1" x14ac:dyDescent="0.25">
      <c r="A898" s="132" t="s">
        <v>246</v>
      </c>
      <c r="B898" s="132" t="s">
        <v>255</v>
      </c>
      <c r="C898" s="132">
        <v>28</v>
      </c>
      <c r="D898" s="132" t="str">
        <f t="shared" si="64"/>
        <v>CIM Motor 775pro 28</v>
      </c>
      <c r="E898" s="132">
        <v>1</v>
      </c>
      <c r="F898" s="132">
        <v>0</v>
      </c>
      <c r="G898" s="132">
        <v>0</v>
      </c>
      <c r="H898" s="132">
        <v>0</v>
      </c>
      <c r="I898" s="132">
        <v>1</v>
      </c>
    </row>
    <row r="899" spans="1:9" ht="14.25" customHeight="1" x14ac:dyDescent="0.25">
      <c r="A899" s="132" t="s">
        <v>246</v>
      </c>
      <c r="B899" s="132" t="s">
        <v>255</v>
      </c>
      <c r="C899" s="132">
        <v>30</v>
      </c>
      <c r="D899" s="132" t="str">
        <f t="shared" si="64"/>
        <v>CIM Motor 775pro 30</v>
      </c>
      <c r="E899" s="132">
        <v>1</v>
      </c>
      <c r="F899" s="132">
        <v>0</v>
      </c>
      <c r="G899" s="132">
        <v>0</v>
      </c>
      <c r="H899" s="132">
        <v>0</v>
      </c>
      <c r="I899" s="132">
        <v>1</v>
      </c>
    </row>
    <row r="900" spans="1:9" ht="14.25" customHeight="1" x14ac:dyDescent="0.25">
      <c r="A900" s="132" t="s">
        <v>246</v>
      </c>
      <c r="B900" s="132" t="s">
        <v>255</v>
      </c>
      <c r="C900" s="132">
        <v>35</v>
      </c>
      <c r="D900" s="132" t="str">
        <f t="shared" si="64"/>
        <v>CIM Motor 775pro 35</v>
      </c>
      <c r="E900" s="132">
        <v>1</v>
      </c>
      <c r="F900" s="132">
        <v>0</v>
      </c>
      <c r="G900" s="132">
        <v>0</v>
      </c>
      <c r="H900" s="132">
        <v>0</v>
      </c>
      <c r="I900" s="132">
        <v>1</v>
      </c>
    </row>
    <row r="901" spans="1:9" ht="14.25" customHeight="1" x14ac:dyDescent="0.25">
      <c r="A901" s="132" t="s">
        <v>246</v>
      </c>
      <c r="B901" s="132" t="s">
        <v>255</v>
      </c>
      <c r="C901" s="132">
        <v>36</v>
      </c>
      <c r="D901" s="132" t="str">
        <f t="shared" si="64"/>
        <v>CIM Motor 775pro 36</v>
      </c>
      <c r="E901" s="132">
        <v>1</v>
      </c>
      <c r="F901" s="132">
        <v>0</v>
      </c>
      <c r="G901" s="132">
        <v>0</v>
      </c>
      <c r="H901" s="132">
        <v>0</v>
      </c>
      <c r="I901" s="132">
        <v>1</v>
      </c>
    </row>
    <row r="902" spans="1:9" ht="14.25" customHeight="1" x14ac:dyDescent="0.25">
      <c r="A902" s="132" t="s">
        <v>246</v>
      </c>
      <c r="B902" s="132" t="s">
        <v>255</v>
      </c>
      <c r="C902" s="132">
        <v>40</v>
      </c>
      <c r="D902" s="132" t="str">
        <f t="shared" si="64"/>
        <v>CIM Motor 775pro 40</v>
      </c>
      <c r="E902" s="132">
        <v>1</v>
      </c>
      <c r="F902" s="132">
        <v>0</v>
      </c>
      <c r="G902" s="132">
        <v>0</v>
      </c>
      <c r="H902" s="132">
        <v>0</v>
      </c>
      <c r="I902" s="132">
        <v>1</v>
      </c>
    </row>
    <row r="903" spans="1:9" ht="14.25" customHeight="1" x14ac:dyDescent="0.25">
      <c r="A903" s="132" t="s">
        <v>246</v>
      </c>
      <c r="B903" s="132" t="s">
        <v>255</v>
      </c>
      <c r="C903" s="132">
        <v>45</v>
      </c>
      <c r="D903" s="132" t="str">
        <f t="shared" si="64"/>
        <v>CIM Motor 775pro 45</v>
      </c>
      <c r="E903" s="132">
        <v>0</v>
      </c>
      <c r="F903" s="132">
        <v>0</v>
      </c>
      <c r="G903" s="132">
        <v>0</v>
      </c>
      <c r="H903" s="132">
        <v>0</v>
      </c>
      <c r="I903" s="132">
        <v>0</v>
      </c>
    </row>
    <row r="904" spans="1:9" ht="14.25" customHeight="1" x14ac:dyDescent="0.25">
      <c r="A904" s="132" t="s">
        <v>246</v>
      </c>
      <c r="B904" s="132" t="s">
        <v>255</v>
      </c>
      <c r="C904" s="132">
        <v>49</v>
      </c>
      <c r="D904" s="132" t="str">
        <f t="shared" si="64"/>
        <v>CIM Motor 775pro 49</v>
      </c>
      <c r="E904" s="132">
        <v>0</v>
      </c>
      <c r="F904" s="132">
        <v>0</v>
      </c>
      <c r="G904" s="132">
        <v>0</v>
      </c>
      <c r="H904" s="132">
        <v>0</v>
      </c>
      <c r="I904" s="132">
        <v>0</v>
      </c>
    </row>
    <row r="905" spans="1:9" ht="14.25" customHeight="1" x14ac:dyDescent="0.25">
      <c r="A905" s="132" t="s">
        <v>246</v>
      </c>
      <c r="B905" s="132" t="s">
        <v>255</v>
      </c>
      <c r="C905" s="132">
        <v>50</v>
      </c>
      <c r="D905" s="132" t="str">
        <f t="shared" si="64"/>
        <v>CIM Motor 775pro 50</v>
      </c>
      <c r="E905" s="132">
        <v>0</v>
      </c>
      <c r="F905" s="132">
        <v>0</v>
      </c>
      <c r="G905" s="132">
        <v>0</v>
      </c>
      <c r="H905" s="132">
        <v>0</v>
      </c>
      <c r="I905" s="132">
        <v>0</v>
      </c>
    </row>
    <row r="906" spans="1:9" ht="14.25" customHeight="1" x14ac:dyDescent="0.25">
      <c r="A906" s="132" t="s">
        <v>246</v>
      </c>
      <c r="B906" s="132" t="s">
        <v>255</v>
      </c>
      <c r="C906" s="132">
        <v>63</v>
      </c>
      <c r="D906" s="132" t="str">
        <f t="shared" si="64"/>
        <v>CIM Motor 775pro 63</v>
      </c>
      <c r="E906" s="132">
        <v>0</v>
      </c>
      <c r="F906" s="132">
        <v>0</v>
      </c>
      <c r="G906" s="132">
        <v>0</v>
      </c>
      <c r="H906" s="132">
        <v>0</v>
      </c>
      <c r="I906" s="132">
        <v>0</v>
      </c>
    </row>
    <row r="907" spans="1:9" ht="14.25" customHeight="1" x14ac:dyDescent="0.25">
      <c r="A907" s="132" t="s">
        <v>246</v>
      </c>
      <c r="B907" s="132" t="s">
        <v>255</v>
      </c>
      <c r="C907" s="132">
        <v>70</v>
      </c>
      <c r="D907" s="132" t="str">
        <f t="shared" si="64"/>
        <v>CIM Motor 775pro 70</v>
      </c>
      <c r="E907" s="132">
        <v>0</v>
      </c>
      <c r="F907" s="132">
        <v>0</v>
      </c>
      <c r="G907" s="132">
        <v>0</v>
      </c>
      <c r="H907" s="132">
        <v>0</v>
      </c>
      <c r="I907" s="132">
        <v>0</v>
      </c>
    </row>
    <row r="908" spans="1:9" ht="14.25" customHeight="1" x14ac:dyDescent="0.25">
      <c r="A908" s="132" t="s">
        <v>246</v>
      </c>
      <c r="B908" s="132" t="s">
        <v>255</v>
      </c>
      <c r="C908" s="132">
        <v>81</v>
      </c>
      <c r="D908" s="132" t="str">
        <f t="shared" si="64"/>
        <v>CIM Motor 775pro 81</v>
      </c>
      <c r="E908" s="132">
        <v>0</v>
      </c>
      <c r="F908" s="132">
        <v>0</v>
      </c>
      <c r="G908" s="132">
        <v>0</v>
      </c>
      <c r="H908" s="132">
        <v>0</v>
      </c>
      <c r="I908" s="132">
        <v>0</v>
      </c>
    </row>
    <row r="909" spans="1:9" ht="14.25" customHeight="1" x14ac:dyDescent="0.25">
      <c r="A909" s="132" t="s">
        <v>246</v>
      </c>
      <c r="B909" s="132" t="s">
        <v>255</v>
      </c>
      <c r="C909" s="132">
        <v>90</v>
      </c>
      <c r="D909" s="132" t="str">
        <f t="shared" si="64"/>
        <v>CIM Motor 775pro 90</v>
      </c>
      <c r="E909" s="132">
        <v>0</v>
      </c>
      <c r="F909" s="132">
        <v>0</v>
      </c>
      <c r="G909" s="132">
        <v>0</v>
      </c>
      <c r="H909" s="132">
        <v>0</v>
      </c>
      <c r="I909" s="132">
        <v>0</v>
      </c>
    </row>
    <row r="910" spans="1:9" ht="14.25" customHeight="1" x14ac:dyDescent="0.25">
      <c r="A910" s="132" t="s">
        <v>246</v>
      </c>
      <c r="B910" s="132" t="s">
        <v>255</v>
      </c>
      <c r="C910" s="132">
        <v>100</v>
      </c>
      <c r="D910" s="132" t="str">
        <f t="shared" si="64"/>
        <v>CIM Motor 775pro 100</v>
      </c>
      <c r="E910" s="132">
        <v>0</v>
      </c>
      <c r="F910" s="132">
        <v>0</v>
      </c>
      <c r="G910" s="132">
        <v>0</v>
      </c>
      <c r="H910" s="132">
        <v>0</v>
      </c>
      <c r="I910" s="132">
        <v>0</v>
      </c>
    </row>
    <row r="911" spans="1:9" ht="14.25" customHeight="1" x14ac:dyDescent="0.25">
      <c r="A911" s="132" t="s">
        <v>246</v>
      </c>
      <c r="B911" s="132" t="s">
        <v>7</v>
      </c>
      <c r="C911" s="132">
        <v>-3</v>
      </c>
      <c r="D911" s="132" t="str">
        <f t="shared" ref="D911:D916" si="65">A911&amp;" "&amp;B911&amp;" "&amp;C911</f>
        <v>CIM Motor Mini CIM -3</v>
      </c>
      <c r="E911" s="132">
        <v>1</v>
      </c>
      <c r="I911" s="132">
        <v>0</v>
      </c>
    </row>
    <row r="912" spans="1:9" ht="14.25" customHeight="1" x14ac:dyDescent="0.25">
      <c r="A912" s="132" t="s">
        <v>246</v>
      </c>
      <c r="B912" s="132" t="s">
        <v>7</v>
      </c>
      <c r="C912" s="132">
        <v>-4</v>
      </c>
      <c r="D912" s="132" t="str">
        <f t="shared" si="65"/>
        <v>CIM Motor Mini CIM -4</v>
      </c>
      <c r="E912" s="132">
        <v>1</v>
      </c>
      <c r="I912" s="132">
        <v>0</v>
      </c>
    </row>
    <row r="913" spans="1:9" ht="14.25" customHeight="1" x14ac:dyDescent="0.25">
      <c r="A913" s="132" t="s">
        <v>246</v>
      </c>
      <c r="B913" s="132" t="s">
        <v>7</v>
      </c>
      <c r="C913" s="132">
        <v>-5</v>
      </c>
      <c r="D913" s="132" t="str">
        <f t="shared" si="65"/>
        <v>CIM Motor Mini CIM -5</v>
      </c>
      <c r="E913" s="132">
        <v>1</v>
      </c>
      <c r="I913" s="132">
        <v>0</v>
      </c>
    </row>
    <row r="914" spans="1:9" ht="14.25" customHeight="1" x14ac:dyDescent="0.25">
      <c r="A914" s="132" t="s">
        <v>246</v>
      </c>
      <c r="B914" s="132" t="s">
        <v>7</v>
      </c>
      <c r="C914" s="132">
        <v>-7</v>
      </c>
      <c r="D914" s="132" t="str">
        <f t="shared" si="65"/>
        <v>CIM Motor Mini CIM -7</v>
      </c>
      <c r="E914" s="132">
        <v>1</v>
      </c>
      <c r="I914" s="132">
        <v>0</v>
      </c>
    </row>
    <row r="915" spans="1:9" ht="14.25" customHeight="1" x14ac:dyDescent="0.25">
      <c r="A915" s="132" t="s">
        <v>246</v>
      </c>
      <c r="B915" s="132" t="s">
        <v>7</v>
      </c>
      <c r="C915" s="132">
        <v>-9</v>
      </c>
      <c r="D915" s="132" t="str">
        <f t="shared" si="65"/>
        <v>CIM Motor Mini CIM -9</v>
      </c>
      <c r="E915" s="132">
        <v>1</v>
      </c>
      <c r="I915" s="132">
        <v>0</v>
      </c>
    </row>
    <row r="916" spans="1:9" ht="14.25" customHeight="1" x14ac:dyDescent="0.25">
      <c r="A916" s="132" t="s">
        <v>246</v>
      </c>
      <c r="B916" s="132" t="s">
        <v>7</v>
      </c>
      <c r="C916" s="132">
        <v>-10</v>
      </c>
      <c r="D916" s="132" t="str">
        <f t="shared" si="65"/>
        <v>CIM Motor Mini CIM -10</v>
      </c>
      <c r="E916" s="132">
        <v>1</v>
      </c>
      <c r="I916" s="132">
        <v>0</v>
      </c>
    </row>
    <row r="917" spans="1:9" ht="14.25" customHeight="1" x14ac:dyDescent="0.25">
      <c r="A917" s="132" t="s">
        <v>246</v>
      </c>
      <c r="B917" s="132" t="s">
        <v>7</v>
      </c>
      <c r="C917" s="132">
        <v>9</v>
      </c>
      <c r="D917" s="132" t="str">
        <f t="shared" ref="D917:D937" si="66">A917&amp;" "&amp;B917&amp;" "&amp;C917</f>
        <v>CIM Motor Mini CIM 9</v>
      </c>
      <c r="E917" s="132">
        <v>1</v>
      </c>
      <c r="I917" s="132">
        <v>0</v>
      </c>
    </row>
    <row r="918" spans="1:9" ht="14.25" customHeight="1" x14ac:dyDescent="0.25">
      <c r="A918" s="132" t="s">
        <v>246</v>
      </c>
      <c r="B918" s="132" t="s">
        <v>7</v>
      </c>
      <c r="C918" s="132">
        <v>12</v>
      </c>
      <c r="D918" s="132" t="str">
        <f t="shared" si="66"/>
        <v>CIM Motor Mini CIM 12</v>
      </c>
      <c r="E918" s="132">
        <v>1</v>
      </c>
      <c r="I918" s="132">
        <v>0</v>
      </c>
    </row>
    <row r="919" spans="1:9" ht="14.25" customHeight="1" x14ac:dyDescent="0.25">
      <c r="A919" s="132" t="s">
        <v>246</v>
      </c>
      <c r="B919" s="132" t="s">
        <v>7</v>
      </c>
      <c r="C919" s="132">
        <v>15</v>
      </c>
      <c r="D919" s="132" t="str">
        <f t="shared" si="66"/>
        <v>CIM Motor Mini CIM 15</v>
      </c>
      <c r="E919" s="132">
        <v>1</v>
      </c>
      <c r="I919" s="132">
        <v>0</v>
      </c>
    </row>
    <row r="920" spans="1:9" ht="14.25" customHeight="1" x14ac:dyDescent="0.25">
      <c r="A920" s="132" t="s">
        <v>246</v>
      </c>
      <c r="B920" s="132" t="s">
        <v>7</v>
      </c>
      <c r="C920" s="132">
        <v>16</v>
      </c>
      <c r="D920" s="132" t="str">
        <f t="shared" si="66"/>
        <v>CIM Motor Mini CIM 16</v>
      </c>
      <c r="E920" s="132">
        <v>1</v>
      </c>
      <c r="I920" s="132">
        <v>0</v>
      </c>
    </row>
    <row r="921" spans="1:9" ht="14.25" customHeight="1" x14ac:dyDescent="0.25">
      <c r="A921" s="132" t="s">
        <v>246</v>
      </c>
      <c r="B921" s="132" t="s">
        <v>7</v>
      </c>
      <c r="C921" s="132">
        <v>20</v>
      </c>
      <c r="D921" s="132" t="str">
        <f t="shared" si="66"/>
        <v>CIM Motor Mini CIM 20</v>
      </c>
      <c r="E921" s="132">
        <v>1</v>
      </c>
      <c r="I921" s="132">
        <v>0</v>
      </c>
    </row>
    <row r="922" spans="1:9" ht="14.25" customHeight="1" x14ac:dyDescent="0.25">
      <c r="A922" s="132" t="s">
        <v>246</v>
      </c>
      <c r="B922" s="132" t="s">
        <v>7</v>
      </c>
      <c r="C922" s="132">
        <v>21</v>
      </c>
      <c r="D922" s="132" t="str">
        <f t="shared" si="66"/>
        <v>CIM Motor Mini CIM 21</v>
      </c>
      <c r="E922" s="132">
        <v>0</v>
      </c>
      <c r="I922" s="132">
        <v>0</v>
      </c>
    </row>
    <row r="923" spans="1:9" ht="14.25" customHeight="1" x14ac:dyDescent="0.25">
      <c r="A923" s="132" t="s">
        <v>246</v>
      </c>
      <c r="B923" s="132" t="s">
        <v>7</v>
      </c>
      <c r="C923" s="132">
        <v>25</v>
      </c>
      <c r="D923" s="132" t="str">
        <f t="shared" si="66"/>
        <v>CIM Motor Mini CIM 25</v>
      </c>
      <c r="E923" s="132">
        <v>0</v>
      </c>
      <c r="I923" s="132">
        <v>0</v>
      </c>
    </row>
    <row r="924" spans="1:9" ht="14.25" customHeight="1" x14ac:dyDescent="0.25">
      <c r="A924" s="132" t="s">
        <v>246</v>
      </c>
      <c r="B924" s="132" t="s">
        <v>7</v>
      </c>
      <c r="C924" s="132">
        <v>27</v>
      </c>
      <c r="D924" s="132" t="str">
        <f t="shared" si="66"/>
        <v>CIM Motor Mini CIM 27</v>
      </c>
      <c r="E924" s="132">
        <v>0</v>
      </c>
      <c r="I924" s="132">
        <v>0</v>
      </c>
    </row>
    <row r="925" spans="1:9" ht="14.25" customHeight="1" x14ac:dyDescent="0.25">
      <c r="A925" s="132" t="s">
        <v>246</v>
      </c>
      <c r="B925" s="132" t="s">
        <v>7</v>
      </c>
      <c r="C925" s="132">
        <v>28</v>
      </c>
      <c r="D925" s="132" t="str">
        <f t="shared" si="66"/>
        <v>CIM Motor Mini CIM 28</v>
      </c>
      <c r="E925" s="132">
        <v>0</v>
      </c>
      <c r="I925" s="132">
        <v>0</v>
      </c>
    </row>
    <row r="926" spans="1:9" ht="14.25" customHeight="1" x14ac:dyDescent="0.25">
      <c r="A926" s="132" t="s">
        <v>246</v>
      </c>
      <c r="B926" s="132" t="s">
        <v>7</v>
      </c>
      <c r="C926" s="132">
        <v>30</v>
      </c>
      <c r="D926" s="132" t="str">
        <f t="shared" si="66"/>
        <v>CIM Motor Mini CIM 30</v>
      </c>
      <c r="E926" s="132">
        <v>0</v>
      </c>
      <c r="I926" s="132">
        <v>0</v>
      </c>
    </row>
    <row r="927" spans="1:9" ht="14.25" customHeight="1" x14ac:dyDescent="0.25">
      <c r="A927" s="132" t="s">
        <v>246</v>
      </c>
      <c r="B927" s="132" t="s">
        <v>7</v>
      </c>
      <c r="C927" s="132">
        <v>35</v>
      </c>
      <c r="D927" s="132" t="str">
        <f t="shared" si="66"/>
        <v>CIM Motor Mini CIM 35</v>
      </c>
      <c r="E927" s="132">
        <v>0</v>
      </c>
      <c r="I927" s="132">
        <v>0</v>
      </c>
    </row>
    <row r="928" spans="1:9" ht="14.25" customHeight="1" x14ac:dyDescent="0.25">
      <c r="A928" s="132" t="s">
        <v>246</v>
      </c>
      <c r="B928" s="132" t="s">
        <v>7</v>
      </c>
      <c r="C928" s="132">
        <v>36</v>
      </c>
      <c r="D928" s="132" t="str">
        <f t="shared" si="66"/>
        <v>CIM Motor Mini CIM 36</v>
      </c>
      <c r="E928" s="132">
        <v>0</v>
      </c>
      <c r="I928" s="132">
        <v>0</v>
      </c>
    </row>
    <row r="929" spans="1:9" ht="14.25" customHeight="1" x14ac:dyDescent="0.25">
      <c r="A929" s="132" t="s">
        <v>246</v>
      </c>
      <c r="B929" s="132" t="s">
        <v>7</v>
      </c>
      <c r="C929" s="132">
        <v>40</v>
      </c>
      <c r="D929" s="132" t="str">
        <f t="shared" si="66"/>
        <v>CIM Motor Mini CIM 40</v>
      </c>
      <c r="E929" s="132">
        <v>0</v>
      </c>
      <c r="I929" s="132">
        <v>0</v>
      </c>
    </row>
    <row r="930" spans="1:9" ht="14.25" customHeight="1" x14ac:dyDescent="0.25">
      <c r="A930" s="132" t="s">
        <v>246</v>
      </c>
      <c r="B930" s="132" t="s">
        <v>7</v>
      </c>
      <c r="C930" s="132">
        <v>45</v>
      </c>
      <c r="D930" s="132" t="str">
        <f t="shared" si="66"/>
        <v>CIM Motor Mini CIM 45</v>
      </c>
      <c r="E930" s="132">
        <v>0</v>
      </c>
      <c r="I930" s="132">
        <v>0</v>
      </c>
    </row>
    <row r="931" spans="1:9" ht="14.25" customHeight="1" x14ac:dyDescent="0.25">
      <c r="A931" s="132" t="s">
        <v>246</v>
      </c>
      <c r="B931" s="132" t="s">
        <v>7</v>
      </c>
      <c r="C931" s="132">
        <v>49</v>
      </c>
      <c r="D931" s="132" t="str">
        <f t="shared" si="66"/>
        <v>CIM Motor Mini CIM 49</v>
      </c>
      <c r="E931" s="132">
        <v>0</v>
      </c>
      <c r="I931" s="132">
        <v>0</v>
      </c>
    </row>
    <row r="932" spans="1:9" ht="14.25" customHeight="1" x14ac:dyDescent="0.25">
      <c r="A932" s="132" t="s">
        <v>246</v>
      </c>
      <c r="B932" s="132" t="s">
        <v>7</v>
      </c>
      <c r="C932" s="132">
        <v>50</v>
      </c>
      <c r="D932" s="132" t="str">
        <f t="shared" si="66"/>
        <v>CIM Motor Mini CIM 50</v>
      </c>
      <c r="E932" s="132">
        <v>0</v>
      </c>
      <c r="I932" s="132">
        <v>0</v>
      </c>
    </row>
    <row r="933" spans="1:9" ht="14.25" customHeight="1" x14ac:dyDescent="0.25">
      <c r="A933" s="132" t="s">
        <v>246</v>
      </c>
      <c r="B933" s="132" t="s">
        <v>7</v>
      </c>
      <c r="C933" s="132">
        <v>63</v>
      </c>
      <c r="D933" s="132" t="str">
        <f t="shared" si="66"/>
        <v>CIM Motor Mini CIM 63</v>
      </c>
      <c r="E933" s="132">
        <v>0</v>
      </c>
      <c r="I933" s="132">
        <v>0</v>
      </c>
    </row>
    <row r="934" spans="1:9" ht="14.25" customHeight="1" x14ac:dyDescent="0.25">
      <c r="A934" s="132" t="s">
        <v>246</v>
      </c>
      <c r="B934" s="132" t="s">
        <v>7</v>
      </c>
      <c r="C934" s="132">
        <v>70</v>
      </c>
      <c r="D934" s="132" t="str">
        <f t="shared" si="66"/>
        <v>CIM Motor Mini CIM 70</v>
      </c>
      <c r="E934" s="132">
        <v>0</v>
      </c>
      <c r="I934" s="132">
        <v>0</v>
      </c>
    </row>
    <row r="935" spans="1:9" ht="14.25" customHeight="1" x14ac:dyDescent="0.25">
      <c r="A935" s="132" t="s">
        <v>246</v>
      </c>
      <c r="B935" s="132" t="s">
        <v>7</v>
      </c>
      <c r="C935" s="132">
        <v>81</v>
      </c>
      <c r="D935" s="132" t="str">
        <f t="shared" si="66"/>
        <v>CIM Motor Mini CIM 81</v>
      </c>
      <c r="E935" s="132">
        <v>0</v>
      </c>
      <c r="I935" s="132">
        <v>0</v>
      </c>
    </row>
    <row r="936" spans="1:9" ht="14.25" customHeight="1" x14ac:dyDescent="0.25">
      <c r="A936" s="132" t="s">
        <v>246</v>
      </c>
      <c r="B936" s="132" t="s">
        <v>7</v>
      </c>
      <c r="C936" s="132">
        <v>90</v>
      </c>
      <c r="D936" s="132" t="str">
        <f t="shared" si="66"/>
        <v>CIM Motor Mini CIM 90</v>
      </c>
      <c r="E936" s="132">
        <v>0</v>
      </c>
      <c r="I936" s="132">
        <v>0</v>
      </c>
    </row>
    <row r="937" spans="1:9" ht="14.25" customHeight="1" x14ac:dyDescent="0.25">
      <c r="A937" s="132" t="s">
        <v>246</v>
      </c>
      <c r="B937" s="132" t="s">
        <v>7</v>
      </c>
      <c r="C937" s="132">
        <v>100</v>
      </c>
      <c r="D937" s="132" t="str">
        <f t="shared" si="66"/>
        <v>CIM Motor Mini CIM 100</v>
      </c>
      <c r="E937" s="132">
        <v>0</v>
      </c>
      <c r="I937" s="132">
        <v>0</v>
      </c>
    </row>
    <row r="938" spans="1:9" ht="14.25" customHeight="1" x14ac:dyDescent="0.25">
      <c r="A938" s="132" t="s">
        <v>246</v>
      </c>
      <c r="B938" s="132" t="s">
        <v>6</v>
      </c>
      <c r="C938" s="132">
        <v>-3</v>
      </c>
      <c r="D938" s="132" t="str">
        <f t="shared" ref="D938:D943" si="67">A938&amp;" "&amp;B938&amp;" "&amp;C938</f>
        <v>CIM Motor CIM -3</v>
      </c>
      <c r="E938" s="132">
        <v>1</v>
      </c>
      <c r="I938" s="132">
        <v>0</v>
      </c>
    </row>
    <row r="939" spans="1:9" ht="14.25" customHeight="1" x14ac:dyDescent="0.25">
      <c r="A939" s="132" t="s">
        <v>246</v>
      </c>
      <c r="B939" s="132" t="s">
        <v>6</v>
      </c>
      <c r="C939" s="132">
        <v>-4</v>
      </c>
      <c r="D939" s="132" t="str">
        <f t="shared" si="67"/>
        <v>CIM Motor CIM -4</v>
      </c>
      <c r="E939" s="132">
        <v>1</v>
      </c>
      <c r="I939" s="132">
        <v>0</v>
      </c>
    </row>
    <row r="940" spans="1:9" ht="14.25" customHeight="1" x14ac:dyDescent="0.25">
      <c r="A940" s="132" t="s">
        <v>246</v>
      </c>
      <c r="B940" s="132" t="s">
        <v>6</v>
      </c>
      <c r="C940" s="132">
        <v>-5</v>
      </c>
      <c r="D940" s="132" t="str">
        <f t="shared" si="67"/>
        <v>CIM Motor CIM -5</v>
      </c>
      <c r="E940" s="132">
        <v>1</v>
      </c>
      <c r="I940" s="132">
        <v>0</v>
      </c>
    </row>
    <row r="941" spans="1:9" ht="14.25" customHeight="1" x14ac:dyDescent="0.25">
      <c r="A941" s="132" t="s">
        <v>246</v>
      </c>
      <c r="B941" s="132" t="s">
        <v>6</v>
      </c>
      <c r="C941" s="132">
        <v>-7</v>
      </c>
      <c r="D941" s="132" t="str">
        <f t="shared" si="67"/>
        <v>CIM Motor CIM -7</v>
      </c>
      <c r="E941" s="132">
        <v>1</v>
      </c>
      <c r="I941" s="132">
        <v>0</v>
      </c>
    </row>
    <row r="942" spans="1:9" ht="14.25" customHeight="1" x14ac:dyDescent="0.25">
      <c r="A942" s="132" t="s">
        <v>246</v>
      </c>
      <c r="B942" s="132" t="s">
        <v>6</v>
      </c>
      <c r="C942" s="132">
        <v>-9</v>
      </c>
      <c r="D942" s="132" t="str">
        <f t="shared" si="67"/>
        <v>CIM Motor CIM -9</v>
      </c>
      <c r="E942" s="132">
        <v>1</v>
      </c>
      <c r="I942" s="132">
        <v>0</v>
      </c>
    </row>
    <row r="943" spans="1:9" ht="14.25" customHeight="1" x14ac:dyDescent="0.25">
      <c r="A943" s="132" t="s">
        <v>246</v>
      </c>
      <c r="B943" s="132" t="s">
        <v>6</v>
      </c>
      <c r="C943" s="132">
        <v>-10</v>
      </c>
      <c r="D943" s="132" t="str">
        <f t="shared" si="67"/>
        <v>CIM Motor CIM -10</v>
      </c>
      <c r="E943" s="132">
        <v>1</v>
      </c>
      <c r="I943" s="132">
        <v>0</v>
      </c>
    </row>
    <row r="944" spans="1:9" ht="14.25" customHeight="1" x14ac:dyDescent="0.25">
      <c r="A944" s="132" t="s">
        <v>246</v>
      </c>
      <c r="B944" s="132" t="s">
        <v>6</v>
      </c>
      <c r="C944" s="132">
        <v>9</v>
      </c>
      <c r="D944" s="132" t="str">
        <f t="shared" ref="D944:D964" si="68">A944&amp;" "&amp;B944&amp;" "&amp;C944</f>
        <v>CIM Motor CIM 9</v>
      </c>
      <c r="E944" s="132">
        <v>1</v>
      </c>
      <c r="I944" s="132">
        <v>0</v>
      </c>
    </row>
    <row r="945" spans="1:9" ht="14.25" customHeight="1" x14ac:dyDescent="0.25">
      <c r="A945" s="132" t="s">
        <v>246</v>
      </c>
      <c r="B945" s="132" t="s">
        <v>6</v>
      </c>
      <c r="C945" s="132">
        <v>12</v>
      </c>
      <c r="D945" s="132" t="str">
        <f t="shared" si="68"/>
        <v>CIM Motor CIM 12</v>
      </c>
      <c r="E945" s="132">
        <v>0</v>
      </c>
      <c r="I945" s="132">
        <v>0</v>
      </c>
    </row>
    <row r="946" spans="1:9" ht="14.25" customHeight="1" x14ac:dyDescent="0.25">
      <c r="A946" s="132" t="s">
        <v>246</v>
      </c>
      <c r="B946" s="132" t="s">
        <v>6</v>
      </c>
      <c r="C946" s="132">
        <v>15</v>
      </c>
      <c r="D946" s="132" t="str">
        <f t="shared" si="68"/>
        <v>CIM Motor CIM 15</v>
      </c>
      <c r="E946" s="132">
        <v>0</v>
      </c>
      <c r="I946" s="132">
        <v>0</v>
      </c>
    </row>
    <row r="947" spans="1:9" ht="14.25" customHeight="1" x14ac:dyDescent="0.25">
      <c r="A947" s="132" t="s">
        <v>246</v>
      </c>
      <c r="B947" s="132" t="s">
        <v>6</v>
      </c>
      <c r="C947" s="132">
        <v>16</v>
      </c>
      <c r="D947" s="132" t="str">
        <f t="shared" si="68"/>
        <v>CIM Motor CIM 16</v>
      </c>
      <c r="E947" s="132">
        <v>0</v>
      </c>
      <c r="I947" s="132">
        <v>0</v>
      </c>
    </row>
    <row r="948" spans="1:9" ht="14.25" customHeight="1" x14ac:dyDescent="0.25">
      <c r="A948" s="132" t="s">
        <v>246</v>
      </c>
      <c r="B948" s="132" t="s">
        <v>6</v>
      </c>
      <c r="C948" s="132">
        <v>20</v>
      </c>
      <c r="D948" s="132" t="str">
        <f t="shared" si="68"/>
        <v>CIM Motor CIM 20</v>
      </c>
      <c r="E948" s="132">
        <v>0</v>
      </c>
      <c r="I948" s="132">
        <v>0</v>
      </c>
    </row>
    <row r="949" spans="1:9" ht="14.25" customHeight="1" x14ac:dyDescent="0.25">
      <c r="A949" s="132" t="s">
        <v>246</v>
      </c>
      <c r="B949" s="132" t="s">
        <v>6</v>
      </c>
      <c r="C949" s="132">
        <v>21</v>
      </c>
      <c r="D949" s="132" t="str">
        <f t="shared" si="68"/>
        <v>CIM Motor CIM 21</v>
      </c>
      <c r="E949" s="132">
        <v>0</v>
      </c>
      <c r="I949" s="132">
        <v>0</v>
      </c>
    </row>
    <row r="950" spans="1:9" ht="14.25" customHeight="1" x14ac:dyDescent="0.25">
      <c r="A950" s="132" t="s">
        <v>246</v>
      </c>
      <c r="B950" s="132" t="s">
        <v>6</v>
      </c>
      <c r="C950" s="132">
        <v>25</v>
      </c>
      <c r="D950" s="132" t="str">
        <f t="shared" si="68"/>
        <v>CIM Motor CIM 25</v>
      </c>
      <c r="E950" s="132">
        <v>0</v>
      </c>
      <c r="I950" s="132">
        <v>0</v>
      </c>
    </row>
    <row r="951" spans="1:9" ht="14.25" customHeight="1" x14ac:dyDescent="0.25">
      <c r="A951" s="132" t="s">
        <v>246</v>
      </c>
      <c r="B951" s="132" t="s">
        <v>6</v>
      </c>
      <c r="C951" s="132">
        <v>27</v>
      </c>
      <c r="D951" s="132" t="str">
        <f t="shared" si="68"/>
        <v>CIM Motor CIM 27</v>
      </c>
      <c r="E951" s="132">
        <v>0</v>
      </c>
      <c r="I951" s="132">
        <v>0</v>
      </c>
    </row>
    <row r="952" spans="1:9" ht="14.25" customHeight="1" x14ac:dyDescent="0.25">
      <c r="A952" s="132" t="s">
        <v>246</v>
      </c>
      <c r="B952" s="132" t="s">
        <v>6</v>
      </c>
      <c r="C952" s="132">
        <v>28</v>
      </c>
      <c r="D952" s="132" t="str">
        <f t="shared" si="68"/>
        <v>CIM Motor CIM 28</v>
      </c>
      <c r="E952" s="132">
        <v>0</v>
      </c>
      <c r="I952" s="132">
        <v>0</v>
      </c>
    </row>
    <row r="953" spans="1:9" ht="14.25" customHeight="1" x14ac:dyDescent="0.25">
      <c r="A953" s="132" t="s">
        <v>246</v>
      </c>
      <c r="B953" s="132" t="s">
        <v>6</v>
      </c>
      <c r="C953" s="132">
        <v>30</v>
      </c>
      <c r="D953" s="132" t="str">
        <f t="shared" si="68"/>
        <v>CIM Motor CIM 30</v>
      </c>
      <c r="E953" s="132">
        <v>0</v>
      </c>
      <c r="I953" s="132">
        <v>0</v>
      </c>
    </row>
    <row r="954" spans="1:9" ht="14.25" customHeight="1" x14ac:dyDescent="0.25">
      <c r="A954" s="132" t="s">
        <v>246</v>
      </c>
      <c r="B954" s="132" t="s">
        <v>6</v>
      </c>
      <c r="C954" s="132">
        <v>35</v>
      </c>
      <c r="D954" s="132" t="str">
        <f t="shared" si="68"/>
        <v>CIM Motor CIM 35</v>
      </c>
      <c r="E954" s="132">
        <v>0</v>
      </c>
      <c r="I954" s="132">
        <v>0</v>
      </c>
    </row>
    <row r="955" spans="1:9" ht="14.25" customHeight="1" x14ac:dyDescent="0.25">
      <c r="A955" s="132" t="s">
        <v>246</v>
      </c>
      <c r="B955" s="132" t="s">
        <v>6</v>
      </c>
      <c r="C955" s="132">
        <v>36</v>
      </c>
      <c r="D955" s="132" t="str">
        <f t="shared" si="68"/>
        <v>CIM Motor CIM 36</v>
      </c>
      <c r="E955" s="132">
        <v>0</v>
      </c>
      <c r="I955" s="132">
        <v>0</v>
      </c>
    </row>
    <row r="956" spans="1:9" ht="14.25" customHeight="1" x14ac:dyDescent="0.25">
      <c r="A956" s="132" t="s">
        <v>246</v>
      </c>
      <c r="B956" s="132" t="s">
        <v>6</v>
      </c>
      <c r="C956" s="132">
        <v>40</v>
      </c>
      <c r="D956" s="132" t="str">
        <f t="shared" si="68"/>
        <v>CIM Motor CIM 40</v>
      </c>
      <c r="E956" s="132">
        <v>0</v>
      </c>
      <c r="I956" s="132">
        <v>0</v>
      </c>
    </row>
    <row r="957" spans="1:9" ht="14.25" customHeight="1" x14ac:dyDescent="0.25">
      <c r="A957" s="132" t="s">
        <v>246</v>
      </c>
      <c r="B957" s="132" t="s">
        <v>6</v>
      </c>
      <c r="C957" s="132">
        <v>45</v>
      </c>
      <c r="D957" s="132" t="str">
        <f t="shared" si="68"/>
        <v>CIM Motor CIM 45</v>
      </c>
      <c r="E957" s="132">
        <v>0</v>
      </c>
      <c r="I957" s="132">
        <v>0</v>
      </c>
    </row>
    <row r="958" spans="1:9" ht="14.25" customHeight="1" x14ac:dyDescent="0.25">
      <c r="A958" s="132" t="s">
        <v>246</v>
      </c>
      <c r="B958" s="132" t="s">
        <v>6</v>
      </c>
      <c r="C958" s="132">
        <v>49</v>
      </c>
      <c r="D958" s="132" t="str">
        <f t="shared" si="68"/>
        <v>CIM Motor CIM 49</v>
      </c>
      <c r="E958" s="132">
        <v>0</v>
      </c>
      <c r="I958" s="132">
        <v>0</v>
      </c>
    </row>
    <row r="959" spans="1:9" ht="14.25" customHeight="1" x14ac:dyDescent="0.25">
      <c r="A959" s="132" t="s">
        <v>246</v>
      </c>
      <c r="B959" s="132" t="s">
        <v>6</v>
      </c>
      <c r="C959" s="132">
        <v>50</v>
      </c>
      <c r="D959" s="132" t="str">
        <f t="shared" si="68"/>
        <v>CIM Motor CIM 50</v>
      </c>
      <c r="E959" s="132">
        <v>0</v>
      </c>
      <c r="I959" s="132">
        <v>0</v>
      </c>
    </row>
    <row r="960" spans="1:9" ht="14.25" customHeight="1" x14ac:dyDescent="0.25">
      <c r="A960" s="132" t="s">
        <v>246</v>
      </c>
      <c r="B960" s="132" t="s">
        <v>6</v>
      </c>
      <c r="C960" s="132">
        <v>63</v>
      </c>
      <c r="D960" s="132" t="str">
        <f t="shared" si="68"/>
        <v>CIM Motor CIM 63</v>
      </c>
      <c r="E960" s="132">
        <v>0</v>
      </c>
      <c r="I960" s="132">
        <v>0</v>
      </c>
    </row>
    <row r="961" spans="1:9" ht="14.25" customHeight="1" x14ac:dyDescent="0.25">
      <c r="A961" s="132" t="s">
        <v>246</v>
      </c>
      <c r="B961" s="132" t="s">
        <v>6</v>
      </c>
      <c r="C961" s="132">
        <v>70</v>
      </c>
      <c r="D961" s="132" t="str">
        <f t="shared" si="68"/>
        <v>CIM Motor CIM 70</v>
      </c>
      <c r="E961" s="132">
        <v>0</v>
      </c>
      <c r="I961" s="132">
        <v>0</v>
      </c>
    </row>
    <row r="962" spans="1:9" ht="14.25" customHeight="1" x14ac:dyDescent="0.25">
      <c r="A962" s="132" t="s">
        <v>246</v>
      </c>
      <c r="B962" s="132" t="s">
        <v>6</v>
      </c>
      <c r="C962" s="132">
        <v>81</v>
      </c>
      <c r="D962" s="132" t="str">
        <f t="shared" si="68"/>
        <v>CIM Motor CIM 81</v>
      </c>
      <c r="E962" s="132">
        <v>0</v>
      </c>
      <c r="I962" s="132">
        <v>0</v>
      </c>
    </row>
    <row r="963" spans="1:9" ht="14.25" customHeight="1" x14ac:dyDescent="0.25">
      <c r="A963" s="132" t="s">
        <v>246</v>
      </c>
      <c r="B963" s="132" t="s">
        <v>6</v>
      </c>
      <c r="C963" s="132">
        <v>90</v>
      </c>
      <c r="D963" s="132" t="str">
        <f t="shared" si="68"/>
        <v>CIM Motor CIM 90</v>
      </c>
      <c r="E963" s="132">
        <v>0</v>
      </c>
      <c r="I963" s="132">
        <v>0</v>
      </c>
    </row>
    <row r="964" spans="1:9" ht="14.25" customHeight="1" x14ac:dyDescent="0.25">
      <c r="A964" s="132" t="s">
        <v>246</v>
      </c>
      <c r="B964" s="132" t="s">
        <v>6</v>
      </c>
      <c r="C964" s="132">
        <v>100</v>
      </c>
      <c r="D964" s="132" t="str">
        <f t="shared" si="68"/>
        <v>CIM Motor CIM 100</v>
      </c>
      <c r="E964" s="132">
        <v>0</v>
      </c>
      <c r="I964" s="132">
        <v>0</v>
      </c>
    </row>
    <row r="965" spans="1:9" ht="14.25" customHeight="1" x14ac:dyDescent="0.25">
      <c r="A965" s="132" t="s">
        <v>246</v>
      </c>
      <c r="B965" s="132" t="s">
        <v>9</v>
      </c>
      <c r="C965" s="132">
        <v>-3</v>
      </c>
      <c r="D965" s="132" t="str">
        <f t="shared" ref="D965:D970" si="69">A965&amp;" "&amp;B965&amp;" "&amp;C965</f>
        <v>CIM Motor NEO -3</v>
      </c>
      <c r="E965" s="132">
        <v>1</v>
      </c>
      <c r="I965" s="132">
        <v>0</v>
      </c>
    </row>
    <row r="966" spans="1:9" ht="14.25" customHeight="1" x14ac:dyDescent="0.25">
      <c r="A966" s="132" t="s">
        <v>246</v>
      </c>
      <c r="B966" s="132" t="s">
        <v>9</v>
      </c>
      <c r="C966" s="132">
        <v>-4</v>
      </c>
      <c r="D966" s="132" t="str">
        <f t="shared" si="69"/>
        <v>CIM Motor NEO -4</v>
      </c>
      <c r="E966" s="132">
        <v>1</v>
      </c>
      <c r="I966" s="132">
        <v>0</v>
      </c>
    </row>
    <row r="967" spans="1:9" ht="14.25" customHeight="1" x14ac:dyDescent="0.25">
      <c r="A967" s="132" t="s">
        <v>246</v>
      </c>
      <c r="B967" s="132" t="s">
        <v>9</v>
      </c>
      <c r="C967" s="132">
        <v>-5</v>
      </c>
      <c r="D967" s="132" t="str">
        <f t="shared" si="69"/>
        <v>CIM Motor NEO -5</v>
      </c>
      <c r="E967" s="132">
        <v>1</v>
      </c>
      <c r="I967" s="132">
        <v>0</v>
      </c>
    </row>
    <row r="968" spans="1:9" ht="14.25" customHeight="1" x14ac:dyDescent="0.25">
      <c r="A968" s="132" t="s">
        <v>246</v>
      </c>
      <c r="B968" s="132" t="s">
        <v>9</v>
      </c>
      <c r="C968" s="132">
        <v>-7</v>
      </c>
      <c r="D968" s="132" t="str">
        <f t="shared" si="69"/>
        <v>CIM Motor NEO -7</v>
      </c>
      <c r="E968" s="132">
        <v>1</v>
      </c>
      <c r="I968" s="132">
        <v>0</v>
      </c>
    </row>
    <row r="969" spans="1:9" ht="14.25" customHeight="1" x14ac:dyDescent="0.25">
      <c r="A969" s="132" t="s">
        <v>246</v>
      </c>
      <c r="B969" s="132" t="s">
        <v>9</v>
      </c>
      <c r="C969" s="132">
        <v>-9</v>
      </c>
      <c r="D969" s="132" t="str">
        <f t="shared" si="69"/>
        <v>CIM Motor NEO -9</v>
      </c>
      <c r="E969" s="132">
        <v>1</v>
      </c>
      <c r="I969" s="132">
        <v>0</v>
      </c>
    </row>
    <row r="970" spans="1:9" ht="14.25" customHeight="1" x14ac:dyDescent="0.25">
      <c r="A970" s="132" t="s">
        <v>246</v>
      </c>
      <c r="B970" s="132" t="s">
        <v>9</v>
      </c>
      <c r="C970" s="132">
        <v>-10</v>
      </c>
      <c r="D970" s="132" t="str">
        <f t="shared" si="69"/>
        <v>CIM Motor NEO -10</v>
      </c>
      <c r="E970" s="132">
        <v>1</v>
      </c>
      <c r="I970" s="132">
        <v>0</v>
      </c>
    </row>
    <row r="971" spans="1:9" ht="14.25" customHeight="1" x14ac:dyDescent="0.25">
      <c r="A971" s="132" t="s">
        <v>246</v>
      </c>
      <c r="B971" s="132" t="s">
        <v>9</v>
      </c>
      <c r="C971" s="132">
        <v>9</v>
      </c>
      <c r="D971" s="132" t="str">
        <f t="shared" ref="D971:D991" si="70">A971&amp;" "&amp;B971&amp;" "&amp;C971</f>
        <v>CIM Motor NEO 9</v>
      </c>
      <c r="E971" s="132">
        <v>0</v>
      </c>
      <c r="I971" s="132">
        <v>0</v>
      </c>
    </row>
    <row r="972" spans="1:9" ht="14.25" customHeight="1" x14ac:dyDescent="0.25">
      <c r="A972" s="132" t="s">
        <v>246</v>
      </c>
      <c r="B972" s="132" t="s">
        <v>9</v>
      </c>
      <c r="C972" s="132">
        <v>12</v>
      </c>
      <c r="D972" s="132" t="str">
        <f t="shared" si="70"/>
        <v>CIM Motor NEO 12</v>
      </c>
      <c r="E972" s="132">
        <v>0</v>
      </c>
      <c r="I972" s="132">
        <v>0</v>
      </c>
    </row>
    <row r="973" spans="1:9" ht="14.25" customHeight="1" x14ac:dyDescent="0.25">
      <c r="A973" s="132" t="s">
        <v>246</v>
      </c>
      <c r="B973" s="132" t="s">
        <v>9</v>
      </c>
      <c r="C973" s="132">
        <v>15</v>
      </c>
      <c r="D973" s="132" t="str">
        <f t="shared" si="70"/>
        <v>CIM Motor NEO 15</v>
      </c>
      <c r="E973" s="132">
        <v>0</v>
      </c>
      <c r="I973" s="132">
        <v>0</v>
      </c>
    </row>
    <row r="974" spans="1:9" ht="14.25" customHeight="1" x14ac:dyDescent="0.25">
      <c r="A974" s="132" t="s">
        <v>246</v>
      </c>
      <c r="B974" s="132" t="s">
        <v>9</v>
      </c>
      <c r="C974" s="132">
        <v>16</v>
      </c>
      <c r="D974" s="132" t="str">
        <f t="shared" si="70"/>
        <v>CIM Motor NEO 16</v>
      </c>
      <c r="E974" s="132">
        <v>0</v>
      </c>
      <c r="I974" s="132">
        <v>0</v>
      </c>
    </row>
    <row r="975" spans="1:9" ht="14.25" customHeight="1" x14ac:dyDescent="0.25">
      <c r="A975" s="132" t="s">
        <v>246</v>
      </c>
      <c r="B975" s="132" t="s">
        <v>9</v>
      </c>
      <c r="C975" s="132">
        <v>20</v>
      </c>
      <c r="D975" s="132" t="str">
        <f t="shared" si="70"/>
        <v>CIM Motor NEO 20</v>
      </c>
      <c r="E975" s="132">
        <v>0</v>
      </c>
      <c r="I975" s="132">
        <v>0</v>
      </c>
    </row>
    <row r="976" spans="1:9" ht="14.25" customHeight="1" x14ac:dyDescent="0.25">
      <c r="A976" s="132" t="s">
        <v>246</v>
      </c>
      <c r="B976" s="132" t="s">
        <v>9</v>
      </c>
      <c r="C976" s="132">
        <v>21</v>
      </c>
      <c r="D976" s="132" t="str">
        <f t="shared" si="70"/>
        <v>CIM Motor NEO 21</v>
      </c>
      <c r="E976" s="132">
        <v>0</v>
      </c>
      <c r="I976" s="132">
        <v>0</v>
      </c>
    </row>
    <row r="977" spans="1:9" ht="14.25" customHeight="1" x14ac:dyDescent="0.25">
      <c r="A977" s="132" t="s">
        <v>246</v>
      </c>
      <c r="B977" s="132" t="s">
        <v>9</v>
      </c>
      <c r="C977" s="132">
        <v>25</v>
      </c>
      <c r="D977" s="132" t="str">
        <f t="shared" si="70"/>
        <v>CIM Motor NEO 25</v>
      </c>
      <c r="E977" s="132">
        <v>0</v>
      </c>
      <c r="I977" s="132">
        <v>0</v>
      </c>
    </row>
    <row r="978" spans="1:9" ht="14.25" customHeight="1" x14ac:dyDescent="0.25">
      <c r="A978" s="132" t="s">
        <v>246</v>
      </c>
      <c r="B978" s="132" t="s">
        <v>9</v>
      </c>
      <c r="C978" s="132">
        <v>27</v>
      </c>
      <c r="D978" s="132" t="str">
        <f t="shared" si="70"/>
        <v>CIM Motor NEO 27</v>
      </c>
      <c r="E978" s="132">
        <v>0</v>
      </c>
      <c r="I978" s="132">
        <v>0</v>
      </c>
    </row>
    <row r="979" spans="1:9" ht="14.25" customHeight="1" x14ac:dyDescent="0.25">
      <c r="A979" s="132" t="s">
        <v>246</v>
      </c>
      <c r="B979" s="132" t="s">
        <v>9</v>
      </c>
      <c r="C979" s="132">
        <v>28</v>
      </c>
      <c r="D979" s="132" t="str">
        <f t="shared" si="70"/>
        <v>CIM Motor NEO 28</v>
      </c>
      <c r="E979" s="132">
        <v>0</v>
      </c>
      <c r="I979" s="132">
        <v>0</v>
      </c>
    </row>
    <row r="980" spans="1:9" ht="14.25" customHeight="1" x14ac:dyDescent="0.25">
      <c r="A980" s="132" t="s">
        <v>246</v>
      </c>
      <c r="B980" s="132" t="s">
        <v>9</v>
      </c>
      <c r="C980" s="132">
        <v>30</v>
      </c>
      <c r="D980" s="132" t="str">
        <f t="shared" si="70"/>
        <v>CIM Motor NEO 30</v>
      </c>
      <c r="E980" s="132">
        <v>0</v>
      </c>
      <c r="I980" s="132">
        <v>0</v>
      </c>
    </row>
    <row r="981" spans="1:9" ht="14.25" customHeight="1" x14ac:dyDescent="0.25">
      <c r="A981" s="132" t="s">
        <v>246</v>
      </c>
      <c r="B981" s="132" t="s">
        <v>9</v>
      </c>
      <c r="C981" s="132">
        <v>35</v>
      </c>
      <c r="D981" s="132" t="str">
        <f t="shared" si="70"/>
        <v>CIM Motor NEO 35</v>
      </c>
      <c r="E981" s="132">
        <v>0</v>
      </c>
      <c r="I981" s="132">
        <v>0</v>
      </c>
    </row>
    <row r="982" spans="1:9" ht="14.25" customHeight="1" x14ac:dyDescent="0.25">
      <c r="A982" s="132" t="s">
        <v>246</v>
      </c>
      <c r="B982" s="132" t="s">
        <v>9</v>
      </c>
      <c r="C982" s="132">
        <v>36</v>
      </c>
      <c r="D982" s="132" t="str">
        <f t="shared" si="70"/>
        <v>CIM Motor NEO 36</v>
      </c>
      <c r="E982" s="132">
        <v>0</v>
      </c>
      <c r="I982" s="132">
        <v>0</v>
      </c>
    </row>
    <row r="983" spans="1:9" ht="14.25" customHeight="1" x14ac:dyDescent="0.25">
      <c r="A983" s="132" t="s">
        <v>246</v>
      </c>
      <c r="B983" s="132" t="s">
        <v>9</v>
      </c>
      <c r="C983" s="132">
        <v>40</v>
      </c>
      <c r="D983" s="132" t="str">
        <f t="shared" si="70"/>
        <v>CIM Motor NEO 40</v>
      </c>
      <c r="E983" s="132">
        <v>0</v>
      </c>
      <c r="I983" s="132">
        <v>0</v>
      </c>
    </row>
    <row r="984" spans="1:9" ht="14.25" customHeight="1" x14ac:dyDescent="0.25">
      <c r="A984" s="132" t="s">
        <v>246</v>
      </c>
      <c r="B984" s="132" t="s">
        <v>9</v>
      </c>
      <c r="C984" s="132">
        <v>45</v>
      </c>
      <c r="D984" s="132" t="str">
        <f t="shared" si="70"/>
        <v>CIM Motor NEO 45</v>
      </c>
      <c r="E984" s="132">
        <v>0</v>
      </c>
      <c r="I984" s="132">
        <v>0</v>
      </c>
    </row>
    <row r="985" spans="1:9" ht="14.25" customHeight="1" x14ac:dyDescent="0.25">
      <c r="A985" s="132" t="s">
        <v>246</v>
      </c>
      <c r="B985" s="132" t="s">
        <v>9</v>
      </c>
      <c r="C985" s="132">
        <v>49</v>
      </c>
      <c r="D985" s="132" t="str">
        <f t="shared" si="70"/>
        <v>CIM Motor NEO 49</v>
      </c>
      <c r="E985" s="132">
        <v>0</v>
      </c>
      <c r="I985" s="132">
        <v>0</v>
      </c>
    </row>
    <row r="986" spans="1:9" ht="14.25" customHeight="1" x14ac:dyDescent="0.25">
      <c r="A986" s="132" t="s">
        <v>246</v>
      </c>
      <c r="B986" s="132" t="s">
        <v>9</v>
      </c>
      <c r="C986" s="132">
        <v>50</v>
      </c>
      <c r="D986" s="132" t="str">
        <f t="shared" si="70"/>
        <v>CIM Motor NEO 50</v>
      </c>
      <c r="E986" s="132">
        <v>0</v>
      </c>
      <c r="I986" s="132">
        <v>0</v>
      </c>
    </row>
    <row r="987" spans="1:9" ht="14.25" customHeight="1" x14ac:dyDescent="0.25">
      <c r="A987" s="132" t="s">
        <v>246</v>
      </c>
      <c r="B987" s="132" t="s">
        <v>9</v>
      </c>
      <c r="C987" s="132">
        <v>63</v>
      </c>
      <c r="D987" s="132" t="str">
        <f t="shared" si="70"/>
        <v>CIM Motor NEO 63</v>
      </c>
      <c r="E987" s="132">
        <v>0</v>
      </c>
      <c r="I987" s="132">
        <v>0</v>
      </c>
    </row>
    <row r="988" spans="1:9" ht="14.25" customHeight="1" x14ac:dyDescent="0.25">
      <c r="A988" s="132" t="s">
        <v>246</v>
      </c>
      <c r="B988" s="132" t="s">
        <v>9</v>
      </c>
      <c r="C988" s="132">
        <v>70</v>
      </c>
      <c r="D988" s="132" t="str">
        <f t="shared" si="70"/>
        <v>CIM Motor NEO 70</v>
      </c>
      <c r="E988" s="132">
        <v>0</v>
      </c>
      <c r="I988" s="132">
        <v>0</v>
      </c>
    </row>
    <row r="989" spans="1:9" ht="14.25" customHeight="1" x14ac:dyDescent="0.25">
      <c r="A989" s="132" t="s">
        <v>246</v>
      </c>
      <c r="B989" s="132" t="s">
        <v>9</v>
      </c>
      <c r="C989" s="132">
        <v>81</v>
      </c>
      <c r="D989" s="132" t="str">
        <f t="shared" si="70"/>
        <v>CIM Motor NEO 81</v>
      </c>
      <c r="E989" s="132">
        <v>0</v>
      </c>
      <c r="I989" s="132">
        <v>0</v>
      </c>
    </row>
    <row r="990" spans="1:9" ht="14.25" customHeight="1" x14ac:dyDescent="0.25">
      <c r="A990" s="132" t="s">
        <v>246</v>
      </c>
      <c r="B990" s="132" t="s">
        <v>9</v>
      </c>
      <c r="C990" s="132">
        <v>90</v>
      </c>
      <c r="D990" s="132" t="str">
        <f t="shared" si="70"/>
        <v>CIM Motor NEO 90</v>
      </c>
      <c r="E990" s="132">
        <v>0</v>
      </c>
      <c r="I990" s="132">
        <v>0</v>
      </c>
    </row>
    <row r="991" spans="1:9" ht="14.25" customHeight="1" x14ac:dyDescent="0.25">
      <c r="A991" s="132" t="s">
        <v>246</v>
      </c>
      <c r="B991" s="132" t="s">
        <v>9</v>
      </c>
      <c r="C991" s="132">
        <v>100</v>
      </c>
      <c r="D991" s="132" t="str">
        <f t="shared" si="70"/>
        <v>CIM Motor NEO 100</v>
      </c>
      <c r="E991" s="132">
        <v>0</v>
      </c>
      <c r="I991" s="132">
        <v>0</v>
      </c>
    </row>
    <row r="992" spans="1:9" ht="14.25" customHeight="1" x14ac:dyDescent="0.25">
      <c r="A992" s="132" t="s">
        <v>246</v>
      </c>
      <c r="B992" s="132" t="s">
        <v>333</v>
      </c>
      <c r="C992" s="132">
        <v>-3</v>
      </c>
      <c r="D992" s="132" t="str">
        <f t="shared" ref="D992:D997" si="71">A992&amp;" "&amp;B992&amp;" "&amp;C992</f>
        <v>CIM Motor Falcon 500 -3</v>
      </c>
      <c r="E992" s="132">
        <v>1</v>
      </c>
      <c r="I992" s="132">
        <v>0</v>
      </c>
    </row>
    <row r="993" spans="1:9" ht="14.25" customHeight="1" x14ac:dyDescent="0.25">
      <c r="A993" s="132" t="s">
        <v>246</v>
      </c>
      <c r="B993" s="132" t="s">
        <v>333</v>
      </c>
      <c r="C993" s="132">
        <v>-4</v>
      </c>
      <c r="D993" s="132" t="str">
        <f t="shared" si="71"/>
        <v>CIM Motor Falcon 500 -4</v>
      </c>
      <c r="E993" s="132">
        <v>1</v>
      </c>
      <c r="I993" s="132">
        <v>0</v>
      </c>
    </row>
    <row r="994" spans="1:9" ht="14.25" customHeight="1" x14ac:dyDescent="0.25">
      <c r="A994" s="132" t="s">
        <v>246</v>
      </c>
      <c r="B994" s="132" t="s">
        <v>333</v>
      </c>
      <c r="C994" s="132">
        <v>-5</v>
      </c>
      <c r="D994" s="132" t="str">
        <f t="shared" si="71"/>
        <v>CIM Motor Falcon 500 -5</v>
      </c>
      <c r="E994" s="132">
        <v>1</v>
      </c>
      <c r="I994" s="132">
        <v>0</v>
      </c>
    </row>
    <row r="995" spans="1:9" ht="14.25" customHeight="1" x14ac:dyDescent="0.25">
      <c r="A995" s="132" t="s">
        <v>246</v>
      </c>
      <c r="B995" s="132" t="s">
        <v>333</v>
      </c>
      <c r="C995" s="132">
        <v>-7</v>
      </c>
      <c r="D995" s="132" t="str">
        <f t="shared" si="71"/>
        <v>CIM Motor Falcon 500 -7</v>
      </c>
      <c r="E995" s="132">
        <v>1</v>
      </c>
      <c r="I995" s="132">
        <v>0</v>
      </c>
    </row>
    <row r="996" spans="1:9" ht="14.25" customHeight="1" x14ac:dyDescent="0.25">
      <c r="A996" s="132" t="s">
        <v>246</v>
      </c>
      <c r="B996" s="132" t="s">
        <v>333</v>
      </c>
      <c r="C996" s="132">
        <v>-9</v>
      </c>
      <c r="D996" s="132" t="str">
        <f t="shared" si="71"/>
        <v>CIM Motor Falcon 500 -9</v>
      </c>
      <c r="E996" s="132">
        <v>1</v>
      </c>
      <c r="I996" s="132">
        <v>0</v>
      </c>
    </row>
    <row r="997" spans="1:9" ht="14.25" customHeight="1" x14ac:dyDescent="0.25">
      <c r="A997" s="132" t="s">
        <v>246</v>
      </c>
      <c r="B997" s="132" t="s">
        <v>333</v>
      </c>
      <c r="C997" s="132">
        <v>-10</v>
      </c>
      <c r="D997" s="132" t="str">
        <f t="shared" si="71"/>
        <v>CIM Motor Falcon 500 -10</v>
      </c>
      <c r="E997" s="132">
        <v>1</v>
      </c>
      <c r="I997" s="132">
        <v>0</v>
      </c>
    </row>
    <row r="998" spans="1:9" ht="14.25" customHeight="1" x14ac:dyDescent="0.25">
      <c r="A998" s="132" t="s">
        <v>246</v>
      </c>
      <c r="B998" s="132" t="s">
        <v>333</v>
      </c>
      <c r="C998" s="132">
        <v>9</v>
      </c>
      <c r="D998" s="132" t="str">
        <f t="shared" ref="D998:D1018" si="72">A998&amp;" "&amp;B998&amp;" "&amp;C998</f>
        <v>CIM Motor Falcon 500 9</v>
      </c>
      <c r="E998" s="132">
        <v>0</v>
      </c>
      <c r="I998" s="132">
        <v>0</v>
      </c>
    </row>
    <row r="999" spans="1:9" ht="14.25" customHeight="1" x14ac:dyDescent="0.25">
      <c r="A999" s="132" t="s">
        <v>246</v>
      </c>
      <c r="B999" s="132" t="s">
        <v>333</v>
      </c>
      <c r="C999" s="132">
        <v>12</v>
      </c>
      <c r="D999" s="132" t="str">
        <f t="shared" si="72"/>
        <v>CIM Motor Falcon 500 12</v>
      </c>
      <c r="E999" s="132">
        <v>0</v>
      </c>
      <c r="I999" s="132">
        <v>0</v>
      </c>
    </row>
    <row r="1000" spans="1:9" ht="14.25" customHeight="1" x14ac:dyDescent="0.25">
      <c r="A1000" s="132" t="s">
        <v>246</v>
      </c>
      <c r="B1000" s="132" t="s">
        <v>333</v>
      </c>
      <c r="C1000" s="132">
        <v>15</v>
      </c>
      <c r="D1000" s="132" t="str">
        <f t="shared" si="72"/>
        <v>CIM Motor Falcon 500 15</v>
      </c>
      <c r="E1000" s="132">
        <v>0</v>
      </c>
      <c r="I1000" s="132">
        <v>0</v>
      </c>
    </row>
    <row r="1001" spans="1:9" ht="14.25" customHeight="1" x14ac:dyDescent="0.25">
      <c r="A1001" s="132" t="s">
        <v>246</v>
      </c>
      <c r="B1001" s="132" t="s">
        <v>333</v>
      </c>
      <c r="C1001" s="132">
        <v>16</v>
      </c>
      <c r="D1001" s="132" t="str">
        <f t="shared" si="72"/>
        <v>CIM Motor Falcon 500 16</v>
      </c>
      <c r="E1001" s="132">
        <v>0</v>
      </c>
      <c r="I1001" s="132">
        <v>0</v>
      </c>
    </row>
    <row r="1002" spans="1:9" ht="15" customHeight="1" x14ac:dyDescent="0.25">
      <c r="A1002" s="132" t="s">
        <v>246</v>
      </c>
      <c r="B1002" s="132" t="s">
        <v>333</v>
      </c>
      <c r="C1002" s="132">
        <v>20</v>
      </c>
      <c r="D1002" s="132" t="str">
        <f t="shared" si="72"/>
        <v>CIM Motor Falcon 500 20</v>
      </c>
      <c r="E1002" s="132">
        <v>0</v>
      </c>
      <c r="I1002" s="132">
        <v>0</v>
      </c>
    </row>
    <row r="1003" spans="1:9" ht="15" customHeight="1" x14ac:dyDescent="0.25">
      <c r="A1003" s="132" t="s">
        <v>246</v>
      </c>
      <c r="B1003" s="132" t="s">
        <v>333</v>
      </c>
      <c r="C1003" s="132">
        <v>21</v>
      </c>
      <c r="D1003" s="132" t="str">
        <f t="shared" si="72"/>
        <v>CIM Motor Falcon 500 21</v>
      </c>
      <c r="E1003" s="132">
        <v>0</v>
      </c>
      <c r="I1003" s="132">
        <v>0</v>
      </c>
    </row>
    <row r="1004" spans="1:9" ht="15" customHeight="1" x14ac:dyDescent="0.25">
      <c r="A1004" s="132" t="s">
        <v>246</v>
      </c>
      <c r="B1004" s="132" t="s">
        <v>333</v>
      </c>
      <c r="C1004" s="132">
        <v>25</v>
      </c>
      <c r="D1004" s="132" t="str">
        <f t="shared" si="72"/>
        <v>CIM Motor Falcon 500 25</v>
      </c>
      <c r="E1004" s="132">
        <v>0</v>
      </c>
      <c r="I1004" s="132">
        <v>0</v>
      </c>
    </row>
    <row r="1005" spans="1:9" ht="15" customHeight="1" x14ac:dyDescent="0.25">
      <c r="A1005" s="132" t="s">
        <v>246</v>
      </c>
      <c r="B1005" s="132" t="s">
        <v>333</v>
      </c>
      <c r="C1005" s="132">
        <v>27</v>
      </c>
      <c r="D1005" s="132" t="str">
        <f t="shared" si="72"/>
        <v>CIM Motor Falcon 500 27</v>
      </c>
      <c r="E1005" s="132">
        <v>0</v>
      </c>
      <c r="I1005" s="132">
        <v>0</v>
      </c>
    </row>
    <row r="1006" spans="1:9" ht="15" customHeight="1" x14ac:dyDescent="0.25">
      <c r="A1006" s="132" t="s">
        <v>246</v>
      </c>
      <c r="B1006" s="132" t="s">
        <v>333</v>
      </c>
      <c r="C1006" s="132">
        <v>28</v>
      </c>
      <c r="D1006" s="132" t="str">
        <f t="shared" si="72"/>
        <v>CIM Motor Falcon 500 28</v>
      </c>
      <c r="E1006" s="132">
        <v>0</v>
      </c>
      <c r="I1006" s="132">
        <v>0</v>
      </c>
    </row>
    <row r="1007" spans="1:9" ht="15" customHeight="1" x14ac:dyDescent="0.25">
      <c r="A1007" s="132" t="s">
        <v>246</v>
      </c>
      <c r="B1007" s="132" t="s">
        <v>333</v>
      </c>
      <c r="C1007" s="132">
        <v>30</v>
      </c>
      <c r="D1007" s="132" t="str">
        <f t="shared" si="72"/>
        <v>CIM Motor Falcon 500 30</v>
      </c>
      <c r="E1007" s="132">
        <v>0</v>
      </c>
      <c r="I1007" s="132">
        <v>0</v>
      </c>
    </row>
    <row r="1008" spans="1:9" ht="15" customHeight="1" x14ac:dyDescent="0.25">
      <c r="A1008" s="132" t="s">
        <v>246</v>
      </c>
      <c r="B1008" s="132" t="s">
        <v>333</v>
      </c>
      <c r="C1008" s="132">
        <v>35</v>
      </c>
      <c r="D1008" s="132" t="str">
        <f t="shared" si="72"/>
        <v>CIM Motor Falcon 500 35</v>
      </c>
      <c r="E1008" s="132">
        <v>0</v>
      </c>
      <c r="I1008" s="132">
        <v>0</v>
      </c>
    </row>
    <row r="1009" spans="1:9" ht="15" customHeight="1" x14ac:dyDescent="0.25">
      <c r="A1009" s="132" t="s">
        <v>246</v>
      </c>
      <c r="B1009" s="132" t="s">
        <v>333</v>
      </c>
      <c r="C1009" s="132">
        <v>36</v>
      </c>
      <c r="D1009" s="132" t="str">
        <f t="shared" si="72"/>
        <v>CIM Motor Falcon 500 36</v>
      </c>
      <c r="E1009" s="132">
        <v>0</v>
      </c>
      <c r="I1009" s="132">
        <v>0</v>
      </c>
    </row>
    <row r="1010" spans="1:9" ht="15" customHeight="1" x14ac:dyDescent="0.25">
      <c r="A1010" s="132" t="s">
        <v>246</v>
      </c>
      <c r="B1010" s="132" t="s">
        <v>333</v>
      </c>
      <c r="C1010" s="132">
        <v>40</v>
      </c>
      <c r="D1010" s="132" t="str">
        <f t="shared" si="72"/>
        <v>CIM Motor Falcon 500 40</v>
      </c>
      <c r="E1010" s="132">
        <v>0</v>
      </c>
      <c r="I1010" s="132">
        <v>0</v>
      </c>
    </row>
    <row r="1011" spans="1:9" ht="15" customHeight="1" x14ac:dyDescent="0.25">
      <c r="A1011" s="132" t="s">
        <v>246</v>
      </c>
      <c r="B1011" s="132" t="s">
        <v>333</v>
      </c>
      <c r="C1011" s="132">
        <v>45</v>
      </c>
      <c r="D1011" s="132" t="str">
        <f t="shared" si="72"/>
        <v>CIM Motor Falcon 500 45</v>
      </c>
      <c r="E1011" s="132">
        <v>0</v>
      </c>
      <c r="I1011" s="132">
        <v>0</v>
      </c>
    </row>
    <row r="1012" spans="1:9" ht="15" customHeight="1" x14ac:dyDescent="0.25">
      <c r="A1012" s="132" t="s">
        <v>246</v>
      </c>
      <c r="B1012" s="132" t="s">
        <v>333</v>
      </c>
      <c r="C1012" s="132">
        <v>49</v>
      </c>
      <c r="D1012" s="132" t="str">
        <f t="shared" si="72"/>
        <v>CIM Motor Falcon 500 49</v>
      </c>
      <c r="E1012" s="132">
        <v>0</v>
      </c>
      <c r="I1012" s="132">
        <v>0</v>
      </c>
    </row>
    <row r="1013" spans="1:9" ht="15" customHeight="1" x14ac:dyDescent="0.25">
      <c r="A1013" s="132" t="s">
        <v>246</v>
      </c>
      <c r="B1013" s="132" t="s">
        <v>333</v>
      </c>
      <c r="C1013" s="132">
        <v>50</v>
      </c>
      <c r="D1013" s="132" t="str">
        <f t="shared" si="72"/>
        <v>CIM Motor Falcon 500 50</v>
      </c>
      <c r="E1013" s="132">
        <v>0</v>
      </c>
      <c r="I1013" s="132">
        <v>0</v>
      </c>
    </row>
    <row r="1014" spans="1:9" ht="15" customHeight="1" x14ac:dyDescent="0.25">
      <c r="A1014" s="132" t="s">
        <v>246</v>
      </c>
      <c r="B1014" s="132" t="s">
        <v>333</v>
      </c>
      <c r="C1014" s="132">
        <v>63</v>
      </c>
      <c r="D1014" s="132" t="str">
        <f t="shared" si="72"/>
        <v>CIM Motor Falcon 500 63</v>
      </c>
      <c r="E1014" s="132">
        <v>0</v>
      </c>
      <c r="I1014" s="132">
        <v>0</v>
      </c>
    </row>
    <row r="1015" spans="1:9" ht="15" customHeight="1" x14ac:dyDescent="0.25">
      <c r="A1015" s="132" t="s">
        <v>246</v>
      </c>
      <c r="B1015" s="132" t="s">
        <v>333</v>
      </c>
      <c r="C1015" s="132">
        <v>70</v>
      </c>
      <c r="D1015" s="132" t="str">
        <f t="shared" si="72"/>
        <v>CIM Motor Falcon 500 70</v>
      </c>
      <c r="E1015" s="132">
        <v>0</v>
      </c>
      <c r="I1015" s="132">
        <v>0</v>
      </c>
    </row>
    <row r="1016" spans="1:9" ht="15" customHeight="1" x14ac:dyDescent="0.25">
      <c r="A1016" s="132" t="s">
        <v>246</v>
      </c>
      <c r="B1016" s="132" t="s">
        <v>333</v>
      </c>
      <c r="C1016" s="132">
        <v>81</v>
      </c>
      <c r="D1016" s="132" t="str">
        <f t="shared" si="72"/>
        <v>CIM Motor Falcon 500 81</v>
      </c>
      <c r="E1016" s="132">
        <v>0</v>
      </c>
      <c r="I1016" s="132">
        <v>0</v>
      </c>
    </row>
    <row r="1017" spans="1:9" ht="15" customHeight="1" x14ac:dyDescent="0.25">
      <c r="A1017" s="132" t="s">
        <v>246</v>
      </c>
      <c r="B1017" s="132" t="s">
        <v>333</v>
      </c>
      <c r="C1017" s="132">
        <v>90</v>
      </c>
      <c r="D1017" s="132" t="str">
        <f t="shared" si="72"/>
        <v>CIM Motor Falcon 500 90</v>
      </c>
      <c r="E1017" s="132">
        <v>0</v>
      </c>
      <c r="I1017" s="132">
        <v>0</v>
      </c>
    </row>
    <row r="1018" spans="1:9" ht="15" customHeight="1" x14ac:dyDescent="0.25">
      <c r="A1018" s="132" t="s">
        <v>246</v>
      </c>
      <c r="B1018" s="132" t="s">
        <v>333</v>
      </c>
      <c r="C1018" s="132">
        <v>100</v>
      </c>
      <c r="D1018" s="132" t="str">
        <f t="shared" si="72"/>
        <v>CIM Motor Falcon 500 100</v>
      </c>
      <c r="E1018" s="132">
        <v>0</v>
      </c>
      <c r="I1018" s="132">
        <v>0</v>
      </c>
    </row>
    <row r="1019" spans="1:9" ht="15" customHeight="1" x14ac:dyDescent="0.25">
      <c r="A1019" s="132" t="s">
        <v>249</v>
      </c>
      <c r="B1019" s="132" t="s">
        <v>11</v>
      </c>
      <c r="C1019" s="132">
        <v>-3</v>
      </c>
      <c r="D1019" s="132" t="str">
        <f t="shared" ref="D1019:D1024" si="73">A1019&amp;" "&amp;B1019&amp;" "&amp;C1019</f>
        <v>Female AM 9015 -3</v>
      </c>
      <c r="E1019" s="132">
        <v>1</v>
      </c>
      <c r="I1019" s="132">
        <v>1</v>
      </c>
    </row>
    <row r="1020" spans="1:9" ht="15" customHeight="1" x14ac:dyDescent="0.25">
      <c r="A1020" s="132" t="s">
        <v>249</v>
      </c>
      <c r="B1020" s="132" t="s">
        <v>11</v>
      </c>
      <c r="C1020" s="132">
        <v>-4</v>
      </c>
      <c r="D1020" s="132" t="str">
        <f t="shared" si="73"/>
        <v>Female AM 9015 -4</v>
      </c>
      <c r="E1020" s="132">
        <v>1</v>
      </c>
      <c r="I1020" s="132">
        <v>1</v>
      </c>
    </row>
    <row r="1021" spans="1:9" ht="15" customHeight="1" x14ac:dyDescent="0.25">
      <c r="A1021" s="132" t="s">
        <v>249</v>
      </c>
      <c r="B1021" s="132" t="s">
        <v>11</v>
      </c>
      <c r="C1021" s="132">
        <v>-5</v>
      </c>
      <c r="D1021" s="132" t="str">
        <f t="shared" si="73"/>
        <v>Female AM 9015 -5</v>
      </c>
      <c r="E1021" s="132">
        <v>1</v>
      </c>
      <c r="I1021" s="132">
        <v>1</v>
      </c>
    </row>
    <row r="1022" spans="1:9" ht="15" customHeight="1" x14ac:dyDescent="0.25">
      <c r="A1022" s="132" t="s">
        <v>249</v>
      </c>
      <c r="B1022" s="132" t="s">
        <v>11</v>
      </c>
      <c r="C1022" s="132">
        <v>-7</v>
      </c>
      <c r="D1022" s="132" t="str">
        <f t="shared" si="73"/>
        <v>Female AM 9015 -7</v>
      </c>
      <c r="E1022" s="132">
        <v>1</v>
      </c>
      <c r="I1022" s="132">
        <v>1</v>
      </c>
    </row>
    <row r="1023" spans="1:9" ht="15" customHeight="1" x14ac:dyDescent="0.25">
      <c r="A1023" s="132" t="s">
        <v>249</v>
      </c>
      <c r="B1023" s="132" t="s">
        <v>11</v>
      </c>
      <c r="C1023" s="132">
        <v>-9</v>
      </c>
      <c r="D1023" s="132" t="str">
        <f t="shared" si="73"/>
        <v>Female AM 9015 -9</v>
      </c>
      <c r="E1023" s="132">
        <v>1</v>
      </c>
      <c r="I1023" s="132">
        <v>1</v>
      </c>
    </row>
    <row r="1024" spans="1:9" ht="15" customHeight="1" x14ac:dyDescent="0.25">
      <c r="A1024" s="132" t="s">
        <v>249</v>
      </c>
      <c r="B1024" s="132" t="s">
        <v>11</v>
      </c>
      <c r="C1024" s="132">
        <v>-10</v>
      </c>
      <c r="D1024" s="132" t="str">
        <f t="shared" si="73"/>
        <v>Female AM 9015 -10</v>
      </c>
      <c r="E1024" s="132">
        <v>1</v>
      </c>
      <c r="I1024" s="132">
        <v>1</v>
      </c>
    </row>
    <row r="1025" spans="1:9" ht="15" customHeight="1" x14ac:dyDescent="0.25">
      <c r="A1025" s="132" t="s">
        <v>249</v>
      </c>
      <c r="B1025" s="132" t="s">
        <v>11</v>
      </c>
      <c r="C1025" s="132">
        <v>9</v>
      </c>
      <c r="D1025" s="132" t="str">
        <f t="shared" ref="D1025:D1045" si="74">A1025&amp;" "&amp;B1025&amp;" "&amp;C1025</f>
        <v>Female AM 9015 9</v>
      </c>
      <c r="E1025" s="132">
        <v>10</v>
      </c>
      <c r="I1025" s="132">
        <v>10</v>
      </c>
    </row>
    <row r="1026" spans="1:9" ht="15" customHeight="1" x14ac:dyDescent="0.25">
      <c r="A1026" s="132" t="s">
        <v>249</v>
      </c>
      <c r="B1026" s="132" t="s">
        <v>11</v>
      </c>
      <c r="C1026" s="132">
        <v>12</v>
      </c>
      <c r="D1026" s="132" t="str">
        <f t="shared" si="74"/>
        <v>Female AM 9015 12</v>
      </c>
      <c r="E1026" s="132">
        <v>10</v>
      </c>
      <c r="I1026" s="132">
        <v>7</v>
      </c>
    </row>
    <row r="1027" spans="1:9" ht="15" customHeight="1" x14ac:dyDescent="0.25">
      <c r="A1027" s="132" t="s">
        <v>249</v>
      </c>
      <c r="B1027" s="132" t="s">
        <v>11</v>
      </c>
      <c r="C1027" s="132">
        <v>15</v>
      </c>
      <c r="D1027" s="132" t="str">
        <f t="shared" si="74"/>
        <v>Female AM 9015 15</v>
      </c>
      <c r="E1027" s="132">
        <v>10</v>
      </c>
      <c r="I1027" s="132">
        <v>5</v>
      </c>
    </row>
    <row r="1028" spans="1:9" ht="15" customHeight="1" x14ac:dyDescent="0.25">
      <c r="A1028" s="132" t="s">
        <v>249</v>
      </c>
      <c r="B1028" s="132" t="s">
        <v>11</v>
      </c>
      <c r="C1028" s="132">
        <v>16</v>
      </c>
      <c r="D1028" s="132" t="str">
        <f t="shared" si="74"/>
        <v>Female AM 9015 16</v>
      </c>
      <c r="E1028" s="132">
        <v>10</v>
      </c>
      <c r="I1028" s="132">
        <v>5</v>
      </c>
    </row>
    <row r="1029" spans="1:9" ht="15" customHeight="1" x14ac:dyDescent="0.25">
      <c r="A1029" s="132" t="s">
        <v>249</v>
      </c>
      <c r="B1029" s="132" t="s">
        <v>11</v>
      </c>
      <c r="C1029" s="132">
        <v>20</v>
      </c>
      <c r="D1029" s="132" t="str">
        <f t="shared" si="74"/>
        <v>Female AM 9015 20</v>
      </c>
      <c r="E1029" s="132">
        <v>10</v>
      </c>
      <c r="I1029" s="132">
        <v>4</v>
      </c>
    </row>
    <row r="1030" spans="1:9" ht="15" customHeight="1" x14ac:dyDescent="0.25">
      <c r="A1030" s="132" t="s">
        <v>249</v>
      </c>
      <c r="B1030" s="132" t="s">
        <v>11</v>
      </c>
      <c r="C1030" s="132">
        <v>21</v>
      </c>
      <c r="D1030" s="132" t="str">
        <f t="shared" si="74"/>
        <v>Female AM 9015 21</v>
      </c>
      <c r="E1030" s="132">
        <v>10</v>
      </c>
      <c r="I1030" s="132">
        <v>4</v>
      </c>
    </row>
    <row r="1031" spans="1:9" ht="15" customHeight="1" x14ac:dyDescent="0.25">
      <c r="A1031" s="132" t="s">
        <v>249</v>
      </c>
      <c r="B1031" s="132" t="s">
        <v>11</v>
      </c>
      <c r="C1031" s="132">
        <v>25</v>
      </c>
      <c r="D1031" s="132" t="str">
        <f t="shared" si="74"/>
        <v>Female AM 9015 25</v>
      </c>
      <c r="E1031" s="132">
        <v>7</v>
      </c>
      <c r="I1031" s="132">
        <v>3</v>
      </c>
    </row>
    <row r="1032" spans="1:9" ht="15" customHeight="1" x14ac:dyDescent="0.25">
      <c r="A1032" s="132" t="s">
        <v>249</v>
      </c>
      <c r="B1032" s="132" t="s">
        <v>11</v>
      </c>
      <c r="C1032" s="132">
        <v>27</v>
      </c>
      <c r="D1032" s="132" t="str">
        <f t="shared" si="74"/>
        <v>Female AM 9015 27</v>
      </c>
      <c r="E1032" s="132">
        <v>7</v>
      </c>
      <c r="I1032" s="132">
        <v>3</v>
      </c>
    </row>
    <row r="1033" spans="1:9" ht="15" customHeight="1" x14ac:dyDescent="0.25">
      <c r="A1033" s="132" t="s">
        <v>249</v>
      </c>
      <c r="B1033" s="132" t="s">
        <v>11</v>
      </c>
      <c r="C1033" s="132">
        <v>28</v>
      </c>
      <c r="D1033" s="132" t="str">
        <f t="shared" si="74"/>
        <v>Female AM 9015 28</v>
      </c>
      <c r="E1033" s="132">
        <v>7</v>
      </c>
      <c r="I1033" s="132">
        <v>3</v>
      </c>
    </row>
    <row r="1034" spans="1:9" ht="15" customHeight="1" x14ac:dyDescent="0.25">
      <c r="A1034" s="132" t="s">
        <v>249</v>
      </c>
      <c r="B1034" s="132" t="s">
        <v>11</v>
      </c>
      <c r="C1034" s="132">
        <v>30</v>
      </c>
      <c r="D1034" s="132" t="str">
        <f t="shared" si="74"/>
        <v>Female AM 9015 30</v>
      </c>
      <c r="E1034" s="132">
        <v>7</v>
      </c>
      <c r="I1034" s="132">
        <v>3</v>
      </c>
    </row>
    <row r="1035" spans="1:9" ht="15" customHeight="1" x14ac:dyDescent="0.25">
      <c r="A1035" s="132" t="s">
        <v>249</v>
      </c>
      <c r="B1035" s="132" t="s">
        <v>11</v>
      </c>
      <c r="C1035" s="132">
        <v>35</v>
      </c>
      <c r="D1035" s="132" t="str">
        <f t="shared" si="74"/>
        <v>Female AM 9015 35</v>
      </c>
      <c r="E1035" s="132">
        <v>5</v>
      </c>
      <c r="I1035" s="132">
        <v>1</v>
      </c>
    </row>
    <row r="1036" spans="1:9" ht="15" customHeight="1" x14ac:dyDescent="0.25">
      <c r="A1036" s="132" t="s">
        <v>249</v>
      </c>
      <c r="B1036" s="132" t="s">
        <v>11</v>
      </c>
      <c r="C1036" s="132">
        <v>36</v>
      </c>
      <c r="D1036" s="132" t="str">
        <f t="shared" si="74"/>
        <v>Female AM 9015 36</v>
      </c>
      <c r="E1036" s="132">
        <v>5</v>
      </c>
      <c r="I1036" s="132">
        <v>1</v>
      </c>
    </row>
    <row r="1037" spans="1:9" ht="15" customHeight="1" x14ac:dyDescent="0.25">
      <c r="A1037" s="132" t="s">
        <v>249</v>
      </c>
      <c r="B1037" s="132" t="s">
        <v>11</v>
      </c>
      <c r="C1037" s="132">
        <v>40</v>
      </c>
      <c r="D1037" s="132" t="str">
        <f t="shared" si="74"/>
        <v>Female AM 9015 40</v>
      </c>
      <c r="E1037" s="132">
        <v>5</v>
      </c>
      <c r="I1037" s="132">
        <v>1</v>
      </c>
    </row>
    <row r="1038" spans="1:9" ht="15" customHeight="1" x14ac:dyDescent="0.25">
      <c r="A1038" s="132" t="s">
        <v>249</v>
      </c>
      <c r="B1038" s="132" t="s">
        <v>11</v>
      </c>
      <c r="C1038" s="132">
        <v>45</v>
      </c>
      <c r="D1038" s="132" t="str">
        <f t="shared" si="74"/>
        <v>Female AM 9015 45</v>
      </c>
      <c r="E1038" s="132">
        <v>5</v>
      </c>
      <c r="I1038" s="132">
        <v>1</v>
      </c>
    </row>
    <row r="1039" spans="1:9" ht="15" customHeight="1" x14ac:dyDescent="0.25">
      <c r="A1039" s="132" t="s">
        <v>249</v>
      </c>
      <c r="B1039" s="132" t="s">
        <v>11</v>
      </c>
      <c r="C1039" s="132">
        <v>49</v>
      </c>
      <c r="D1039" s="132" t="str">
        <f t="shared" si="74"/>
        <v>Female AM 9015 49</v>
      </c>
      <c r="E1039" s="132">
        <v>5</v>
      </c>
      <c r="I1039" s="132">
        <v>1</v>
      </c>
    </row>
    <row r="1040" spans="1:9" ht="15" customHeight="1" x14ac:dyDescent="0.25">
      <c r="A1040" s="132" t="s">
        <v>249</v>
      </c>
      <c r="B1040" s="132" t="s">
        <v>11</v>
      </c>
      <c r="C1040" s="132">
        <v>50</v>
      </c>
      <c r="D1040" s="132" t="str">
        <f t="shared" si="74"/>
        <v>Female AM 9015 50</v>
      </c>
      <c r="E1040" s="132">
        <v>5</v>
      </c>
      <c r="I1040" s="132">
        <v>1</v>
      </c>
    </row>
    <row r="1041" spans="1:9" ht="15" customHeight="1" x14ac:dyDescent="0.25">
      <c r="A1041" s="132" t="s">
        <v>249</v>
      </c>
      <c r="B1041" s="132" t="s">
        <v>11</v>
      </c>
      <c r="C1041" s="132">
        <v>63</v>
      </c>
      <c r="D1041" s="132" t="str">
        <f t="shared" si="74"/>
        <v>Female AM 9015 63</v>
      </c>
      <c r="E1041" s="132">
        <v>5</v>
      </c>
      <c r="I1041" s="132">
        <v>1</v>
      </c>
    </row>
    <row r="1042" spans="1:9" ht="15" customHeight="1" x14ac:dyDescent="0.25">
      <c r="A1042" s="132" t="s">
        <v>249</v>
      </c>
      <c r="B1042" s="132" t="s">
        <v>11</v>
      </c>
      <c r="C1042" s="132">
        <v>70</v>
      </c>
      <c r="D1042" s="132" t="str">
        <f t="shared" si="74"/>
        <v>Female AM 9015 70</v>
      </c>
      <c r="E1042" s="132">
        <v>4</v>
      </c>
      <c r="I1042" s="132">
        <v>1</v>
      </c>
    </row>
    <row r="1043" spans="1:9" ht="15" customHeight="1" x14ac:dyDescent="0.25">
      <c r="A1043" s="132" t="s">
        <v>249</v>
      </c>
      <c r="B1043" s="132" t="s">
        <v>11</v>
      </c>
      <c r="C1043" s="132">
        <v>81</v>
      </c>
      <c r="D1043" s="132" t="str">
        <f t="shared" si="74"/>
        <v>Female AM 9015 81</v>
      </c>
      <c r="E1043" s="132">
        <v>4</v>
      </c>
      <c r="I1043" s="132">
        <v>1</v>
      </c>
    </row>
    <row r="1044" spans="1:9" ht="15" customHeight="1" x14ac:dyDescent="0.25">
      <c r="A1044" s="132" t="s">
        <v>249</v>
      </c>
      <c r="B1044" s="132" t="s">
        <v>11</v>
      </c>
      <c r="C1044" s="132">
        <v>90</v>
      </c>
      <c r="D1044" s="132" t="str">
        <f t="shared" si="74"/>
        <v>Female AM 9015 90</v>
      </c>
      <c r="E1044" s="132">
        <v>3</v>
      </c>
      <c r="I1044" s="132">
        <v>1</v>
      </c>
    </row>
    <row r="1045" spans="1:9" ht="15" customHeight="1" x14ac:dyDescent="0.25">
      <c r="A1045" s="132" t="s">
        <v>249</v>
      </c>
      <c r="B1045" s="132" t="s">
        <v>11</v>
      </c>
      <c r="C1045" s="132">
        <v>100</v>
      </c>
      <c r="D1045" s="132" t="str">
        <f t="shared" si="74"/>
        <v>Female AM 9015 100</v>
      </c>
      <c r="E1045" s="132">
        <v>3</v>
      </c>
      <c r="I1045" s="132">
        <v>0</v>
      </c>
    </row>
    <row r="1046" spans="1:9" ht="15" customHeight="1" x14ac:dyDescent="0.25">
      <c r="A1046" s="132" t="s">
        <v>249</v>
      </c>
      <c r="B1046" s="132" t="s">
        <v>326</v>
      </c>
      <c r="C1046" s="132">
        <v>-3</v>
      </c>
      <c r="D1046" s="132" t="str">
        <f t="shared" ref="D1046:D1051" si="75">A1046&amp;" "&amp;B1046&amp;" "&amp;C1046</f>
        <v>Female BB RS-550 -3</v>
      </c>
      <c r="E1046" s="132">
        <v>1</v>
      </c>
      <c r="F1046" s="132">
        <v>1</v>
      </c>
      <c r="G1046" s="132">
        <v>1</v>
      </c>
      <c r="H1046" s="132">
        <v>1</v>
      </c>
      <c r="I1046" s="132">
        <v>1</v>
      </c>
    </row>
    <row r="1047" spans="1:9" ht="15" customHeight="1" x14ac:dyDescent="0.25">
      <c r="A1047" s="132" t="s">
        <v>249</v>
      </c>
      <c r="B1047" s="132" t="s">
        <v>326</v>
      </c>
      <c r="C1047" s="132">
        <v>-4</v>
      </c>
      <c r="D1047" s="132" t="str">
        <f t="shared" si="75"/>
        <v>Female BB RS-550 -4</v>
      </c>
      <c r="E1047" s="132">
        <v>1</v>
      </c>
      <c r="F1047" s="132">
        <v>1</v>
      </c>
      <c r="G1047" s="132">
        <v>1</v>
      </c>
      <c r="H1047" s="132">
        <v>1</v>
      </c>
      <c r="I1047" s="132">
        <v>1</v>
      </c>
    </row>
    <row r="1048" spans="1:9" ht="15" customHeight="1" x14ac:dyDescent="0.25">
      <c r="A1048" s="132" t="s">
        <v>249</v>
      </c>
      <c r="B1048" s="132" t="s">
        <v>326</v>
      </c>
      <c r="C1048" s="132">
        <v>-5</v>
      </c>
      <c r="D1048" s="132" t="str">
        <f t="shared" si="75"/>
        <v>Female BB RS-550 -5</v>
      </c>
      <c r="E1048" s="132">
        <v>1</v>
      </c>
      <c r="F1048" s="132">
        <v>1</v>
      </c>
      <c r="G1048" s="132">
        <v>1</v>
      </c>
      <c r="H1048" s="132">
        <v>1</v>
      </c>
      <c r="I1048" s="132">
        <v>1</v>
      </c>
    </row>
    <row r="1049" spans="1:9" ht="15" customHeight="1" x14ac:dyDescent="0.25">
      <c r="A1049" s="132" t="s">
        <v>249</v>
      </c>
      <c r="B1049" s="132" t="s">
        <v>326</v>
      </c>
      <c r="C1049" s="132">
        <v>-7</v>
      </c>
      <c r="D1049" s="132" t="str">
        <f t="shared" si="75"/>
        <v>Female BB RS-550 -7</v>
      </c>
      <c r="E1049" s="132">
        <v>1</v>
      </c>
      <c r="F1049" s="132">
        <v>1</v>
      </c>
      <c r="G1049" s="132">
        <v>1</v>
      </c>
      <c r="H1049" s="132">
        <v>0</v>
      </c>
      <c r="I1049" s="132">
        <v>1</v>
      </c>
    </row>
    <row r="1050" spans="1:9" ht="15" customHeight="1" x14ac:dyDescent="0.25">
      <c r="A1050" s="132" t="s">
        <v>249</v>
      </c>
      <c r="B1050" s="132" t="s">
        <v>326</v>
      </c>
      <c r="C1050" s="132">
        <v>-9</v>
      </c>
      <c r="D1050" s="132" t="str">
        <f t="shared" si="75"/>
        <v>Female BB RS-550 -9</v>
      </c>
      <c r="E1050" s="132">
        <v>1</v>
      </c>
      <c r="F1050" s="132">
        <v>1</v>
      </c>
      <c r="G1050" s="132">
        <v>0</v>
      </c>
      <c r="H1050" s="132">
        <v>0</v>
      </c>
      <c r="I1050" s="132">
        <v>1</v>
      </c>
    </row>
    <row r="1051" spans="1:9" ht="15" customHeight="1" x14ac:dyDescent="0.25">
      <c r="A1051" s="132" t="s">
        <v>249</v>
      </c>
      <c r="B1051" s="132" t="s">
        <v>326</v>
      </c>
      <c r="C1051" s="132">
        <v>-10</v>
      </c>
      <c r="D1051" s="132" t="str">
        <f t="shared" si="75"/>
        <v>Female BB RS-550 -10</v>
      </c>
      <c r="E1051" s="132">
        <v>1</v>
      </c>
      <c r="F1051" s="132">
        <v>1</v>
      </c>
      <c r="G1051" s="132">
        <v>0</v>
      </c>
      <c r="H1051" s="132">
        <v>0</v>
      </c>
      <c r="I1051" s="132">
        <v>1</v>
      </c>
    </row>
    <row r="1052" spans="1:9" ht="15" customHeight="1" x14ac:dyDescent="0.25">
      <c r="A1052" s="132" t="s">
        <v>249</v>
      </c>
      <c r="B1052" s="132" t="s">
        <v>326</v>
      </c>
      <c r="C1052" s="132">
        <v>9</v>
      </c>
      <c r="D1052" s="132" t="str">
        <f t="shared" ref="D1052:D1072" si="76">A1052&amp;" "&amp;B1052&amp;" "&amp;C1052</f>
        <v>Female BB RS-550 9</v>
      </c>
      <c r="E1052" s="132">
        <v>10</v>
      </c>
      <c r="F1052" s="132">
        <v>10</v>
      </c>
      <c r="G1052" s="132">
        <v>1</v>
      </c>
      <c r="H1052" s="132">
        <v>0</v>
      </c>
      <c r="I1052" s="132">
        <v>10</v>
      </c>
    </row>
    <row r="1053" spans="1:9" ht="15" customHeight="1" x14ac:dyDescent="0.25">
      <c r="A1053" s="132" t="s">
        <v>249</v>
      </c>
      <c r="B1053" s="132" t="s">
        <v>326</v>
      </c>
      <c r="C1053" s="132">
        <v>12</v>
      </c>
      <c r="D1053" s="132" t="str">
        <f t="shared" si="76"/>
        <v>Female BB RS-550 12</v>
      </c>
      <c r="E1053" s="132">
        <v>10</v>
      </c>
      <c r="F1053" s="132">
        <v>7</v>
      </c>
      <c r="G1053" s="132">
        <v>0</v>
      </c>
      <c r="H1053" s="132">
        <v>0</v>
      </c>
      <c r="I1053" s="132">
        <v>7</v>
      </c>
    </row>
    <row r="1054" spans="1:9" ht="15" customHeight="1" x14ac:dyDescent="0.25">
      <c r="A1054" s="132" t="s">
        <v>249</v>
      </c>
      <c r="B1054" s="132" t="s">
        <v>326</v>
      </c>
      <c r="C1054" s="132">
        <v>15</v>
      </c>
      <c r="D1054" s="132" t="str">
        <f t="shared" si="76"/>
        <v>Female BB RS-550 15</v>
      </c>
      <c r="E1054" s="132">
        <v>10</v>
      </c>
      <c r="F1054" s="132">
        <v>5</v>
      </c>
      <c r="G1054" s="132">
        <v>0</v>
      </c>
      <c r="H1054" s="132">
        <v>0</v>
      </c>
      <c r="I1054" s="132">
        <v>5</v>
      </c>
    </row>
    <row r="1055" spans="1:9" ht="15" customHeight="1" x14ac:dyDescent="0.25">
      <c r="A1055" s="132" t="s">
        <v>249</v>
      </c>
      <c r="B1055" s="132" t="s">
        <v>326</v>
      </c>
      <c r="C1055" s="132">
        <v>16</v>
      </c>
      <c r="D1055" s="132" t="str">
        <f t="shared" si="76"/>
        <v>Female BB RS-550 16</v>
      </c>
      <c r="E1055" s="132">
        <v>10</v>
      </c>
      <c r="F1055" s="132">
        <v>5</v>
      </c>
      <c r="G1055" s="132">
        <v>0</v>
      </c>
      <c r="H1055" s="132">
        <v>0</v>
      </c>
      <c r="I1055" s="132">
        <v>5</v>
      </c>
    </row>
    <row r="1056" spans="1:9" ht="15" customHeight="1" x14ac:dyDescent="0.25">
      <c r="A1056" s="132" t="s">
        <v>249</v>
      </c>
      <c r="B1056" s="132" t="s">
        <v>326</v>
      </c>
      <c r="C1056" s="132">
        <v>20</v>
      </c>
      <c r="D1056" s="132" t="str">
        <f t="shared" si="76"/>
        <v>Female BB RS-550 20</v>
      </c>
      <c r="E1056" s="132">
        <v>9</v>
      </c>
      <c r="F1056" s="132">
        <v>5</v>
      </c>
      <c r="G1056" s="132">
        <v>0</v>
      </c>
      <c r="H1056" s="132">
        <v>0</v>
      </c>
      <c r="I1056" s="132">
        <v>4</v>
      </c>
    </row>
    <row r="1057" spans="1:9" ht="15" customHeight="1" x14ac:dyDescent="0.25">
      <c r="A1057" s="132" t="s">
        <v>249</v>
      </c>
      <c r="B1057" s="132" t="s">
        <v>326</v>
      </c>
      <c r="C1057" s="132">
        <v>21</v>
      </c>
      <c r="D1057" s="132" t="str">
        <f t="shared" si="76"/>
        <v>Female BB RS-550 21</v>
      </c>
      <c r="E1057" s="132">
        <v>9</v>
      </c>
      <c r="F1057" s="132">
        <v>5</v>
      </c>
      <c r="G1057" s="132">
        <v>0</v>
      </c>
      <c r="H1057" s="132">
        <v>0</v>
      </c>
      <c r="I1057" s="132">
        <v>4</v>
      </c>
    </row>
    <row r="1058" spans="1:9" ht="15" customHeight="1" x14ac:dyDescent="0.25">
      <c r="A1058" s="132" t="s">
        <v>249</v>
      </c>
      <c r="B1058" s="132" t="s">
        <v>326</v>
      </c>
      <c r="C1058" s="132">
        <v>25</v>
      </c>
      <c r="D1058" s="132" t="str">
        <f t="shared" si="76"/>
        <v>Female BB RS-550 25</v>
      </c>
      <c r="E1058" s="132">
        <v>7</v>
      </c>
      <c r="F1058" s="132">
        <v>5</v>
      </c>
      <c r="G1058" s="132">
        <v>0</v>
      </c>
      <c r="H1058" s="132">
        <v>0</v>
      </c>
      <c r="I1058" s="132">
        <v>3</v>
      </c>
    </row>
    <row r="1059" spans="1:9" ht="15" customHeight="1" x14ac:dyDescent="0.25">
      <c r="A1059" s="132" t="s">
        <v>249</v>
      </c>
      <c r="B1059" s="132" t="s">
        <v>326</v>
      </c>
      <c r="C1059" s="132">
        <v>27</v>
      </c>
      <c r="D1059" s="132" t="str">
        <f t="shared" si="76"/>
        <v>Female BB RS-550 27</v>
      </c>
      <c r="E1059" s="132">
        <v>7</v>
      </c>
      <c r="F1059" s="132">
        <v>5</v>
      </c>
      <c r="G1059" s="132">
        <v>0</v>
      </c>
      <c r="H1059" s="132">
        <v>0</v>
      </c>
      <c r="I1059" s="132">
        <v>3</v>
      </c>
    </row>
    <row r="1060" spans="1:9" ht="15" customHeight="1" x14ac:dyDescent="0.25">
      <c r="A1060" s="132" t="s">
        <v>249</v>
      </c>
      <c r="B1060" s="132" t="s">
        <v>326</v>
      </c>
      <c r="C1060" s="132">
        <v>28</v>
      </c>
      <c r="D1060" s="132" t="str">
        <f t="shared" si="76"/>
        <v>Female BB RS-550 28</v>
      </c>
      <c r="E1060" s="132">
        <v>7</v>
      </c>
      <c r="F1060" s="132">
        <v>5</v>
      </c>
      <c r="G1060" s="132">
        <v>0</v>
      </c>
      <c r="H1060" s="132">
        <v>0</v>
      </c>
      <c r="I1060" s="132">
        <v>3</v>
      </c>
    </row>
    <row r="1061" spans="1:9" ht="15" customHeight="1" x14ac:dyDescent="0.25">
      <c r="A1061" s="132" t="s">
        <v>249</v>
      </c>
      <c r="B1061" s="132" t="s">
        <v>326</v>
      </c>
      <c r="C1061" s="132">
        <v>30</v>
      </c>
      <c r="D1061" s="132" t="str">
        <f t="shared" si="76"/>
        <v>Female BB RS-550 30</v>
      </c>
      <c r="E1061" s="132">
        <v>5</v>
      </c>
      <c r="F1061" s="132">
        <v>5</v>
      </c>
      <c r="G1061" s="132">
        <v>0</v>
      </c>
      <c r="H1061" s="132">
        <v>0</v>
      </c>
      <c r="I1061" s="132">
        <v>3</v>
      </c>
    </row>
    <row r="1062" spans="1:9" ht="15" customHeight="1" x14ac:dyDescent="0.25">
      <c r="A1062" s="132" t="s">
        <v>249</v>
      </c>
      <c r="B1062" s="132" t="s">
        <v>326</v>
      </c>
      <c r="C1062" s="132">
        <v>35</v>
      </c>
      <c r="D1062" s="132" t="str">
        <f t="shared" si="76"/>
        <v>Female BB RS-550 35</v>
      </c>
      <c r="E1062" s="132">
        <v>5</v>
      </c>
      <c r="F1062" s="132">
        <v>4</v>
      </c>
      <c r="G1062" s="132">
        <v>0</v>
      </c>
      <c r="H1062" s="132">
        <v>0</v>
      </c>
      <c r="I1062" s="132">
        <v>1</v>
      </c>
    </row>
    <row r="1063" spans="1:9" ht="15" customHeight="1" x14ac:dyDescent="0.25">
      <c r="A1063" s="132" t="s">
        <v>249</v>
      </c>
      <c r="B1063" s="132" t="s">
        <v>326</v>
      </c>
      <c r="C1063" s="132">
        <v>36</v>
      </c>
      <c r="D1063" s="132" t="str">
        <f t="shared" si="76"/>
        <v>Female BB RS-550 36</v>
      </c>
      <c r="E1063" s="132">
        <v>5</v>
      </c>
      <c r="F1063" s="132">
        <v>4</v>
      </c>
      <c r="G1063" s="132">
        <v>0</v>
      </c>
      <c r="H1063" s="132">
        <v>0</v>
      </c>
      <c r="I1063" s="132">
        <v>1</v>
      </c>
    </row>
    <row r="1064" spans="1:9" ht="15" customHeight="1" x14ac:dyDescent="0.25">
      <c r="A1064" s="132" t="s">
        <v>249</v>
      </c>
      <c r="B1064" s="132" t="s">
        <v>326</v>
      </c>
      <c r="C1064" s="132">
        <v>40</v>
      </c>
      <c r="D1064" s="132" t="str">
        <f t="shared" si="76"/>
        <v>Female BB RS-550 40</v>
      </c>
      <c r="E1064" s="132">
        <v>5</v>
      </c>
      <c r="F1064" s="132">
        <v>3</v>
      </c>
      <c r="G1064" s="132">
        <v>0</v>
      </c>
      <c r="H1064" s="132">
        <v>0</v>
      </c>
      <c r="I1064" s="132">
        <v>1</v>
      </c>
    </row>
    <row r="1065" spans="1:9" ht="15" customHeight="1" x14ac:dyDescent="0.25">
      <c r="A1065" s="132" t="s">
        <v>249</v>
      </c>
      <c r="B1065" s="132" t="s">
        <v>326</v>
      </c>
      <c r="C1065" s="132">
        <v>45</v>
      </c>
      <c r="D1065" s="132" t="str">
        <f t="shared" si="76"/>
        <v>Female BB RS-550 45</v>
      </c>
      <c r="E1065" s="132">
        <v>5</v>
      </c>
      <c r="F1065" s="132">
        <v>3</v>
      </c>
      <c r="G1065" s="132">
        <v>0</v>
      </c>
      <c r="H1065" s="132">
        <v>0</v>
      </c>
      <c r="I1065" s="132">
        <v>1</v>
      </c>
    </row>
    <row r="1066" spans="1:9" ht="15" customHeight="1" x14ac:dyDescent="0.25">
      <c r="A1066" s="132" t="s">
        <v>249</v>
      </c>
      <c r="B1066" s="132" t="s">
        <v>326</v>
      </c>
      <c r="C1066" s="132">
        <v>49</v>
      </c>
      <c r="D1066" s="132" t="str">
        <f t="shared" si="76"/>
        <v>Female BB RS-550 49</v>
      </c>
      <c r="E1066" s="132">
        <v>5</v>
      </c>
      <c r="F1066" s="132">
        <v>3</v>
      </c>
      <c r="G1066" s="132">
        <v>0</v>
      </c>
      <c r="H1066" s="132">
        <v>0</v>
      </c>
      <c r="I1066" s="132">
        <v>1</v>
      </c>
    </row>
    <row r="1067" spans="1:9" ht="15" customHeight="1" x14ac:dyDescent="0.25">
      <c r="A1067" s="132" t="s">
        <v>249</v>
      </c>
      <c r="B1067" s="132" t="s">
        <v>326</v>
      </c>
      <c r="C1067" s="132">
        <v>50</v>
      </c>
      <c r="D1067" s="132" t="str">
        <f t="shared" si="76"/>
        <v>Female BB RS-550 50</v>
      </c>
      <c r="E1067" s="132">
        <v>5</v>
      </c>
      <c r="F1067" s="132">
        <v>3</v>
      </c>
      <c r="G1067" s="132">
        <v>0</v>
      </c>
      <c r="H1067" s="132">
        <v>0</v>
      </c>
      <c r="I1067" s="132">
        <v>1</v>
      </c>
    </row>
    <row r="1068" spans="1:9" ht="15" customHeight="1" x14ac:dyDescent="0.25">
      <c r="A1068" s="132" t="s">
        <v>249</v>
      </c>
      <c r="B1068" s="132" t="s">
        <v>326</v>
      </c>
      <c r="C1068" s="132">
        <v>63</v>
      </c>
      <c r="D1068" s="132" t="str">
        <f t="shared" si="76"/>
        <v>Female BB RS-550 63</v>
      </c>
      <c r="E1068" s="132">
        <v>4</v>
      </c>
      <c r="F1068" s="132">
        <v>1</v>
      </c>
      <c r="G1068" s="132">
        <v>0</v>
      </c>
      <c r="H1068" s="132">
        <v>0</v>
      </c>
      <c r="I1068" s="132">
        <v>1</v>
      </c>
    </row>
    <row r="1069" spans="1:9" ht="15" customHeight="1" x14ac:dyDescent="0.25">
      <c r="A1069" s="132" t="s">
        <v>249</v>
      </c>
      <c r="B1069" s="132" t="s">
        <v>326</v>
      </c>
      <c r="C1069" s="132">
        <v>70</v>
      </c>
      <c r="D1069" s="132" t="str">
        <f t="shared" si="76"/>
        <v>Female BB RS-550 70</v>
      </c>
      <c r="E1069" s="132">
        <v>4</v>
      </c>
      <c r="F1069" s="132">
        <v>1</v>
      </c>
      <c r="G1069" s="132">
        <v>0</v>
      </c>
      <c r="H1069" s="132">
        <v>0</v>
      </c>
      <c r="I1069" s="132">
        <v>1</v>
      </c>
    </row>
    <row r="1070" spans="1:9" ht="15" customHeight="1" x14ac:dyDescent="0.25">
      <c r="A1070" s="132" t="s">
        <v>249</v>
      </c>
      <c r="B1070" s="132" t="s">
        <v>326</v>
      </c>
      <c r="C1070" s="132">
        <v>81</v>
      </c>
      <c r="D1070" s="132" t="str">
        <f t="shared" si="76"/>
        <v>Female BB RS-550 81</v>
      </c>
      <c r="E1070" s="132">
        <v>3</v>
      </c>
      <c r="F1070" s="132">
        <v>1</v>
      </c>
      <c r="G1070" s="132">
        <v>0</v>
      </c>
      <c r="H1070" s="132">
        <v>0</v>
      </c>
      <c r="I1070" s="132">
        <v>1</v>
      </c>
    </row>
    <row r="1071" spans="1:9" ht="15" customHeight="1" x14ac:dyDescent="0.25">
      <c r="A1071" s="132" t="s">
        <v>249</v>
      </c>
      <c r="B1071" s="132" t="s">
        <v>326</v>
      </c>
      <c r="C1071" s="132">
        <v>90</v>
      </c>
      <c r="D1071" s="132" t="str">
        <f t="shared" si="76"/>
        <v>Female BB RS-550 90</v>
      </c>
      <c r="E1071" s="132">
        <v>3</v>
      </c>
      <c r="F1071" s="132">
        <v>1</v>
      </c>
      <c r="G1071" s="132">
        <v>0</v>
      </c>
      <c r="H1071" s="132">
        <v>0</v>
      </c>
      <c r="I1071" s="132">
        <v>1</v>
      </c>
    </row>
    <row r="1072" spans="1:9" ht="15" customHeight="1" x14ac:dyDescent="0.25">
      <c r="A1072" s="132" t="s">
        <v>249</v>
      </c>
      <c r="B1072" s="132" t="s">
        <v>326</v>
      </c>
      <c r="C1072" s="132">
        <v>100</v>
      </c>
      <c r="D1072" s="132" t="str">
        <f t="shared" si="76"/>
        <v>Female BB RS-550 100</v>
      </c>
      <c r="E1072" s="132">
        <v>3</v>
      </c>
      <c r="F1072" s="132">
        <v>0</v>
      </c>
      <c r="G1072" s="132">
        <v>0</v>
      </c>
      <c r="H1072" s="132">
        <v>0</v>
      </c>
      <c r="I1072" s="132">
        <v>0</v>
      </c>
    </row>
    <row r="1073" spans="1:9" ht="15" customHeight="1" x14ac:dyDescent="0.25">
      <c r="A1073" s="132" t="s">
        <v>249</v>
      </c>
      <c r="B1073" s="132" t="s">
        <v>327</v>
      </c>
      <c r="C1073" s="132">
        <v>-3</v>
      </c>
      <c r="D1073" s="132" t="str">
        <f t="shared" ref="D1073:D1078" si="77">A1073&amp;" "&amp;B1073&amp;" "&amp;C1073</f>
        <v>Female BB RS-775 -3</v>
      </c>
      <c r="E1073" s="132">
        <v>1</v>
      </c>
      <c r="F1073" s="132">
        <v>1</v>
      </c>
      <c r="G1073" s="132">
        <v>1</v>
      </c>
      <c r="H1073" s="132">
        <v>0</v>
      </c>
      <c r="I1073" s="132">
        <v>1</v>
      </c>
    </row>
    <row r="1074" spans="1:9" ht="15" customHeight="1" x14ac:dyDescent="0.25">
      <c r="A1074" s="132" t="s">
        <v>249</v>
      </c>
      <c r="B1074" s="132" t="s">
        <v>327</v>
      </c>
      <c r="C1074" s="132">
        <v>-4</v>
      </c>
      <c r="D1074" s="132" t="str">
        <f t="shared" si="77"/>
        <v>Female BB RS-775 -4</v>
      </c>
      <c r="E1074" s="132">
        <v>1</v>
      </c>
      <c r="F1074" s="132">
        <v>1</v>
      </c>
      <c r="G1074" s="132">
        <v>1</v>
      </c>
      <c r="H1074" s="132">
        <v>0</v>
      </c>
      <c r="I1074" s="132">
        <v>1</v>
      </c>
    </row>
    <row r="1075" spans="1:9" ht="15" customHeight="1" x14ac:dyDescent="0.25">
      <c r="A1075" s="132" t="s">
        <v>249</v>
      </c>
      <c r="B1075" s="132" t="s">
        <v>327</v>
      </c>
      <c r="C1075" s="132">
        <v>-5</v>
      </c>
      <c r="D1075" s="132" t="str">
        <f t="shared" si="77"/>
        <v>Female BB RS-775 -5</v>
      </c>
      <c r="E1075" s="132">
        <v>1</v>
      </c>
      <c r="F1075" s="132">
        <v>1</v>
      </c>
      <c r="G1075" s="132">
        <v>1</v>
      </c>
      <c r="H1075" s="132">
        <v>0</v>
      </c>
      <c r="I1075" s="132">
        <v>1</v>
      </c>
    </row>
    <row r="1076" spans="1:9" ht="15" customHeight="1" x14ac:dyDescent="0.25">
      <c r="A1076" s="132" t="s">
        <v>249</v>
      </c>
      <c r="B1076" s="132" t="s">
        <v>327</v>
      </c>
      <c r="C1076" s="132">
        <v>-7</v>
      </c>
      <c r="D1076" s="132" t="str">
        <f t="shared" si="77"/>
        <v>Female BB RS-775 -7</v>
      </c>
      <c r="E1076" s="132">
        <v>1</v>
      </c>
      <c r="F1076" s="132">
        <v>1</v>
      </c>
      <c r="G1076" s="132">
        <v>0</v>
      </c>
      <c r="H1076" s="132">
        <v>0</v>
      </c>
      <c r="I1076" s="132">
        <v>1</v>
      </c>
    </row>
    <row r="1077" spans="1:9" ht="15" customHeight="1" x14ac:dyDescent="0.25">
      <c r="A1077" s="132" t="s">
        <v>249</v>
      </c>
      <c r="B1077" s="132" t="s">
        <v>327</v>
      </c>
      <c r="C1077" s="132">
        <v>-9</v>
      </c>
      <c r="D1077" s="132" t="str">
        <f t="shared" si="77"/>
        <v>Female BB RS-775 -9</v>
      </c>
      <c r="E1077" s="132">
        <v>1</v>
      </c>
      <c r="F1077" s="132">
        <v>1</v>
      </c>
      <c r="G1077" s="132">
        <v>0</v>
      </c>
      <c r="H1077" s="132">
        <v>0</v>
      </c>
      <c r="I1077" s="132">
        <v>1</v>
      </c>
    </row>
    <row r="1078" spans="1:9" ht="15" customHeight="1" x14ac:dyDescent="0.25">
      <c r="A1078" s="132" t="s">
        <v>249</v>
      </c>
      <c r="B1078" s="132" t="s">
        <v>327</v>
      </c>
      <c r="C1078" s="132">
        <v>-10</v>
      </c>
      <c r="D1078" s="132" t="str">
        <f t="shared" si="77"/>
        <v>Female BB RS-775 -10</v>
      </c>
      <c r="E1078" s="132">
        <v>1</v>
      </c>
      <c r="F1078" s="132">
        <v>1</v>
      </c>
      <c r="G1078" s="132">
        <v>0</v>
      </c>
      <c r="H1078" s="132">
        <v>0</v>
      </c>
      <c r="I1078" s="132">
        <v>1</v>
      </c>
    </row>
    <row r="1079" spans="1:9" ht="15" customHeight="1" x14ac:dyDescent="0.25">
      <c r="A1079" s="132" t="s">
        <v>249</v>
      </c>
      <c r="B1079" s="132" t="s">
        <v>327</v>
      </c>
      <c r="C1079" s="132">
        <v>9</v>
      </c>
      <c r="D1079" s="132" t="str">
        <f t="shared" ref="D1079:D1099" si="78">A1079&amp;" "&amp;B1079&amp;" "&amp;C1079</f>
        <v>Female BB RS-775 9</v>
      </c>
      <c r="E1079" s="132">
        <v>10</v>
      </c>
      <c r="F1079" s="132">
        <v>5</v>
      </c>
      <c r="G1079" s="132">
        <v>0</v>
      </c>
      <c r="H1079" s="132">
        <v>0</v>
      </c>
      <c r="I1079" s="132">
        <v>10</v>
      </c>
    </row>
    <row r="1080" spans="1:9" ht="15" customHeight="1" x14ac:dyDescent="0.25">
      <c r="A1080" s="132" t="s">
        <v>249</v>
      </c>
      <c r="B1080" s="132" t="s">
        <v>327</v>
      </c>
      <c r="C1080" s="132">
        <v>12</v>
      </c>
      <c r="D1080" s="132" t="str">
        <f t="shared" si="78"/>
        <v>Female BB RS-775 12</v>
      </c>
      <c r="E1080" s="132">
        <v>10</v>
      </c>
      <c r="F1080" s="132">
        <v>5</v>
      </c>
      <c r="G1080" s="132">
        <v>0</v>
      </c>
      <c r="H1080" s="132">
        <v>0</v>
      </c>
      <c r="I1080" s="132">
        <v>10</v>
      </c>
    </row>
    <row r="1081" spans="1:9" ht="15" customHeight="1" x14ac:dyDescent="0.25">
      <c r="A1081" s="132" t="s">
        <v>249</v>
      </c>
      <c r="B1081" s="132" t="s">
        <v>327</v>
      </c>
      <c r="C1081" s="132">
        <v>15</v>
      </c>
      <c r="D1081" s="132" t="str">
        <f t="shared" si="78"/>
        <v>Female BB RS-775 15</v>
      </c>
      <c r="E1081" s="132">
        <v>10</v>
      </c>
      <c r="F1081" s="132">
        <v>5</v>
      </c>
      <c r="G1081" s="132">
        <v>0</v>
      </c>
      <c r="H1081" s="132">
        <v>0</v>
      </c>
      <c r="I1081" s="132">
        <v>7</v>
      </c>
    </row>
    <row r="1082" spans="1:9" ht="15" customHeight="1" x14ac:dyDescent="0.25">
      <c r="A1082" s="132" t="s">
        <v>249</v>
      </c>
      <c r="B1082" s="132" t="s">
        <v>327</v>
      </c>
      <c r="C1082" s="132">
        <v>16</v>
      </c>
      <c r="D1082" s="132" t="str">
        <f t="shared" si="78"/>
        <v>Female BB RS-775 16</v>
      </c>
      <c r="E1082" s="132">
        <v>10</v>
      </c>
      <c r="F1082" s="132">
        <v>5</v>
      </c>
      <c r="G1082" s="132">
        <v>0</v>
      </c>
      <c r="H1082" s="132">
        <v>0</v>
      </c>
      <c r="I1082" s="132">
        <v>7</v>
      </c>
    </row>
    <row r="1083" spans="1:9" ht="15" customHeight="1" x14ac:dyDescent="0.25">
      <c r="A1083" s="132" t="s">
        <v>249</v>
      </c>
      <c r="B1083" s="132" t="s">
        <v>327</v>
      </c>
      <c r="C1083" s="132">
        <v>20</v>
      </c>
      <c r="D1083" s="132" t="str">
        <f t="shared" si="78"/>
        <v>Female BB RS-775 20</v>
      </c>
      <c r="E1083" s="132">
        <v>10</v>
      </c>
      <c r="F1083" s="132">
        <v>4</v>
      </c>
      <c r="G1083" s="132">
        <v>0</v>
      </c>
      <c r="H1083" s="132">
        <v>0</v>
      </c>
      <c r="I1083" s="132">
        <v>5</v>
      </c>
    </row>
    <row r="1084" spans="1:9" ht="15" customHeight="1" x14ac:dyDescent="0.25">
      <c r="A1084" s="132" t="s">
        <v>249</v>
      </c>
      <c r="B1084" s="132" t="s">
        <v>327</v>
      </c>
      <c r="C1084" s="132">
        <v>21</v>
      </c>
      <c r="D1084" s="132" t="str">
        <f t="shared" si="78"/>
        <v>Female BB RS-775 21</v>
      </c>
      <c r="E1084" s="132">
        <v>10</v>
      </c>
      <c r="F1084" s="132">
        <v>4</v>
      </c>
      <c r="G1084" s="132">
        <v>0</v>
      </c>
      <c r="H1084" s="132">
        <v>0</v>
      </c>
      <c r="I1084" s="132">
        <v>5</v>
      </c>
    </row>
    <row r="1085" spans="1:9" ht="15" customHeight="1" x14ac:dyDescent="0.25">
      <c r="A1085" s="132" t="s">
        <v>249</v>
      </c>
      <c r="B1085" s="132" t="s">
        <v>327</v>
      </c>
      <c r="C1085" s="132">
        <v>25</v>
      </c>
      <c r="D1085" s="132" t="str">
        <f t="shared" si="78"/>
        <v>Female BB RS-775 25</v>
      </c>
      <c r="E1085" s="132">
        <v>7</v>
      </c>
      <c r="F1085" s="132">
        <v>3</v>
      </c>
      <c r="G1085" s="132">
        <v>0</v>
      </c>
      <c r="H1085" s="132">
        <v>0</v>
      </c>
      <c r="I1085" s="132">
        <v>5</v>
      </c>
    </row>
    <row r="1086" spans="1:9" ht="15" customHeight="1" x14ac:dyDescent="0.25">
      <c r="A1086" s="132" t="s">
        <v>249</v>
      </c>
      <c r="B1086" s="132" t="s">
        <v>327</v>
      </c>
      <c r="C1086" s="132">
        <v>27</v>
      </c>
      <c r="D1086" s="132" t="str">
        <f t="shared" si="78"/>
        <v>Female BB RS-775 27</v>
      </c>
      <c r="E1086" s="132">
        <v>7</v>
      </c>
      <c r="F1086" s="132">
        <v>3</v>
      </c>
      <c r="G1086" s="132">
        <v>0</v>
      </c>
      <c r="H1086" s="132">
        <v>0</v>
      </c>
      <c r="I1086" s="132">
        <v>4</v>
      </c>
    </row>
    <row r="1087" spans="1:9" ht="15" customHeight="1" x14ac:dyDescent="0.25">
      <c r="A1087" s="132" t="s">
        <v>249</v>
      </c>
      <c r="B1087" s="132" t="s">
        <v>327</v>
      </c>
      <c r="C1087" s="132">
        <v>28</v>
      </c>
      <c r="D1087" s="132" t="str">
        <f t="shared" si="78"/>
        <v>Female BB RS-775 28</v>
      </c>
      <c r="E1087" s="132">
        <v>7</v>
      </c>
      <c r="F1087" s="132">
        <v>3</v>
      </c>
      <c r="G1087" s="132">
        <v>0</v>
      </c>
      <c r="H1087" s="132">
        <v>0</v>
      </c>
      <c r="I1087" s="132">
        <v>4</v>
      </c>
    </row>
    <row r="1088" spans="1:9" ht="15" customHeight="1" x14ac:dyDescent="0.25">
      <c r="A1088" s="132" t="s">
        <v>249</v>
      </c>
      <c r="B1088" s="132" t="s">
        <v>327</v>
      </c>
      <c r="C1088" s="132">
        <v>30</v>
      </c>
      <c r="D1088" s="132" t="str">
        <f t="shared" si="78"/>
        <v>Female BB RS-775 30</v>
      </c>
      <c r="E1088" s="132">
        <v>7</v>
      </c>
      <c r="F1088" s="132">
        <v>3</v>
      </c>
      <c r="G1088" s="132">
        <v>0</v>
      </c>
      <c r="H1088" s="132">
        <v>0</v>
      </c>
      <c r="I1088" s="132">
        <v>4</v>
      </c>
    </row>
    <row r="1089" spans="1:9" ht="15" customHeight="1" x14ac:dyDescent="0.25">
      <c r="A1089" s="132" t="s">
        <v>249</v>
      </c>
      <c r="B1089" s="132" t="s">
        <v>327</v>
      </c>
      <c r="C1089" s="132">
        <v>35</v>
      </c>
      <c r="D1089" s="132" t="str">
        <f t="shared" si="78"/>
        <v>Female BB RS-775 35</v>
      </c>
      <c r="E1089" s="132">
        <v>5</v>
      </c>
      <c r="F1089" s="132">
        <v>1</v>
      </c>
      <c r="G1089" s="132">
        <v>0</v>
      </c>
      <c r="H1089" s="132">
        <v>0</v>
      </c>
      <c r="I1089" s="132">
        <v>3</v>
      </c>
    </row>
    <row r="1090" spans="1:9" ht="15" customHeight="1" x14ac:dyDescent="0.25">
      <c r="A1090" s="132" t="s">
        <v>249</v>
      </c>
      <c r="B1090" s="132" t="s">
        <v>327</v>
      </c>
      <c r="C1090" s="132">
        <v>36</v>
      </c>
      <c r="D1090" s="132" t="str">
        <f t="shared" si="78"/>
        <v>Female BB RS-775 36</v>
      </c>
      <c r="E1090" s="132">
        <v>5</v>
      </c>
      <c r="F1090" s="132">
        <v>1</v>
      </c>
      <c r="G1090" s="132">
        <v>0</v>
      </c>
      <c r="H1090" s="132">
        <v>0</v>
      </c>
      <c r="I1090" s="132">
        <v>3</v>
      </c>
    </row>
    <row r="1091" spans="1:9" ht="15" customHeight="1" x14ac:dyDescent="0.25">
      <c r="A1091" s="132" t="s">
        <v>249</v>
      </c>
      <c r="B1091" s="132" t="s">
        <v>327</v>
      </c>
      <c r="C1091" s="132">
        <v>40</v>
      </c>
      <c r="D1091" s="132" t="str">
        <f t="shared" si="78"/>
        <v>Female BB RS-775 40</v>
      </c>
      <c r="E1091" s="132">
        <v>5</v>
      </c>
      <c r="F1091" s="132">
        <v>1</v>
      </c>
      <c r="G1091" s="132">
        <v>0</v>
      </c>
      <c r="H1091" s="132">
        <v>0</v>
      </c>
      <c r="I1091" s="132">
        <v>3</v>
      </c>
    </row>
    <row r="1092" spans="1:9" ht="15" customHeight="1" x14ac:dyDescent="0.25">
      <c r="A1092" s="132" t="s">
        <v>249</v>
      </c>
      <c r="B1092" s="132" t="s">
        <v>327</v>
      </c>
      <c r="C1092" s="132">
        <v>45</v>
      </c>
      <c r="D1092" s="132" t="str">
        <f t="shared" si="78"/>
        <v>Female BB RS-775 45</v>
      </c>
      <c r="E1092" s="132">
        <v>5</v>
      </c>
      <c r="F1092" s="132">
        <v>1</v>
      </c>
      <c r="G1092" s="132">
        <v>0</v>
      </c>
      <c r="H1092" s="132">
        <v>0</v>
      </c>
      <c r="I1092" s="132">
        <v>1</v>
      </c>
    </row>
    <row r="1093" spans="1:9" ht="15" customHeight="1" x14ac:dyDescent="0.25">
      <c r="A1093" s="132" t="s">
        <v>249</v>
      </c>
      <c r="B1093" s="132" t="s">
        <v>327</v>
      </c>
      <c r="C1093" s="132">
        <v>49</v>
      </c>
      <c r="D1093" s="132" t="str">
        <f t="shared" si="78"/>
        <v>Female BB RS-775 49</v>
      </c>
      <c r="E1093" s="132">
        <v>5</v>
      </c>
      <c r="F1093" s="132">
        <v>1</v>
      </c>
      <c r="G1093" s="132">
        <v>0</v>
      </c>
      <c r="H1093" s="132">
        <v>0</v>
      </c>
      <c r="I1093" s="132">
        <v>1</v>
      </c>
    </row>
    <row r="1094" spans="1:9" ht="15" customHeight="1" x14ac:dyDescent="0.25">
      <c r="A1094" s="132" t="s">
        <v>249</v>
      </c>
      <c r="B1094" s="132" t="s">
        <v>327</v>
      </c>
      <c r="C1094" s="132">
        <v>50</v>
      </c>
      <c r="D1094" s="132" t="str">
        <f t="shared" si="78"/>
        <v>Female BB RS-775 50</v>
      </c>
      <c r="E1094" s="132">
        <v>5</v>
      </c>
      <c r="F1094" s="132">
        <v>1</v>
      </c>
      <c r="G1094" s="132">
        <v>0</v>
      </c>
      <c r="H1094" s="132">
        <v>0</v>
      </c>
      <c r="I1094" s="132">
        <v>1</v>
      </c>
    </row>
    <row r="1095" spans="1:9" ht="15" customHeight="1" x14ac:dyDescent="0.25">
      <c r="A1095" s="132" t="s">
        <v>249</v>
      </c>
      <c r="B1095" s="132" t="s">
        <v>327</v>
      </c>
      <c r="C1095" s="132">
        <v>63</v>
      </c>
      <c r="D1095" s="132" t="str">
        <f t="shared" si="78"/>
        <v>Female BB RS-775 63</v>
      </c>
      <c r="E1095" s="132">
        <v>5</v>
      </c>
      <c r="F1095" s="132">
        <v>0</v>
      </c>
      <c r="G1095" s="132">
        <v>0</v>
      </c>
      <c r="H1095" s="132">
        <v>0</v>
      </c>
      <c r="I1095" s="132">
        <v>1</v>
      </c>
    </row>
    <row r="1096" spans="1:9" ht="15" customHeight="1" x14ac:dyDescent="0.25">
      <c r="A1096" s="132" t="s">
        <v>249</v>
      </c>
      <c r="B1096" s="132" t="s">
        <v>327</v>
      </c>
      <c r="C1096" s="132">
        <v>70</v>
      </c>
      <c r="D1096" s="132" t="str">
        <f t="shared" si="78"/>
        <v>Female BB RS-775 70</v>
      </c>
      <c r="E1096" s="132">
        <v>4</v>
      </c>
      <c r="F1096" s="132">
        <v>0</v>
      </c>
      <c r="G1096" s="132">
        <v>0</v>
      </c>
      <c r="H1096" s="132">
        <v>0</v>
      </c>
      <c r="I1096" s="132">
        <v>1</v>
      </c>
    </row>
    <row r="1097" spans="1:9" ht="15" customHeight="1" x14ac:dyDescent="0.25">
      <c r="A1097" s="132" t="s">
        <v>249</v>
      </c>
      <c r="B1097" s="132" t="s">
        <v>327</v>
      </c>
      <c r="C1097" s="132">
        <v>81</v>
      </c>
      <c r="D1097" s="132" t="str">
        <f t="shared" si="78"/>
        <v>Female BB RS-775 81</v>
      </c>
      <c r="E1097" s="132">
        <v>4</v>
      </c>
      <c r="F1097" s="132">
        <v>0</v>
      </c>
      <c r="G1097" s="132">
        <v>0</v>
      </c>
      <c r="H1097" s="132">
        <v>0</v>
      </c>
      <c r="I1097" s="132">
        <v>1</v>
      </c>
    </row>
    <row r="1098" spans="1:9" ht="15" customHeight="1" x14ac:dyDescent="0.25">
      <c r="A1098" s="132" t="s">
        <v>249</v>
      </c>
      <c r="B1098" s="132" t="s">
        <v>327</v>
      </c>
      <c r="C1098" s="132">
        <v>90</v>
      </c>
      <c r="D1098" s="132" t="str">
        <f t="shared" si="78"/>
        <v>Female BB RS-775 90</v>
      </c>
      <c r="E1098" s="132">
        <v>3</v>
      </c>
      <c r="F1098" s="132">
        <v>0</v>
      </c>
      <c r="G1098" s="132">
        <v>0</v>
      </c>
      <c r="H1098" s="132">
        <v>0</v>
      </c>
      <c r="I1098" s="132">
        <v>1</v>
      </c>
    </row>
    <row r="1099" spans="1:9" ht="15" customHeight="1" x14ac:dyDescent="0.25">
      <c r="A1099" s="132" t="s">
        <v>249</v>
      </c>
      <c r="B1099" s="132" t="s">
        <v>327</v>
      </c>
      <c r="C1099" s="132">
        <v>100</v>
      </c>
      <c r="D1099" s="132" t="str">
        <f t="shared" si="78"/>
        <v>Female BB RS-775 100</v>
      </c>
      <c r="E1099" s="132">
        <v>3</v>
      </c>
      <c r="F1099" s="132">
        <v>0</v>
      </c>
      <c r="G1099" s="132">
        <v>0</v>
      </c>
      <c r="H1099" s="132">
        <v>0</v>
      </c>
      <c r="I1099" s="132">
        <v>1</v>
      </c>
    </row>
    <row r="1100" spans="1:9" ht="15" customHeight="1" x14ac:dyDescent="0.25">
      <c r="A1100" s="132" t="s">
        <v>249</v>
      </c>
      <c r="B1100" s="132" t="s">
        <v>8</v>
      </c>
      <c r="C1100" s="132">
        <v>-3</v>
      </c>
      <c r="D1100" s="132" t="str">
        <f t="shared" ref="D1100:D1105" si="79">A1100&amp;" "&amp;B1100&amp;" "&amp;C1100</f>
        <v>Female BAG Motor -3</v>
      </c>
      <c r="E1100" s="132">
        <v>1</v>
      </c>
      <c r="F1100" s="132">
        <v>1</v>
      </c>
      <c r="G1100" s="132">
        <v>1</v>
      </c>
      <c r="H1100" s="132">
        <v>0</v>
      </c>
      <c r="I1100" s="132">
        <v>1</v>
      </c>
    </row>
    <row r="1101" spans="1:9" ht="15" customHeight="1" x14ac:dyDescent="0.25">
      <c r="A1101" s="132" t="s">
        <v>249</v>
      </c>
      <c r="B1101" s="132" t="s">
        <v>8</v>
      </c>
      <c r="C1101" s="132">
        <v>-4</v>
      </c>
      <c r="D1101" s="132" t="str">
        <f t="shared" si="79"/>
        <v>Female BAG Motor -4</v>
      </c>
      <c r="E1101" s="132">
        <v>1</v>
      </c>
      <c r="F1101" s="132">
        <v>1</v>
      </c>
      <c r="G1101" s="132">
        <v>1</v>
      </c>
      <c r="H1101" s="132">
        <v>0</v>
      </c>
      <c r="I1101" s="132">
        <v>1</v>
      </c>
    </row>
    <row r="1102" spans="1:9" ht="15" customHeight="1" x14ac:dyDescent="0.25">
      <c r="A1102" s="132" t="s">
        <v>249</v>
      </c>
      <c r="B1102" s="132" t="s">
        <v>8</v>
      </c>
      <c r="C1102" s="132">
        <v>-5</v>
      </c>
      <c r="D1102" s="132" t="str">
        <f t="shared" si="79"/>
        <v>Female BAG Motor -5</v>
      </c>
      <c r="E1102" s="132">
        <v>1</v>
      </c>
      <c r="F1102" s="132">
        <v>1</v>
      </c>
      <c r="G1102" s="132">
        <v>1</v>
      </c>
      <c r="H1102" s="132">
        <v>0</v>
      </c>
      <c r="I1102" s="132">
        <v>1</v>
      </c>
    </row>
    <row r="1103" spans="1:9" ht="15" customHeight="1" x14ac:dyDescent="0.25">
      <c r="A1103" s="132" t="s">
        <v>249</v>
      </c>
      <c r="B1103" s="132" t="s">
        <v>8</v>
      </c>
      <c r="C1103" s="132">
        <v>-7</v>
      </c>
      <c r="D1103" s="132" t="str">
        <f t="shared" si="79"/>
        <v>Female BAG Motor -7</v>
      </c>
      <c r="E1103" s="132">
        <v>1</v>
      </c>
      <c r="F1103" s="132">
        <v>1</v>
      </c>
      <c r="G1103" s="132">
        <v>1</v>
      </c>
      <c r="H1103" s="132">
        <v>0</v>
      </c>
      <c r="I1103" s="132">
        <v>1</v>
      </c>
    </row>
    <row r="1104" spans="1:9" ht="15" customHeight="1" x14ac:dyDescent="0.25">
      <c r="A1104" s="132" t="s">
        <v>249</v>
      </c>
      <c r="B1104" s="132" t="s">
        <v>8</v>
      </c>
      <c r="C1104" s="132">
        <v>-9</v>
      </c>
      <c r="D1104" s="132" t="str">
        <f t="shared" si="79"/>
        <v>Female BAG Motor -9</v>
      </c>
      <c r="E1104" s="132">
        <v>1</v>
      </c>
      <c r="F1104" s="132">
        <v>1</v>
      </c>
      <c r="G1104" s="132">
        <v>0</v>
      </c>
      <c r="H1104" s="132">
        <v>0</v>
      </c>
      <c r="I1104" s="132">
        <v>1</v>
      </c>
    </row>
    <row r="1105" spans="1:9" ht="15" customHeight="1" x14ac:dyDescent="0.25">
      <c r="A1105" s="132" t="s">
        <v>249</v>
      </c>
      <c r="B1105" s="132" t="s">
        <v>8</v>
      </c>
      <c r="C1105" s="132">
        <v>-10</v>
      </c>
      <c r="D1105" s="132" t="str">
        <f t="shared" si="79"/>
        <v>Female BAG Motor -10</v>
      </c>
      <c r="E1105" s="132">
        <v>1</v>
      </c>
      <c r="F1105" s="132">
        <v>1</v>
      </c>
      <c r="G1105" s="132">
        <v>0</v>
      </c>
      <c r="H1105" s="132">
        <v>0</v>
      </c>
      <c r="I1105" s="132">
        <v>1</v>
      </c>
    </row>
    <row r="1106" spans="1:9" ht="15" customHeight="1" x14ac:dyDescent="0.25">
      <c r="A1106" s="132" t="s">
        <v>249</v>
      </c>
      <c r="B1106" s="132" t="s">
        <v>8</v>
      </c>
      <c r="C1106" s="132">
        <v>9</v>
      </c>
      <c r="D1106" s="132" t="str">
        <f t="shared" ref="D1106:D1126" si="80">A1106&amp;" "&amp;B1106&amp;" "&amp;C1106</f>
        <v>Female BAG Motor 9</v>
      </c>
      <c r="E1106" s="132">
        <v>10</v>
      </c>
      <c r="F1106" s="132">
        <v>10</v>
      </c>
      <c r="G1106" s="132">
        <v>1</v>
      </c>
      <c r="H1106" s="132">
        <v>0</v>
      </c>
      <c r="I1106" s="132">
        <v>9</v>
      </c>
    </row>
    <row r="1107" spans="1:9" ht="15" customHeight="1" x14ac:dyDescent="0.25">
      <c r="A1107" s="132" t="s">
        <v>249</v>
      </c>
      <c r="B1107" s="132" t="s">
        <v>8</v>
      </c>
      <c r="C1107" s="132">
        <v>12</v>
      </c>
      <c r="D1107" s="132" t="str">
        <f t="shared" si="80"/>
        <v>Female BAG Motor 12</v>
      </c>
      <c r="E1107" s="132">
        <v>10</v>
      </c>
      <c r="F1107" s="132">
        <v>9</v>
      </c>
      <c r="G1107" s="132">
        <v>1</v>
      </c>
      <c r="H1107" s="132">
        <v>0</v>
      </c>
      <c r="I1107" s="132">
        <v>5</v>
      </c>
    </row>
    <row r="1108" spans="1:9" ht="15" customHeight="1" x14ac:dyDescent="0.25">
      <c r="A1108" s="132" t="s">
        <v>249</v>
      </c>
      <c r="B1108" s="132" t="s">
        <v>8</v>
      </c>
      <c r="C1108" s="132">
        <v>15</v>
      </c>
      <c r="D1108" s="132" t="str">
        <f t="shared" si="80"/>
        <v>Female BAG Motor 15</v>
      </c>
      <c r="E1108" s="132">
        <v>10</v>
      </c>
      <c r="F1108" s="132">
        <v>7</v>
      </c>
      <c r="G1108" s="132">
        <v>0</v>
      </c>
      <c r="H1108" s="132">
        <v>0</v>
      </c>
      <c r="I1108" s="132">
        <v>5</v>
      </c>
    </row>
    <row r="1109" spans="1:9" ht="15" customHeight="1" x14ac:dyDescent="0.25">
      <c r="A1109" s="132" t="s">
        <v>249</v>
      </c>
      <c r="B1109" s="132" t="s">
        <v>8</v>
      </c>
      <c r="C1109" s="132">
        <v>16</v>
      </c>
      <c r="D1109" s="132" t="str">
        <f t="shared" si="80"/>
        <v>Female BAG Motor 16</v>
      </c>
      <c r="E1109" s="132">
        <v>10</v>
      </c>
      <c r="F1109" s="132">
        <v>5</v>
      </c>
      <c r="G1109" s="132">
        <v>0</v>
      </c>
      <c r="H1109" s="132">
        <v>0</v>
      </c>
      <c r="I1109" s="132">
        <v>5</v>
      </c>
    </row>
    <row r="1110" spans="1:9" ht="15" customHeight="1" x14ac:dyDescent="0.25">
      <c r="A1110" s="132" t="s">
        <v>249</v>
      </c>
      <c r="B1110" s="132" t="s">
        <v>8</v>
      </c>
      <c r="C1110" s="132">
        <v>20</v>
      </c>
      <c r="D1110" s="132" t="str">
        <f t="shared" si="80"/>
        <v>Female BAG Motor 20</v>
      </c>
      <c r="E1110" s="132">
        <v>9</v>
      </c>
      <c r="F1110" s="132">
        <v>5</v>
      </c>
      <c r="G1110" s="132">
        <v>0</v>
      </c>
      <c r="H1110" s="132">
        <v>0</v>
      </c>
      <c r="I1110" s="132">
        <v>4</v>
      </c>
    </row>
    <row r="1111" spans="1:9" ht="15" customHeight="1" x14ac:dyDescent="0.25">
      <c r="A1111" s="132" t="s">
        <v>249</v>
      </c>
      <c r="B1111" s="132" t="s">
        <v>8</v>
      </c>
      <c r="C1111" s="132">
        <v>21</v>
      </c>
      <c r="D1111" s="132" t="str">
        <f t="shared" si="80"/>
        <v>Female BAG Motor 21</v>
      </c>
      <c r="E1111" s="132">
        <v>9</v>
      </c>
      <c r="F1111" s="132">
        <v>5</v>
      </c>
      <c r="G1111" s="132">
        <v>0</v>
      </c>
      <c r="H1111" s="132">
        <v>0</v>
      </c>
      <c r="I1111" s="132">
        <v>3</v>
      </c>
    </row>
    <row r="1112" spans="1:9" ht="15" customHeight="1" x14ac:dyDescent="0.25">
      <c r="A1112" s="132" t="s">
        <v>249</v>
      </c>
      <c r="B1112" s="132" t="s">
        <v>8</v>
      </c>
      <c r="C1112" s="132">
        <v>25</v>
      </c>
      <c r="D1112" s="132" t="str">
        <f t="shared" si="80"/>
        <v>Female BAG Motor 25</v>
      </c>
      <c r="E1112" s="132">
        <v>7</v>
      </c>
      <c r="F1112" s="132">
        <v>5</v>
      </c>
      <c r="G1112" s="132">
        <v>0</v>
      </c>
      <c r="H1112" s="132">
        <v>0</v>
      </c>
      <c r="I1112" s="132">
        <v>3</v>
      </c>
    </row>
    <row r="1113" spans="1:9" ht="15" customHeight="1" x14ac:dyDescent="0.25">
      <c r="A1113" s="132" t="s">
        <v>249</v>
      </c>
      <c r="B1113" s="132" t="s">
        <v>8</v>
      </c>
      <c r="C1113" s="132">
        <v>27</v>
      </c>
      <c r="D1113" s="132" t="str">
        <f t="shared" si="80"/>
        <v>Female BAG Motor 27</v>
      </c>
      <c r="E1113" s="132">
        <v>7</v>
      </c>
      <c r="F1113" s="132">
        <v>5</v>
      </c>
      <c r="G1113" s="132">
        <v>0</v>
      </c>
      <c r="H1113" s="132">
        <v>0</v>
      </c>
      <c r="I1113" s="132">
        <v>3</v>
      </c>
    </row>
    <row r="1114" spans="1:9" ht="15" customHeight="1" x14ac:dyDescent="0.25">
      <c r="A1114" s="132" t="s">
        <v>249</v>
      </c>
      <c r="B1114" s="132" t="s">
        <v>8</v>
      </c>
      <c r="C1114" s="132">
        <v>28</v>
      </c>
      <c r="D1114" s="132" t="str">
        <f t="shared" si="80"/>
        <v>Female BAG Motor 28</v>
      </c>
      <c r="E1114" s="132">
        <v>7</v>
      </c>
      <c r="F1114" s="132">
        <v>5</v>
      </c>
      <c r="G1114" s="132">
        <v>0</v>
      </c>
      <c r="H1114" s="132">
        <v>0</v>
      </c>
      <c r="I1114" s="132">
        <v>1</v>
      </c>
    </row>
    <row r="1115" spans="1:9" ht="15" customHeight="1" x14ac:dyDescent="0.25">
      <c r="A1115" s="132" t="s">
        <v>249</v>
      </c>
      <c r="B1115" s="132" t="s">
        <v>8</v>
      </c>
      <c r="C1115" s="132">
        <v>30</v>
      </c>
      <c r="D1115" s="132" t="str">
        <f t="shared" si="80"/>
        <v>Female BAG Motor 30</v>
      </c>
      <c r="E1115" s="132">
        <v>5</v>
      </c>
      <c r="F1115" s="132">
        <v>5</v>
      </c>
      <c r="G1115" s="132">
        <v>0</v>
      </c>
      <c r="H1115" s="132">
        <v>0</v>
      </c>
      <c r="I1115" s="132">
        <v>1</v>
      </c>
    </row>
    <row r="1116" spans="1:9" ht="15" customHeight="1" x14ac:dyDescent="0.25">
      <c r="A1116" s="132" t="s">
        <v>249</v>
      </c>
      <c r="B1116" s="132" t="s">
        <v>8</v>
      </c>
      <c r="C1116" s="132">
        <v>35</v>
      </c>
      <c r="D1116" s="132" t="str">
        <f t="shared" si="80"/>
        <v>Female BAG Motor 35</v>
      </c>
      <c r="E1116" s="132">
        <v>5</v>
      </c>
      <c r="F1116" s="132">
        <v>4</v>
      </c>
      <c r="G1116" s="132">
        <v>0</v>
      </c>
      <c r="H1116" s="132">
        <v>0</v>
      </c>
      <c r="I1116" s="132">
        <v>1</v>
      </c>
    </row>
    <row r="1117" spans="1:9" ht="15" customHeight="1" x14ac:dyDescent="0.25">
      <c r="A1117" s="132" t="s">
        <v>249</v>
      </c>
      <c r="B1117" s="132" t="s">
        <v>8</v>
      </c>
      <c r="C1117" s="132">
        <v>36</v>
      </c>
      <c r="D1117" s="132" t="str">
        <f t="shared" si="80"/>
        <v>Female BAG Motor 36</v>
      </c>
      <c r="E1117" s="132">
        <v>5</v>
      </c>
      <c r="F1117" s="132">
        <v>4</v>
      </c>
      <c r="G1117" s="132">
        <v>0</v>
      </c>
      <c r="H1117" s="132">
        <v>0</v>
      </c>
      <c r="I1117" s="132">
        <v>1</v>
      </c>
    </row>
    <row r="1118" spans="1:9" ht="15" customHeight="1" x14ac:dyDescent="0.25">
      <c r="A1118" s="132" t="s">
        <v>249</v>
      </c>
      <c r="B1118" s="132" t="s">
        <v>8</v>
      </c>
      <c r="C1118" s="132">
        <v>40</v>
      </c>
      <c r="D1118" s="132" t="str">
        <f t="shared" si="80"/>
        <v>Female BAG Motor 40</v>
      </c>
      <c r="E1118" s="132">
        <v>5</v>
      </c>
      <c r="F1118" s="132">
        <v>4</v>
      </c>
      <c r="G1118" s="132">
        <v>0</v>
      </c>
      <c r="H1118" s="132">
        <v>0</v>
      </c>
      <c r="I1118" s="132">
        <v>1</v>
      </c>
    </row>
    <row r="1119" spans="1:9" ht="15" customHeight="1" x14ac:dyDescent="0.25">
      <c r="A1119" s="132" t="s">
        <v>249</v>
      </c>
      <c r="B1119" s="132" t="s">
        <v>8</v>
      </c>
      <c r="C1119" s="132">
        <v>45</v>
      </c>
      <c r="D1119" s="132" t="str">
        <f t="shared" si="80"/>
        <v>Female BAG Motor 45</v>
      </c>
      <c r="E1119" s="132">
        <v>5</v>
      </c>
      <c r="F1119" s="132">
        <v>3</v>
      </c>
      <c r="G1119" s="132">
        <v>0</v>
      </c>
      <c r="H1119" s="132">
        <v>0</v>
      </c>
      <c r="I1119" s="132">
        <v>1</v>
      </c>
    </row>
    <row r="1120" spans="1:9" ht="15" customHeight="1" x14ac:dyDescent="0.25">
      <c r="A1120" s="132" t="s">
        <v>249</v>
      </c>
      <c r="B1120" s="132" t="s">
        <v>8</v>
      </c>
      <c r="C1120" s="132">
        <v>49</v>
      </c>
      <c r="D1120" s="132" t="str">
        <f t="shared" si="80"/>
        <v>Female BAG Motor 49</v>
      </c>
      <c r="E1120" s="132">
        <v>5</v>
      </c>
      <c r="F1120" s="132">
        <v>3</v>
      </c>
      <c r="G1120" s="132">
        <v>0</v>
      </c>
      <c r="H1120" s="132">
        <v>0</v>
      </c>
      <c r="I1120" s="132">
        <v>1</v>
      </c>
    </row>
    <row r="1121" spans="1:9" ht="15" customHeight="1" x14ac:dyDescent="0.25">
      <c r="A1121" s="132" t="s">
        <v>249</v>
      </c>
      <c r="B1121" s="132" t="s">
        <v>8</v>
      </c>
      <c r="C1121" s="132">
        <v>50</v>
      </c>
      <c r="D1121" s="132" t="str">
        <f t="shared" si="80"/>
        <v>Female BAG Motor 50</v>
      </c>
      <c r="E1121" s="132">
        <v>5</v>
      </c>
      <c r="F1121" s="132">
        <v>3</v>
      </c>
      <c r="G1121" s="132">
        <v>0</v>
      </c>
      <c r="H1121" s="132">
        <v>0</v>
      </c>
      <c r="I1121" s="132">
        <v>1</v>
      </c>
    </row>
    <row r="1122" spans="1:9" ht="15" customHeight="1" x14ac:dyDescent="0.25">
      <c r="A1122" s="132" t="s">
        <v>249</v>
      </c>
      <c r="B1122" s="132" t="s">
        <v>8</v>
      </c>
      <c r="C1122" s="132">
        <v>63</v>
      </c>
      <c r="D1122" s="132" t="str">
        <f t="shared" si="80"/>
        <v>Female BAG Motor 63</v>
      </c>
      <c r="E1122" s="132">
        <v>4</v>
      </c>
      <c r="F1122" s="132">
        <v>1</v>
      </c>
      <c r="G1122" s="132">
        <v>0</v>
      </c>
      <c r="H1122" s="132">
        <v>0</v>
      </c>
      <c r="I1122" s="132">
        <v>1</v>
      </c>
    </row>
    <row r="1123" spans="1:9" ht="15" customHeight="1" x14ac:dyDescent="0.25">
      <c r="A1123" s="132" t="s">
        <v>249</v>
      </c>
      <c r="B1123" s="132" t="s">
        <v>8</v>
      </c>
      <c r="C1123" s="132">
        <v>70</v>
      </c>
      <c r="D1123" s="132" t="str">
        <f t="shared" si="80"/>
        <v>Female BAG Motor 70</v>
      </c>
      <c r="E1123" s="132">
        <v>4</v>
      </c>
      <c r="F1123" s="132">
        <v>1</v>
      </c>
      <c r="G1123" s="132">
        <v>0</v>
      </c>
      <c r="H1123" s="132">
        <v>0</v>
      </c>
      <c r="I1123" s="132">
        <v>1</v>
      </c>
    </row>
    <row r="1124" spans="1:9" ht="15" customHeight="1" x14ac:dyDescent="0.25">
      <c r="A1124" s="132" t="s">
        <v>249</v>
      </c>
      <c r="B1124" s="132" t="s">
        <v>8</v>
      </c>
      <c r="C1124" s="132">
        <v>81</v>
      </c>
      <c r="D1124" s="132" t="str">
        <f t="shared" si="80"/>
        <v>Female BAG Motor 81</v>
      </c>
      <c r="E1124" s="132">
        <v>3</v>
      </c>
      <c r="F1124" s="132">
        <v>1</v>
      </c>
      <c r="G1124" s="132">
        <v>0</v>
      </c>
      <c r="H1124" s="132">
        <v>0</v>
      </c>
      <c r="I1124" s="132">
        <v>1</v>
      </c>
    </row>
    <row r="1125" spans="1:9" ht="15" customHeight="1" x14ac:dyDescent="0.25">
      <c r="A1125" s="132" t="s">
        <v>249</v>
      </c>
      <c r="B1125" s="132" t="s">
        <v>8</v>
      </c>
      <c r="C1125" s="132">
        <v>90</v>
      </c>
      <c r="D1125" s="132" t="str">
        <f t="shared" si="80"/>
        <v>Female BAG Motor 90</v>
      </c>
      <c r="E1125" s="132">
        <v>3</v>
      </c>
      <c r="F1125" s="132">
        <v>1</v>
      </c>
      <c r="G1125" s="132">
        <v>0</v>
      </c>
      <c r="H1125" s="132">
        <v>0</v>
      </c>
      <c r="I1125" s="132">
        <v>0</v>
      </c>
    </row>
    <row r="1126" spans="1:9" ht="15" customHeight="1" x14ac:dyDescent="0.25">
      <c r="A1126" s="132" t="s">
        <v>249</v>
      </c>
      <c r="B1126" s="132" t="s">
        <v>8</v>
      </c>
      <c r="C1126" s="132">
        <v>100</v>
      </c>
      <c r="D1126" s="132" t="str">
        <f t="shared" si="80"/>
        <v>Female BAG Motor 100</v>
      </c>
      <c r="E1126" s="132">
        <v>3</v>
      </c>
      <c r="F1126" s="132">
        <v>1</v>
      </c>
      <c r="G1126" s="132">
        <v>0</v>
      </c>
      <c r="H1126" s="132">
        <v>0</v>
      </c>
      <c r="I1126" s="132">
        <v>0</v>
      </c>
    </row>
    <row r="1127" spans="1:9" ht="15" customHeight="1" x14ac:dyDescent="0.25">
      <c r="A1127" s="132" t="s">
        <v>249</v>
      </c>
      <c r="B1127" s="132" t="s">
        <v>255</v>
      </c>
      <c r="C1127" s="132">
        <v>-3</v>
      </c>
      <c r="D1127" s="132" t="str">
        <f t="shared" ref="D1127:D1132" si="81">A1127&amp;" "&amp;B1127&amp;" "&amp;C1127</f>
        <v>Female 775pro -3</v>
      </c>
      <c r="E1127" s="132">
        <v>1</v>
      </c>
      <c r="F1127" s="132">
        <v>1</v>
      </c>
      <c r="G1127" s="132">
        <v>1</v>
      </c>
      <c r="H1127" s="132">
        <v>0</v>
      </c>
      <c r="I1127" s="132">
        <v>1</v>
      </c>
    </row>
    <row r="1128" spans="1:9" ht="15" customHeight="1" x14ac:dyDescent="0.25">
      <c r="A1128" s="132" t="s">
        <v>249</v>
      </c>
      <c r="B1128" s="132" t="s">
        <v>255</v>
      </c>
      <c r="C1128" s="132">
        <v>-4</v>
      </c>
      <c r="D1128" s="132" t="str">
        <f t="shared" si="81"/>
        <v>Female 775pro -4</v>
      </c>
      <c r="E1128" s="132">
        <v>1</v>
      </c>
      <c r="F1128" s="132">
        <v>1</v>
      </c>
      <c r="G1128" s="132">
        <v>1</v>
      </c>
      <c r="H1128" s="132">
        <v>0</v>
      </c>
      <c r="I1128" s="132">
        <v>1</v>
      </c>
    </row>
    <row r="1129" spans="1:9" ht="15" customHeight="1" x14ac:dyDescent="0.25">
      <c r="A1129" s="132" t="s">
        <v>249</v>
      </c>
      <c r="B1129" s="132" t="s">
        <v>255</v>
      </c>
      <c r="C1129" s="132">
        <v>-5</v>
      </c>
      <c r="D1129" s="132" t="str">
        <f t="shared" si="81"/>
        <v>Female 775pro -5</v>
      </c>
      <c r="E1129" s="132">
        <v>1</v>
      </c>
      <c r="F1129" s="132">
        <v>1</v>
      </c>
      <c r="G1129" s="132">
        <v>1</v>
      </c>
      <c r="H1129" s="132">
        <v>0</v>
      </c>
      <c r="I1129" s="132">
        <v>1</v>
      </c>
    </row>
    <row r="1130" spans="1:9" ht="15" customHeight="1" x14ac:dyDescent="0.25">
      <c r="A1130" s="132" t="s">
        <v>249</v>
      </c>
      <c r="B1130" s="132" t="s">
        <v>255</v>
      </c>
      <c r="C1130" s="132">
        <v>-7</v>
      </c>
      <c r="D1130" s="132" t="str">
        <f t="shared" si="81"/>
        <v>Female 775pro -7</v>
      </c>
      <c r="E1130" s="132">
        <v>1</v>
      </c>
      <c r="F1130" s="132">
        <v>1</v>
      </c>
      <c r="G1130" s="132">
        <v>0</v>
      </c>
      <c r="H1130" s="132">
        <v>0</v>
      </c>
      <c r="I1130" s="132">
        <v>1</v>
      </c>
    </row>
    <row r="1131" spans="1:9" ht="15" customHeight="1" x14ac:dyDescent="0.25">
      <c r="A1131" s="132" t="s">
        <v>249</v>
      </c>
      <c r="B1131" s="132" t="s">
        <v>255</v>
      </c>
      <c r="C1131" s="132">
        <v>-9</v>
      </c>
      <c r="D1131" s="132" t="str">
        <f t="shared" si="81"/>
        <v>Female 775pro -9</v>
      </c>
      <c r="E1131" s="132">
        <v>1</v>
      </c>
      <c r="F1131" s="132">
        <v>1</v>
      </c>
      <c r="G1131" s="132">
        <v>0</v>
      </c>
      <c r="H1131" s="132">
        <v>0</v>
      </c>
      <c r="I1131" s="132">
        <v>1</v>
      </c>
    </row>
    <row r="1132" spans="1:9" ht="15" customHeight="1" x14ac:dyDescent="0.25">
      <c r="A1132" s="132" t="s">
        <v>249</v>
      </c>
      <c r="B1132" s="132" t="s">
        <v>255</v>
      </c>
      <c r="C1132" s="132">
        <v>-10</v>
      </c>
      <c r="D1132" s="132" t="str">
        <f t="shared" si="81"/>
        <v>Female 775pro -10</v>
      </c>
      <c r="E1132" s="132">
        <v>1</v>
      </c>
      <c r="F1132" s="132">
        <v>1</v>
      </c>
      <c r="G1132" s="132">
        <v>0</v>
      </c>
      <c r="H1132" s="132">
        <v>0</v>
      </c>
      <c r="I1132" s="132">
        <v>1</v>
      </c>
    </row>
    <row r="1133" spans="1:9" ht="15" customHeight="1" x14ac:dyDescent="0.25">
      <c r="A1133" s="132" t="s">
        <v>249</v>
      </c>
      <c r="B1133" s="132" t="s">
        <v>255</v>
      </c>
      <c r="C1133" s="132">
        <v>9</v>
      </c>
      <c r="D1133" s="132" t="str">
        <f t="shared" ref="D1133:D1153" si="82">A1133&amp;" "&amp;B1133&amp;" "&amp;C1133</f>
        <v>Female 775pro 9</v>
      </c>
      <c r="E1133" s="132">
        <v>10</v>
      </c>
      <c r="F1133" s="132">
        <v>7</v>
      </c>
      <c r="G1133" s="132">
        <v>0</v>
      </c>
      <c r="H1133" s="132">
        <v>0</v>
      </c>
      <c r="I1133" s="132">
        <v>5</v>
      </c>
    </row>
    <row r="1134" spans="1:9" ht="15" customHeight="1" x14ac:dyDescent="0.25">
      <c r="A1134" s="132" t="s">
        <v>249</v>
      </c>
      <c r="B1134" s="132" t="s">
        <v>255</v>
      </c>
      <c r="C1134" s="132">
        <v>12</v>
      </c>
      <c r="D1134" s="132" t="str">
        <f t="shared" si="82"/>
        <v>Female 775pro 12</v>
      </c>
      <c r="E1134" s="132">
        <v>10</v>
      </c>
      <c r="F1134" s="132">
        <v>5</v>
      </c>
      <c r="G1134" s="132">
        <v>0</v>
      </c>
      <c r="H1134" s="132">
        <v>0</v>
      </c>
      <c r="I1134" s="132">
        <v>4</v>
      </c>
    </row>
    <row r="1135" spans="1:9" ht="15" customHeight="1" x14ac:dyDescent="0.25">
      <c r="A1135" s="132" t="s">
        <v>249</v>
      </c>
      <c r="B1135" s="132" t="s">
        <v>255</v>
      </c>
      <c r="C1135" s="132">
        <v>15</v>
      </c>
      <c r="D1135" s="132" t="str">
        <f t="shared" si="82"/>
        <v>Female 775pro 15</v>
      </c>
      <c r="E1135" s="132">
        <v>9</v>
      </c>
      <c r="F1135" s="132">
        <v>5</v>
      </c>
      <c r="G1135" s="132">
        <v>0</v>
      </c>
      <c r="H1135" s="132">
        <v>0</v>
      </c>
      <c r="I1135" s="132">
        <v>3</v>
      </c>
    </row>
    <row r="1136" spans="1:9" ht="15" customHeight="1" x14ac:dyDescent="0.25">
      <c r="A1136" s="132" t="s">
        <v>249</v>
      </c>
      <c r="B1136" s="132" t="s">
        <v>255</v>
      </c>
      <c r="C1136" s="132">
        <v>16</v>
      </c>
      <c r="D1136" s="132" t="str">
        <f t="shared" si="82"/>
        <v>Female 775pro 16</v>
      </c>
      <c r="E1136" s="132">
        <v>7</v>
      </c>
      <c r="F1136" s="132">
        <v>5</v>
      </c>
      <c r="G1136" s="132">
        <v>0</v>
      </c>
      <c r="H1136" s="132">
        <v>0</v>
      </c>
      <c r="I1136" s="132">
        <v>3</v>
      </c>
    </row>
    <row r="1137" spans="1:9" ht="15" customHeight="1" x14ac:dyDescent="0.25">
      <c r="A1137" s="132" t="s">
        <v>249</v>
      </c>
      <c r="B1137" s="132" t="s">
        <v>255</v>
      </c>
      <c r="C1137" s="132">
        <v>20</v>
      </c>
      <c r="D1137" s="132" t="str">
        <f t="shared" si="82"/>
        <v>Female 775pro 20</v>
      </c>
      <c r="E1137" s="132">
        <v>5</v>
      </c>
      <c r="F1137" s="132">
        <v>5</v>
      </c>
      <c r="G1137" s="132">
        <v>0</v>
      </c>
      <c r="H1137" s="132">
        <v>0</v>
      </c>
      <c r="I1137" s="132">
        <v>1</v>
      </c>
    </row>
    <row r="1138" spans="1:9" ht="15" customHeight="1" x14ac:dyDescent="0.25">
      <c r="A1138" s="132" t="s">
        <v>249</v>
      </c>
      <c r="B1138" s="132" t="s">
        <v>255</v>
      </c>
      <c r="C1138" s="132">
        <v>21</v>
      </c>
      <c r="D1138" s="132" t="str">
        <f t="shared" si="82"/>
        <v>Female 775pro 21</v>
      </c>
      <c r="E1138" s="132">
        <v>5</v>
      </c>
      <c r="F1138" s="132">
        <v>5</v>
      </c>
      <c r="G1138" s="132">
        <v>0</v>
      </c>
      <c r="H1138" s="132">
        <v>0</v>
      </c>
      <c r="I1138" s="132">
        <v>1</v>
      </c>
    </row>
    <row r="1139" spans="1:9" ht="15" customHeight="1" x14ac:dyDescent="0.25">
      <c r="A1139" s="132" t="s">
        <v>249</v>
      </c>
      <c r="B1139" s="132" t="s">
        <v>255</v>
      </c>
      <c r="C1139" s="132">
        <v>25</v>
      </c>
      <c r="D1139" s="132" t="str">
        <f t="shared" si="82"/>
        <v>Female 775pro 25</v>
      </c>
      <c r="E1139" s="132">
        <v>5</v>
      </c>
      <c r="F1139" s="132">
        <v>4</v>
      </c>
      <c r="G1139" s="132">
        <v>0</v>
      </c>
      <c r="H1139" s="132">
        <v>0</v>
      </c>
      <c r="I1139" s="132">
        <v>1</v>
      </c>
    </row>
    <row r="1140" spans="1:9" ht="15" customHeight="1" x14ac:dyDescent="0.25">
      <c r="A1140" s="132" t="s">
        <v>249</v>
      </c>
      <c r="B1140" s="132" t="s">
        <v>255</v>
      </c>
      <c r="C1140" s="132">
        <v>27</v>
      </c>
      <c r="D1140" s="132" t="str">
        <f t="shared" si="82"/>
        <v>Female 775pro 27</v>
      </c>
      <c r="E1140" s="132">
        <v>5</v>
      </c>
      <c r="F1140" s="132">
        <v>4</v>
      </c>
      <c r="G1140" s="132">
        <v>0</v>
      </c>
      <c r="H1140" s="132">
        <v>0</v>
      </c>
      <c r="I1140" s="132">
        <v>1</v>
      </c>
    </row>
    <row r="1141" spans="1:9" ht="15" customHeight="1" x14ac:dyDescent="0.25">
      <c r="A1141" s="132" t="s">
        <v>249</v>
      </c>
      <c r="B1141" s="132" t="s">
        <v>255</v>
      </c>
      <c r="C1141" s="132">
        <v>28</v>
      </c>
      <c r="D1141" s="132" t="str">
        <f t="shared" si="82"/>
        <v>Female 775pro 28</v>
      </c>
      <c r="E1141" s="132">
        <v>5</v>
      </c>
      <c r="F1141" s="132">
        <v>3</v>
      </c>
      <c r="G1141" s="132">
        <v>0</v>
      </c>
      <c r="H1141" s="132">
        <v>0</v>
      </c>
      <c r="I1141" s="132">
        <v>1</v>
      </c>
    </row>
    <row r="1142" spans="1:9" ht="15" customHeight="1" x14ac:dyDescent="0.25">
      <c r="A1142" s="132" t="s">
        <v>249</v>
      </c>
      <c r="B1142" s="132" t="s">
        <v>255</v>
      </c>
      <c r="C1142" s="132">
        <v>30</v>
      </c>
      <c r="D1142" s="132" t="str">
        <f t="shared" si="82"/>
        <v>Female 775pro 30</v>
      </c>
      <c r="E1142" s="132">
        <v>5</v>
      </c>
      <c r="F1142" s="132">
        <v>3</v>
      </c>
      <c r="G1142" s="132">
        <v>0</v>
      </c>
      <c r="H1142" s="132">
        <v>0</v>
      </c>
      <c r="I1142" s="132">
        <v>1</v>
      </c>
    </row>
    <row r="1143" spans="1:9" ht="15" customHeight="1" x14ac:dyDescent="0.25">
      <c r="A1143" s="132" t="s">
        <v>249</v>
      </c>
      <c r="B1143" s="132" t="s">
        <v>255</v>
      </c>
      <c r="C1143" s="132">
        <v>35</v>
      </c>
      <c r="D1143" s="132" t="str">
        <f t="shared" si="82"/>
        <v>Female 775pro 35</v>
      </c>
      <c r="E1143" s="132">
        <v>5</v>
      </c>
      <c r="F1143" s="132">
        <v>3</v>
      </c>
      <c r="G1143" s="132">
        <v>0</v>
      </c>
      <c r="H1143" s="132">
        <v>0</v>
      </c>
      <c r="I1143" s="132">
        <v>1</v>
      </c>
    </row>
    <row r="1144" spans="1:9" ht="15" customHeight="1" x14ac:dyDescent="0.25">
      <c r="A1144" s="132" t="s">
        <v>249</v>
      </c>
      <c r="B1144" s="132" t="s">
        <v>255</v>
      </c>
      <c r="C1144" s="132">
        <v>36</v>
      </c>
      <c r="D1144" s="132" t="str">
        <f t="shared" si="82"/>
        <v>Female 775pro 36</v>
      </c>
      <c r="E1144" s="132">
        <v>5</v>
      </c>
      <c r="F1144" s="132">
        <v>3</v>
      </c>
      <c r="G1144" s="132">
        <v>0</v>
      </c>
      <c r="H1144" s="132">
        <v>0</v>
      </c>
      <c r="I1144" s="132">
        <v>1</v>
      </c>
    </row>
    <row r="1145" spans="1:9" ht="15" customHeight="1" x14ac:dyDescent="0.25">
      <c r="A1145" s="132" t="s">
        <v>249</v>
      </c>
      <c r="B1145" s="132" t="s">
        <v>255</v>
      </c>
      <c r="C1145" s="132">
        <v>40</v>
      </c>
      <c r="D1145" s="132" t="str">
        <f t="shared" si="82"/>
        <v>Female 775pro 40</v>
      </c>
      <c r="E1145" s="132">
        <v>5</v>
      </c>
      <c r="F1145" s="132">
        <v>1</v>
      </c>
      <c r="G1145" s="132">
        <v>0</v>
      </c>
      <c r="H1145" s="132">
        <v>0</v>
      </c>
      <c r="I1145" s="132">
        <v>1</v>
      </c>
    </row>
    <row r="1146" spans="1:9" ht="15" customHeight="1" x14ac:dyDescent="0.25">
      <c r="A1146" s="132" t="s">
        <v>249</v>
      </c>
      <c r="B1146" s="132" t="s">
        <v>255</v>
      </c>
      <c r="C1146" s="132">
        <v>45</v>
      </c>
      <c r="D1146" s="132" t="str">
        <f t="shared" si="82"/>
        <v>Female 775pro 45</v>
      </c>
      <c r="E1146" s="132">
        <v>4</v>
      </c>
      <c r="F1146" s="132">
        <v>1</v>
      </c>
      <c r="G1146" s="132">
        <v>0</v>
      </c>
      <c r="H1146" s="132">
        <v>0</v>
      </c>
      <c r="I1146" s="132">
        <v>1</v>
      </c>
    </row>
    <row r="1147" spans="1:9" ht="15" customHeight="1" x14ac:dyDescent="0.25">
      <c r="A1147" s="132" t="s">
        <v>249</v>
      </c>
      <c r="B1147" s="132" t="s">
        <v>255</v>
      </c>
      <c r="C1147" s="132">
        <v>49</v>
      </c>
      <c r="D1147" s="132" t="str">
        <f t="shared" si="82"/>
        <v>Female 775pro 49</v>
      </c>
      <c r="E1147" s="132">
        <v>4</v>
      </c>
      <c r="F1147" s="132">
        <v>1</v>
      </c>
      <c r="G1147" s="132">
        <v>0</v>
      </c>
      <c r="H1147" s="132">
        <v>0</v>
      </c>
      <c r="I1147" s="132">
        <v>1</v>
      </c>
    </row>
    <row r="1148" spans="1:9" ht="15" customHeight="1" x14ac:dyDescent="0.25">
      <c r="A1148" s="132" t="s">
        <v>249</v>
      </c>
      <c r="B1148" s="132" t="s">
        <v>255</v>
      </c>
      <c r="C1148" s="132">
        <v>50</v>
      </c>
      <c r="D1148" s="132" t="str">
        <f t="shared" si="82"/>
        <v>Female 775pro 50</v>
      </c>
      <c r="E1148" s="132">
        <v>4</v>
      </c>
      <c r="F1148" s="132">
        <v>1</v>
      </c>
      <c r="G1148" s="132">
        <v>0</v>
      </c>
      <c r="H1148" s="132">
        <v>0</v>
      </c>
      <c r="I1148" s="132">
        <v>0</v>
      </c>
    </row>
    <row r="1149" spans="1:9" ht="15" customHeight="1" x14ac:dyDescent="0.25">
      <c r="A1149" s="132" t="s">
        <v>249</v>
      </c>
      <c r="B1149" s="132" t="s">
        <v>255</v>
      </c>
      <c r="C1149" s="132">
        <v>63</v>
      </c>
      <c r="D1149" s="132" t="str">
        <f t="shared" si="82"/>
        <v>Female 775pro 63</v>
      </c>
      <c r="E1149" s="132">
        <v>3</v>
      </c>
      <c r="F1149" s="132">
        <v>1</v>
      </c>
      <c r="G1149" s="132">
        <v>0</v>
      </c>
      <c r="H1149" s="132">
        <v>0</v>
      </c>
      <c r="I1149" s="132">
        <v>0</v>
      </c>
    </row>
    <row r="1150" spans="1:9" ht="15" customHeight="1" x14ac:dyDescent="0.25">
      <c r="A1150" s="132" t="s">
        <v>249</v>
      </c>
      <c r="B1150" s="132" t="s">
        <v>255</v>
      </c>
      <c r="C1150" s="132">
        <v>70</v>
      </c>
      <c r="D1150" s="132" t="str">
        <f t="shared" si="82"/>
        <v>Female 775pro 70</v>
      </c>
      <c r="E1150" s="132">
        <v>3</v>
      </c>
      <c r="F1150" s="132">
        <v>0</v>
      </c>
      <c r="G1150" s="132">
        <v>0</v>
      </c>
      <c r="H1150" s="132">
        <v>0</v>
      </c>
      <c r="I1150" s="132">
        <v>0</v>
      </c>
    </row>
    <row r="1151" spans="1:9" ht="15" customHeight="1" x14ac:dyDescent="0.25">
      <c r="A1151" s="132" t="s">
        <v>249</v>
      </c>
      <c r="B1151" s="132" t="s">
        <v>255</v>
      </c>
      <c r="C1151" s="132">
        <v>81</v>
      </c>
      <c r="D1151" s="132" t="str">
        <f t="shared" si="82"/>
        <v>Female 775pro 81</v>
      </c>
      <c r="E1151" s="132">
        <v>1</v>
      </c>
      <c r="F1151" s="132">
        <v>0</v>
      </c>
      <c r="G1151" s="132">
        <v>0</v>
      </c>
      <c r="H1151" s="132">
        <v>0</v>
      </c>
      <c r="I1151" s="132">
        <v>0</v>
      </c>
    </row>
    <row r="1152" spans="1:9" ht="15" customHeight="1" x14ac:dyDescent="0.25">
      <c r="A1152" s="132" t="s">
        <v>249</v>
      </c>
      <c r="B1152" s="132" t="s">
        <v>255</v>
      </c>
      <c r="C1152" s="132">
        <v>90</v>
      </c>
      <c r="D1152" s="132" t="str">
        <f t="shared" si="82"/>
        <v>Female 775pro 90</v>
      </c>
      <c r="E1152" s="132">
        <v>1</v>
      </c>
      <c r="F1152" s="132">
        <v>0</v>
      </c>
      <c r="G1152" s="132">
        <v>0</v>
      </c>
      <c r="H1152" s="132">
        <v>0</v>
      </c>
      <c r="I1152" s="132">
        <v>0</v>
      </c>
    </row>
    <row r="1153" spans="1:9" ht="15" customHeight="1" x14ac:dyDescent="0.25">
      <c r="A1153" s="132" t="s">
        <v>249</v>
      </c>
      <c r="B1153" s="132" t="s">
        <v>255</v>
      </c>
      <c r="C1153" s="132">
        <v>100</v>
      </c>
      <c r="D1153" s="132" t="str">
        <f t="shared" si="82"/>
        <v>Female 775pro 100</v>
      </c>
      <c r="E1153" s="132">
        <v>1</v>
      </c>
      <c r="F1153" s="132">
        <v>0</v>
      </c>
      <c r="G1153" s="132">
        <v>0</v>
      </c>
      <c r="H1153" s="132">
        <v>0</v>
      </c>
      <c r="I1153" s="132">
        <v>0</v>
      </c>
    </row>
    <row r="1154" spans="1:9" ht="15" customHeight="1" x14ac:dyDescent="0.25">
      <c r="A1154" s="132" t="s">
        <v>249</v>
      </c>
      <c r="B1154" s="132" t="s">
        <v>7</v>
      </c>
      <c r="C1154" s="132">
        <v>-3</v>
      </c>
      <c r="D1154" s="132" t="str">
        <f t="shared" ref="D1154:D1159" si="83">A1154&amp;" "&amp;B1154&amp;" "&amp;C1154</f>
        <v>Female Mini CIM -3</v>
      </c>
      <c r="E1154" s="132">
        <v>1</v>
      </c>
      <c r="I1154" s="132">
        <v>0</v>
      </c>
    </row>
    <row r="1155" spans="1:9" ht="15" customHeight="1" x14ac:dyDescent="0.25">
      <c r="A1155" s="132" t="s">
        <v>249</v>
      </c>
      <c r="B1155" s="132" t="s">
        <v>7</v>
      </c>
      <c r="C1155" s="132">
        <v>-4</v>
      </c>
      <c r="D1155" s="132" t="str">
        <f t="shared" si="83"/>
        <v>Female Mini CIM -4</v>
      </c>
      <c r="E1155" s="132">
        <v>1</v>
      </c>
      <c r="I1155" s="132">
        <v>0</v>
      </c>
    </row>
    <row r="1156" spans="1:9" ht="15" customHeight="1" x14ac:dyDescent="0.25">
      <c r="A1156" s="132" t="s">
        <v>249</v>
      </c>
      <c r="B1156" s="132" t="s">
        <v>7</v>
      </c>
      <c r="C1156" s="132">
        <v>-5</v>
      </c>
      <c r="D1156" s="132" t="str">
        <f t="shared" si="83"/>
        <v>Female Mini CIM -5</v>
      </c>
      <c r="E1156" s="132">
        <v>1</v>
      </c>
      <c r="I1156" s="132">
        <v>0</v>
      </c>
    </row>
    <row r="1157" spans="1:9" ht="15" customHeight="1" x14ac:dyDescent="0.25">
      <c r="A1157" s="132" t="s">
        <v>249</v>
      </c>
      <c r="B1157" s="132" t="s">
        <v>7</v>
      </c>
      <c r="C1157" s="132">
        <v>-7</v>
      </c>
      <c r="D1157" s="132" t="str">
        <f t="shared" si="83"/>
        <v>Female Mini CIM -7</v>
      </c>
      <c r="E1157" s="132">
        <v>1</v>
      </c>
      <c r="I1157" s="132">
        <v>0</v>
      </c>
    </row>
    <row r="1158" spans="1:9" ht="15" customHeight="1" x14ac:dyDescent="0.25">
      <c r="A1158" s="132" t="s">
        <v>249</v>
      </c>
      <c r="B1158" s="132" t="s">
        <v>7</v>
      </c>
      <c r="C1158" s="132">
        <v>-9</v>
      </c>
      <c r="D1158" s="132" t="str">
        <f t="shared" si="83"/>
        <v>Female Mini CIM -9</v>
      </c>
      <c r="E1158" s="132">
        <v>1</v>
      </c>
      <c r="I1158" s="132">
        <v>0</v>
      </c>
    </row>
    <row r="1159" spans="1:9" ht="15" customHeight="1" x14ac:dyDescent="0.25">
      <c r="A1159" s="132" t="s">
        <v>249</v>
      </c>
      <c r="B1159" s="132" t="s">
        <v>7</v>
      </c>
      <c r="C1159" s="132">
        <v>-10</v>
      </c>
      <c r="D1159" s="132" t="str">
        <f t="shared" si="83"/>
        <v>Female Mini CIM -10</v>
      </c>
      <c r="E1159" s="132">
        <v>1</v>
      </c>
      <c r="I1159" s="132">
        <v>0</v>
      </c>
    </row>
    <row r="1160" spans="1:9" ht="15" customHeight="1" x14ac:dyDescent="0.25">
      <c r="A1160" s="132" t="s">
        <v>249</v>
      </c>
      <c r="B1160" s="132" t="s">
        <v>7</v>
      </c>
      <c r="C1160" s="132">
        <v>9</v>
      </c>
      <c r="D1160" s="132" t="str">
        <f t="shared" ref="D1160:D1180" si="84">A1160&amp;" "&amp;B1160&amp;" "&amp;C1160</f>
        <v>Female Mini CIM 9</v>
      </c>
      <c r="E1160" s="132">
        <v>7</v>
      </c>
      <c r="I1160" s="132">
        <v>0</v>
      </c>
    </row>
    <row r="1161" spans="1:9" ht="15" customHeight="1" x14ac:dyDescent="0.25">
      <c r="A1161" s="132" t="s">
        <v>249</v>
      </c>
      <c r="B1161" s="132" t="s">
        <v>7</v>
      </c>
      <c r="C1161" s="132">
        <v>12</v>
      </c>
      <c r="D1161" s="132" t="str">
        <f t="shared" si="84"/>
        <v>Female Mini CIM 12</v>
      </c>
      <c r="E1161" s="132">
        <v>5</v>
      </c>
      <c r="I1161" s="132">
        <v>0</v>
      </c>
    </row>
    <row r="1162" spans="1:9" ht="15" customHeight="1" x14ac:dyDescent="0.25">
      <c r="A1162" s="132" t="s">
        <v>249</v>
      </c>
      <c r="B1162" s="132" t="s">
        <v>7</v>
      </c>
      <c r="C1162" s="132">
        <v>15</v>
      </c>
      <c r="D1162" s="132" t="str">
        <f t="shared" si="84"/>
        <v>Female Mini CIM 15</v>
      </c>
      <c r="E1162" s="132">
        <v>5</v>
      </c>
      <c r="I1162" s="132">
        <v>0</v>
      </c>
    </row>
    <row r="1163" spans="1:9" ht="15" customHeight="1" x14ac:dyDescent="0.25">
      <c r="A1163" s="132" t="s">
        <v>249</v>
      </c>
      <c r="B1163" s="132" t="s">
        <v>7</v>
      </c>
      <c r="C1163" s="132">
        <v>16</v>
      </c>
      <c r="D1163" s="132" t="str">
        <f t="shared" si="84"/>
        <v>Female Mini CIM 16</v>
      </c>
      <c r="E1163" s="132">
        <v>5</v>
      </c>
      <c r="I1163" s="132">
        <v>0</v>
      </c>
    </row>
    <row r="1164" spans="1:9" ht="15" customHeight="1" x14ac:dyDescent="0.25">
      <c r="A1164" s="132" t="s">
        <v>249</v>
      </c>
      <c r="B1164" s="132" t="s">
        <v>7</v>
      </c>
      <c r="C1164" s="132">
        <v>20</v>
      </c>
      <c r="D1164" s="132" t="str">
        <f t="shared" si="84"/>
        <v>Female Mini CIM 20</v>
      </c>
      <c r="E1164" s="132">
        <v>5</v>
      </c>
      <c r="I1164" s="132">
        <v>0</v>
      </c>
    </row>
    <row r="1165" spans="1:9" ht="15" customHeight="1" x14ac:dyDescent="0.25">
      <c r="A1165" s="132" t="s">
        <v>249</v>
      </c>
      <c r="B1165" s="132" t="s">
        <v>7</v>
      </c>
      <c r="C1165" s="132">
        <v>21</v>
      </c>
      <c r="D1165" s="132" t="str">
        <f t="shared" si="84"/>
        <v>Female Mini CIM 21</v>
      </c>
      <c r="E1165" s="132">
        <v>5</v>
      </c>
      <c r="I1165" s="132">
        <v>0</v>
      </c>
    </row>
    <row r="1166" spans="1:9" ht="15" customHeight="1" x14ac:dyDescent="0.25">
      <c r="A1166" s="132" t="s">
        <v>249</v>
      </c>
      <c r="B1166" s="132" t="s">
        <v>7</v>
      </c>
      <c r="C1166" s="132">
        <v>25</v>
      </c>
      <c r="D1166" s="132" t="str">
        <f t="shared" si="84"/>
        <v>Female Mini CIM 25</v>
      </c>
      <c r="E1166" s="132">
        <v>4</v>
      </c>
      <c r="I1166" s="132">
        <v>0</v>
      </c>
    </row>
    <row r="1167" spans="1:9" ht="15" customHeight="1" x14ac:dyDescent="0.25">
      <c r="A1167" s="132" t="s">
        <v>249</v>
      </c>
      <c r="B1167" s="132" t="s">
        <v>7</v>
      </c>
      <c r="C1167" s="132">
        <v>27</v>
      </c>
      <c r="D1167" s="132" t="str">
        <f t="shared" si="84"/>
        <v>Female Mini CIM 27</v>
      </c>
      <c r="E1167" s="132">
        <v>4</v>
      </c>
      <c r="I1167" s="132">
        <v>0</v>
      </c>
    </row>
    <row r="1168" spans="1:9" ht="15" customHeight="1" x14ac:dyDescent="0.25">
      <c r="A1168" s="132" t="s">
        <v>249</v>
      </c>
      <c r="B1168" s="132" t="s">
        <v>7</v>
      </c>
      <c r="C1168" s="132">
        <v>28</v>
      </c>
      <c r="D1168" s="132" t="str">
        <f t="shared" si="84"/>
        <v>Female Mini CIM 28</v>
      </c>
      <c r="E1168" s="132">
        <v>3</v>
      </c>
      <c r="I1168" s="132">
        <v>0</v>
      </c>
    </row>
    <row r="1169" spans="1:9" ht="15" customHeight="1" x14ac:dyDescent="0.25">
      <c r="A1169" s="132" t="s">
        <v>249</v>
      </c>
      <c r="B1169" s="132" t="s">
        <v>7</v>
      </c>
      <c r="C1169" s="132">
        <v>30</v>
      </c>
      <c r="D1169" s="132" t="str">
        <f t="shared" si="84"/>
        <v>Female Mini CIM 30</v>
      </c>
      <c r="E1169" s="132">
        <v>3</v>
      </c>
      <c r="I1169" s="132">
        <v>0</v>
      </c>
    </row>
    <row r="1170" spans="1:9" ht="15" customHeight="1" x14ac:dyDescent="0.25">
      <c r="A1170" s="132" t="s">
        <v>249</v>
      </c>
      <c r="B1170" s="132" t="s">
        <v>7</v>
      </c>
      <c r="C1170" s="132">
        <v>35</v>
      </c>
      <c r="D1170" s="132" t="str">
        <f t="shared" si="84"/>
        <v>Female Mini CIM 35</v>
      </c>
      <c r="E1170" s="132">
        <v>3</v>
      </c>
      <c r="I1170" s="132">
        <v>0</v>
      </c>
    </row>
    <row r="1171" spans="1:9" ht="15" customHeight="1" x14ac:dyDescent="0.25">
      <c r="A1171" s="132" t="s">
        <v>249</v>
      </c>
      <c r="B1171" s="132" t="s">
        <v>7</v>
      </c>
      <c r="C1171" s="132">
        <v>36</v>
      </c>
      <c r="D1171" s="132" t="str">
        <f t="shared" si="84"/>
        <v>Female Mini CIM 36</v>
      </c>
      <c r="E1171" s="132">
        <v>3</v>
      </c>
      <c r="I1171" s="132">
        <v>0</v>
      </c>
    </row>
    <row r="1172" spans="1:9" ht="15" customHeight="1" x14ac:dyDescent="0.25">
      <c r="A1172" s="132" t="s">
        <v>249</v>
      </c>
      <c r="B1172" s="132" t="s">
        <v>7</v>
      </c>
      <c r="C1172" s="132">
        <v>40</v>
      </c>
      <c r="D1172" s="132" t="str">
        <f t="shared" si="84"/>
        <v>Female Mini CIM 40</v>
      </c>
      <c r="E1172" s="132">
        <v>1</v>
      </c>
      <c r="I1172" s="132">
        <v>0</v>
      </c>
    </row>
    <row r="1173" spans="1:9" ht="15" customHeight="1" x14ac:dyDescent="0.25">
      <c r="A1173" s="132" t="s">
        <v>249</v>
      </c>
      <c r="B1173" s="132" t="s">
        <v>7</v>
      </c>
      <c r="C1173" s="132">
        <v>45</v>
      </c>
      <c r="D1173" s="132" t="str">
        <f t="shared" si="84"/>
        <v>Female Mini CIM 45</v>
      </c>
      <c r="E1173" s="132">
        <v>1</v>
      </c>
      <c r="I1173" s="132">
        <v>0</v>
      </c>
    </row>
    <row r="1174" spans="1:9" ht="15" customHeight="1" x14ac:dyDescent="0.25">
      <c r="A1174" s="132" t="s">
        <v>249</v>
      </c>
      <c r="B1174" s="132" t="s">
        <v>7</v>
      </c>
      <c r="C1174" s="132">
        <v>49</v>
      </c>
      <c r="D1174" s="132" t="str">
        <f t="shared" si="84"/>
        <v>Female Mini CIM 49</v>
      </c>
      <c r="E1174" s="132">
        <v>1</v>
      </c>
      <c r="I1174" s="132">
        <v>0</v>
      </c>
    </row>
    <row r="1175" spans="1:9" ht="15" customHeight="1" x14ac:dyDescent="0.25">
      <c r="A1175" s="132" t="s">
        <v>249</v>
      </c>
      <c r="B1175" s="132" t="s">
        <v>7</v>
      </c>
      <c r="C1175" s="132">
        <v>50</v>
      </c>
      <c r="D1175" s="132" t="str">
        <f t="shared" si="84"/>
        <v>Female Mini CIM 50</v>
      </c>
      <c r="E1175" s="132">
        <v>1</v>
      </c>
      <c r="I1175" s="132">
        <v>0</v>
      </c>
    </row>
    <row r="1176" spans="1:9" ht="15" customHeight="1" x14ac:dyDescent="0.25">
      <c r="A1176" s="132" t="s">
        <v>249</v>
      </c>
      <c r="B1176" s="132" t="s">
        <v>7</v>
      </c>
      <c r="C1176" s="132">
        <v>63</v>
      </c>
      <c r="D1176" s="132" t="str">
        <f t="shared" si="84"/>
        <v>Female Mini CIM 63</v>
      </c>
      <c r="E1176" s="132">
        <v>1</v>
      </c>
      <c r="I1176" s="132">
        <v>0</v>
      </c>
    </row>
    <row r="1177" spans="1:9" ht="15" customHeight="1" x14ac:dyDescent="0.25">
      <c r="A1177" s="132" t="s">
        <v>249</v>
      </c>
      <c r="B1177" s="132" t="s">
        <v>7</v>
      </c>
      <c r="C1177" s="132">
        <v>70</v>
      </c>
      <c r="D1177" s="132" t="str">
        <f t="shared" si="84"/>
        <v>Female Mini CIM 70</v>
      </c>
      <c r="E1177" s="132">
        <v>0</v>
      </c>
      <c r="I1177" s="132">
        <v>0</v>
      </c>
    </row>
    <row r="1178" spans="1:9" ht="15" customHeight="1" x14ac:dyDescent="0.25">
      <c r="A1178" s="132" t="s">
        <v>249</v>
      </c>
      <c r="B1178" s="132" t="s">
        <v>7</v>
      </c>
      <c r="C1178" s="132">
        <v>81</v>
      </c>
      <c r="D1178" s="132" t="str">
        <f t="shared" si="84"/>
        <v>Female Mini CIM 81</v>
      </c>
      <c r="E1178" s="132">
        <v>0</v>
      </c>
      <c r="I1178" s="132">
        <v>0</v>
      </c>
    </row>
    <row r="1179" spans="1:9" ht="15" customHeight="1" x14ac:dyDescent="0.25">
      <c r="A1179" s="132" t="s">
        <v>249</v>
      </c>
      <c r="B1179" s="132" t="s">
        <v>7</v>
      </c>
      <c r="C1179" s="132">
        <v>90</v>
      </c>
      <c r="D1179" s="132" t="str">
        <f t="shared" si="84"/>
        <v>Female Mini CIM 90</v>
      </c>
      <c r="E1179" s="132">
        <v>0</v>
      </c>
      <c r="I1179" s="132">
        <v>0</v>
      </c>
    </row>
    <row r="1180" spans="1:9" ht="15" customHeight="1" x14ac:dyDescent="0.25">
      <c r="A1180" s="132" t="s">
        <v>249</v>
      </c>
      <c r="B1180" s="132" t="s">
        <v>7</v>
      </c>
      <c r="C1180" s="132">
        <v>100</v>
      </c>
      <c r="D1180" s="132" t="str">
        <f t="shared" si="84"/>
        <v>Female Mini CIM 100</v>
      </c>
      <c r="E1180" s="132">
        <v>0</v>
      </c>
      <c r="I1180" s="132">
        <v>0</v>
      </c>
    </row>
    <row r="1181" spans="1:9" ht="15" customHeight="1" x14ac:dyDescent="0.25">
      <c r="A1181" s="132" t="s">
        <v>249</v>
      </c>
      <c r="B1181" s="132" t="s">
        <v>6</v>
      </c>
      <c r="C1181" s="132">
        <v>-3</v>
      </c>
      <c r="D1181" s="132" t="str">
        <f t="shared" ref="D1181:D1186" si="85">A1181&amp;" "&amp;B1181&amp;" "&amp;C1181</f>
        <v>Female CIM -3</v>
      </c>
      <c r="E1181" s="132">
        <v>1</v>
      </c>
      <c r="I1181" s="132">
        <v>0</v>
      </c>
    </row>
    <row r="1182" spans="1:9" ht="15" customHeight="1" x14ac:dyDescent="0.25">
      <c r="A1182" s="132" t="s">
        <v>249</v>
      </c>
      <c r="B1182" s="132" t="s">
        <v>6</v>
      </c>
      <c r="C1182" s="132">
        <v>-4</v>
      </c>
      <c r="D1182" s="132" t="str">
        <f t="shared" si="85"/>
        <v>Female CIM -4</v>
      </c>
      <c r="E1182" s="132">
        <v>1</v>
      </c>
      <c r="I1182" s="132">
        <v>0</v>
      </c>
    </row>
    <row r="1183" spans="1:9" ht="15" customHeight="1" x14ac:dyDescent="0.25">
      <c r="A1183" s="132" t="s">
        <v>249</v>
      </c>
      <c r="B1183" s="132" t="s">
        <v>6</v>
      </c>
      <c r="C1183" s="132">
        <v>-5</v>
      </c>
      <c r="D1183" s="132" t="str">
        <f t="shared" si="85"/>
        <v>Female CIM -5</v>
      </c>
      <c r="E1183" s="132">
        <v>1</v>
      </c>
      <c r="I1183" s="132">
        <v>0</v>
      </c>
    </row>
    <row r="1184" spans="1:9" ht="15" customHeight="1" x14ac:dyDescent="0.25">
      <c r="A1184" s="132" t="s">
        <v>249</v>
      </c>
      <c r="B1184" s="132" t="s">
        <v>6</v>
      </c>
      <c r="C1184" s="132">
        <v>-7</v>
      </c>
      <c r="D1184" s="132" t="str">
        <f t="shared" si="85"/>
        <v>Female CIM -7</v>
      </c>
      <c r="E1184" s="132">
        <v>1</v>
      </c>
      <c r="I1184" s="132">
        <v>0</v>
      </c>
    </row>
    <row r="1185" spans="1:9" ht="15" customHeight="1" x14ac:dyDescent="0.25">
      <c r="A1185" s="132" t="s">
        <v>249</v>
      </c>
      <c r="B1185" s="132" t="s">
        <v>6</v>
      </c>
      <c r="C1185" s="132">
        <v>-9</v>
      </c>
      <c r="D1185" s="132" t="str">
        <f t="shared" si="85"/>
        <v>Female CIM -9</v>
      </c>
      <c r="E1185" s="132">
        <v>1</v>
      </c>
      <c r="I1185" s="132">
        <v>0</v>
      </c>
    </row>
    <row r="1186" spans="1:9" ht="15" customHeight="1" x14ac:dyDescent="0.25">
      <c r="A1186" s="132" t="s">
        <v>249</v>
      </c>
      <c r="B1186" s="132" t="s">
        <v>6</v>
      </c>
      <c r="C1186" s="132">
        <v>-10</v>
      </c>
      <c r="D1186" s="132" t="str">
        <f t="shared" si="85"/>
        <v>Female CIM -10</v>
      </c>
      <c r="E1186" s="132">
        <v>1</v>
      </c>
      <c r="I1186" s="132">
        <v>0</v>
      </c>
    </row>
    <row r="1187" spans="1:9" ht="15" customHeight="1" x14ac:dyDescent="0.25">
      <c r="A1187" s="132" t="s">
        <v>249</v>
      </c>
      <c r="B1187" s="132" t="s">
        <v>6</v>
      </c>
      <c r="C1187" s="132">
        <v>9</v>
      </c>
      <c r="D1187" s="132" t="str">
        <f t="shared" ref="D1187:D1207" si="86">A1187&amp;" "&amp;B1187&amp;" "&amp;C1187</f>
        <v>Female CIM 9</v>
      </c>
      <c r="E1187" s="132">
        <v>5</v>
      </c>
      <c r="I1187" s="132">
        <v>0</v>
      </c>
    </row>
    <row r="1188" spans="1:9" ht="15" customHeight="1" x14ac:dyDescent="0.25">
      <c r="A1188" s="132" t="s">
        <v>249</v>
      </c>
      <c r="B1188" s="132" t="s">
        <v>6</v>
      </c>
      <c r="C1188" s="132">
        <v>12</v>
      </c>
      <c r="D1188" s="132" t="str">
        <f t="shared" si="86"/>
        <v>Female CIM 12</v>
      </c>
      <c r="E1188" s="132">
        <v>5</v>
      </c>
      <c r="I1188" s="132">
        <v>0</v>
      </c>
    </row>
    <row r="1189" spans="1:9" ht="15" customHeight="1" x14ac:dyDescent="0.25">
      <c r="A1189" s="132" t="s">
        <v>249</v>
      </c>
      <c r="B1189" s="132" t="s">
        <v>6</v>
      </c>
      <c r="C1189" s="132">
        <v>15</v>
      </c>
      <c r="D1189" s="132" t="str">
        <f t="shared" si="86"/>
        <v>Female CIM 15</v>
      </c>
      <c r="E1189" s="132">
        <v>4</v>
      </c>
      <c r="I1189" s="132">
        <v>0</v>
      </c>
    </row>
    <row r="1190" spans="1:9" ht="15" customHeight="1" x14ac:dyDescent="0.25">
      <c r="A1190" s="132" t="s">
        <v>249</v>
      </c>
      <c r="B1190" s="132" t="s">
        <v>6</v>
      </c>
      <c r="C1190" s="132">
        <v>16</v>
      </c>
      <c r="D1190" s="132" t="str">
        <f t="shared" si="86"/>
        <v>Female CIM 16</v>
      </c>
      <c r="E1190" s="132">
        <v>4</v>
      </c>
      <c r="I1190" s="132">
        <v>0</v>
      </c>
    </row>
    <row r="1191" spans="1:9" ht="15" customHeight="1" x14ac:dyDescent="0.25">
      <c r="A1191" s="132" t="s">
        <v>249</v>
      </c>
      <c r="B1191" s="132" t="s">
        <v>6</v>
      </c>
      <c r="C1191" s="132">
        <v>20</v>
      </c>
      <c r="D1191" s="132" t="str">
        <f t="shared" si="86"/>
        <v>Female CIM 20</v>
      </c>
      <c r="E1191" s="132">
        <v>3</v>
      </c>
      <c r="I1191" s="132">
        <v>0</v>
      </c>
    </row>
    <row r="1192" spans="1:9" ht="15" customHeight="1" x14ac:dyDescent="0.25">
      <c r="A1192" s="132" t="s">
        <v>249</v>
      </c>
      <c r="B1192" s="132" t="s">
        <v>6</v>
      </c>
      <c r="C1192" s="132">
        <v>21</v>
      </c>
      <c r="D1192" s="132" t="str">
        <f t="shared" si="86"/>
        <v>Female CIM 21</v>
      </c>
      <c r="E1192" s="132">
        <v>3</v>
      </c>
      <c r="I1192" s="132">
        <v>0</v>
      </c>
    </row>
    <row r="1193" spans="1:9" ht="15" customHeight="1" x14ac:dyDescent="0.25">
      <c r="A1193" s="132" t="s">
        <v>249</v>
      </c>
      <c r="B1193" s="132" t="s">
        <v>6</v>
      </c>
      <c r="C1193" s="132">
        <v>25</v>
      </c>
      <c r="D1193" s="132" t="str">
        <f t="shared" si="86"/>
        <v>Female CIM 25</v>
      </c>
      <c r="E1193" s="132">
        <v>1</v>
      </c>
      <c r="I1193" s="132">
        <v>0</v>
      </c>
    </row>
    <row r="1194" spans="1:9" ht="15" customHeight="1" x14ac:dyDescent="0.25">
      <c r="A1194" s="132" t="s">
        <v>249</v>
      </c>
      <c r="B1194" s="132" t="s">
        <v>6</v>
      </c>
      <c r="C1194" s="132">
        <v>27</v>
      </c>
      <c r="D1194" s="132" t="str">
        <f t="shared" si="86"/>
        <v>Female CIM 27</v>
      </c>
      <c r="E1194" s="132">
        <v>1</v>
      </c>
      <c r="I1194" s="132">
        <v>0</v>
      </c>
    </row>
    <row r="1195" spans="1:9" ht="15" customHeight="1" x14ac:dyDescent="0.25">
      <c r="A1195" s="132" t="s">
        <v>249</v>
      </c>
      <c r="B1195" s="132" t="s">
        <v>6</v>
      </c>
      <c r="C1195" s="132">
        <v>28</v>
      </c>
      <c r="D1195" s="132" t="str">
        <f t="shared" si="86"/>
        <v>Female CIM 28</v>
      </c>
      <c r="E1195" s="132">
        <v>1</v>
      </c>
      <c r="I1195" s="132">
        <v>0</v>
      </c>
    </row>
    <row r="1196" spans="1:9" ht="15" customHeight="1" x14ac:dyDescent="0.25">
      <c r="A1196" s="132" t="s">
        <v>249</v>
      </c>
      <c r="B1196" s="132" t="s">
        <v>6</v>
      </c>
      <c r="C1196" s="132">
        <v>30</v>
      </c>
      <c r="D1196" s="132" t="str">
        <f t="shared" si="86"/>
        <v>Female CIM 30</v>
      </c>
      <c r="E1196" s="132">
        <v>1</v>
      </c>
      <c r="I1196" s="132">
        <v>0</v>
      </c>
    </row>
    <row r="1197" spans="1:9" ht="15" customHeight="1" x14ac:dyDescent="0.25">
      <c r="A1197" s="132" t="s">
        <v>249</v>
      </c>
      <c r="B1197" s="132" t="s">
        <v>6</v>
      </c>
      <c r="C1197" s="132">
        <v>35</v>
      </c>
      <c r="D1197" s="132" t="str">
        <f t="shared" si="86"/>
        <v>Female CIM 35</v>
      </c>
      <c r="E1197" s="132">
        <v>1</v>
      </c>
      <c r="I1197" s="132">
        <v>0</v>
      </c>
    </row>
    <row r="1198" spans="1:9" ht="15" customHeight="1" x14ac:dyDescent="0.25">
      <c r="A1198" s="132" t="s">
        <v>249</v>
      </c>
      <c r="B1198" s="132" t="s">
        <v>6</v>
      </c>
      <c r="C1198" s="132">
        <v>36</v>
      </c>
      <c r="D1198" s="132" t="str">
        <f t="shared" si="86"/>
        <v>Female CIM 36</v>
      </c>
      <c r="E1198" s="132">
        <v>1</v>
      </c>
      <c r="I1198" s="132">
        <v>0</v>
      </c>
    </row>
    <row r="1199" spans="1:9" ht="15" customHeight="1" x14ac:dyDescent="0.25">
      <c r="A1199" s="132" t="s">
        <v>249</v>
      </c>
      <c r="B1199" s="132" t="s">
        <v>6</v>
      </c>
      <c r="C1199" s="132">
        <v>40</v>
      </c>
      <c r="D1199" s="132" t="str">
        <f t="shared" si="86"/>
        <v>Female CIM 40</v>
      </c>
      <c r="E1199" s="132">
        <v>1</v>
      </c>
      <c r="I1199" s="132">
        <v>0</v>
      </c>
    </row>
    <row r="1200" spans="1:9" ht="15" customHeight="1" x14ac:dyDescent="0.25">
      <c r="A1200" s="132" t="s">
        <v>249</v>
      </c>
      <c r="B1200" s="132" t="s">
        <v>6</v>
      </c>
      <c r="C1200" s="132">
        <v>45</v>
      </c>
      <c r="D1200" s="132" t="str">
        <f t="shared" si="86"/>
        <v>Female CIM 45</v>
      </c>
      <c r="E1200" s="132">
        <v>1</v>
      </c>
      <c r="I1200" s="132">
        <v>0</v>
      </c>
    </row>
    <row r="1201" spans="1:9" ht="15" customHeight="1" x14ac:dyDescent="0.25">
      <c r="A1201" s="132" t="s">
        <v>249</v>
      </c>
      <c r="B1201" s="132" t="s">
        <v>6</v>
      </c>
      <c r="C1201" s="132">
        <v>49</v>
      </c>
      <c r="D1201" s="132" t="str">
        <f t="shared" si="86"/>
        <v>Female CIM 49</v>
      </c>
      <c r="E1201" s="132">
        <v>0</v>
      </c>
      <c r="I1201" s="132">
        <v>0</v>
      </c>
    </row>
    <row r="1202" spans="1:9" ht="15" customHeight="1" x14ac:dyDescent="0.25">
      <c r="A1202" s="132" t="s">
        <v>249</v>
      </c>
      <c r="B1202" s="132" t="s">
        <v>6</v>
      </c>
      <c r="C1202" s="132">
        <v>50</v>
      </c>
      <c r="D1202" s="132" t="str">
        <f t="shared" si="86"/>
        <v>Female CIM 50</v>
      </c>
      <c r="E1202" s="132">
        <v>1</v>
      </c>
      <c r="I1202" s="132">
        <v>0</v>
      </c>
    </row>
    <row r="1203" spans="1:9" ht="15" customHeight="1" x14ac:dyDescent="0.25">
      <c r="A1203" s="132" t="s">
        <v>249</v>
      </c>
      <c r="B1203" s="132" t="s">
        <v>6</v>
      </c>
      <c r="C1203" s="132">
        <v>63</v>
      </c>
      <c r="D1203" s="132" t="str">
        <f t="shared" si="86"/>
        <v>Female CIM 63</v>
      </c>
      <c r="E1203" s="132">
        <v>0</v>
      </c>
      <c r="I1203" s="132">
        <v>0</v>
      </c>
    </row>
    <row r="1204" spans="1:9" ht="15" customHeight="1" x14ac:dyDescent="0.25">
      <c r="A1204" s="132" t="s">
        <v>249</v>
      </c>
      <c r="B1204" s="132" t="s">
        <v>6</v>
      </c>
      <c r="C1204" s="132">
        <v>70</v>
      </c>
      <c r="D1204" s="132" t="str">
        <f t="shared" si="86"/>
        <v>Female CIM 70</v>
      </c>
      <c r="E1204" s="132">
        <v>0</v>
      </c>
      <c r="I1204" s="132">
        <v>0</v>
      </c>
    </row>
    <row r="1205" spans="1:9" ht="15" customHeight="1" x14ac:dyDescent="0.25">
      <c r="A1205" s="132" t="s">
        <v>249</v>
      </c>
      <c r="B1205" s="132" t="s">
        <v>6</v>
      </c>
      <c r="C1205" s="132">
        <v>81</v>
      </c>
      <c r="D1205" s="132" t="str">
        <f t="shared" si="86"/>
        <v>Female CIM 81</v>
      </c>
      <c r="E1205" s="132">
        <v>0</v>
      </c>
      <c r="I1205" s="132">
        <v>0</v>
      </c>
    </row>
    <row r="1206" spans="1:9" ht="15" customHeight="1" x14ac:dyDescent="0.25">
      <c r="A1206" s="132" t="s">
        <v>249</v>
      </c>
      <c r="B1206" s="132" t="s">
        <v>6</v>
      </c>
      <c r="C1206" s="132">
        <v>90</v>
      </c>
      <c r="D1206" s="132" t="str">
        <f t="shared" si="86"/>
        <v>Female CIM 90</v>
      </c>
      <c r="E1206" s="132">
        <v>0</v>
      </c>
      <c r="I1206" s="132">
        <v>0</v>
      </c>
    </row>
    <row r="1207" spans="1:9" ht="15" customHeight="1" x14ac:dyDescent="0.25">
      <c r="A1207" s="132" t="s">
        <v>249</v>
      </c>
      <c r="B1207" s="132" t="s">
        <v>6</v>
      </c>
      <c r="C1207" s="132">
        <v>100</v>
      </c>
      <c r="D1207" s="132" t="str">
        <f t="shared" si="86"/>
        <v>Female CIM 100</v>
      </c>
      <c r="E1207" s="132">
        <v>0</v>
      </c>
      <c r="I1207" s="132">
        <v>0</v>
      </c>
    </row>
    <row r="1208" spans="1:9" ht="15" customHeight="1" x14ac:dyDescent="0.25">
      <c r="A1208" s="132" t="s">
        <v>249</v>
      </c>
      <c r="B1208" s="132" t="s">
        <v>9</v>
      </c>
      <c r="C1208" s="132">
        <v>-3</v>
      </c>
      <c r="D1208" s="132" t="str">
        <f t="shared" ref="D1208:D1213" si="87">A1208&amp;" "&amp;B1208&amp;" "&amp;C1208</f>
        <v>Female NEO -3</v>
      </c>
      <c r="E1208" s="132">
        <v>1</v>
      </c>
      <c r="I1208" s="132">
        <v>0</v>
      </c>
    </row>
    <row r="1209" spans="1:9" ht="15" customHeight="1" x14ac:dyDescent="0.25">
      <c r="A1209" s="132" t="s">
        <v>249</v>
      </c>
      <c r="B1209" s="132" t="s">
        <v>9</v>
      </c>
      <c r="C1209" s="132">
        <v>-4</v>
      </c>
      <c r="D1209" s="132" t="str">
        <f t="shared" si="87"/>
        <v>Female NEO -4</v>
      </c>
      <c r="E1209" s="132">
        <v>1</v>
      </c>
      <c r="I1209" s="132">
        <v>0</v>
      </c>
    </row>
    <row r="1210" spans="1:9" ht="15" customHeight="1" x14ac:dyDescent="0.25">
      <c r="A1210" s="132" t="s">
        <v>249</v>
      </c>
      <c r="B1210" s="132" t="s">
        <v>9</v>
      </c>
      <c r="C1210" s="132">
        <v>-5</v>
      </c>
      <c r="D1210" s="132" t="str">
        <f t="shared" si="87"/>
        <v>Female NEO -5</v>
      </c>
      <c r="E1210" s="132">
        <v>1</v>
      </c>
      <c r="I1210" s="132">
        <v>0</v>
      </c>
    </row>
    <row r="1211" spans="1:9" ht="15" customHeight="1" x14ac:dyDescent="0.25">
      <c r="A1211" s="132" t="s">
        <v>249</v>
      </c>
      <c r="B1211" s="132" t="s">
        <v>9</v>
      </c>
      <c r="C1211" s="132">
        <v>-7</v>
      </c>
      <c r="D1211" s="132" t="str">
        <f t="shared" si="87"/>
        <v>Female NEO -7</v>
      </c>
      <c r="E1211" s="132">
        <v>1</v>
      </c>
      <c r="I1211" s="132">
        <v>0</v>
      </c>
    </row>
    <row r="1212" spans="1:9" ht="15" customHeight="1" x14ac:dyDescent="0.25">
      <c r="A1212" s="132" t="s">
        <v>249</v>
      </c>
      <c r="B1212" s="132" t="s">
        <v>9</v>
      </c>
      <c r="C1212" s="132">
        <v>-9</v>
      </c>
      <c r="D1212" s="132" t="str">
        <f t="shared" si="87"/>
        <v>Female NEO -9</v>
      </c>
      <c r="E1212" s="132">
        <v>1</v>
      </c>
      <c r="I1212" s="132">
        <v>0</v>
      </c>
    </row>
    <row r="1213" spans="1:9" ht="15" customHeight="1" x14ac:dyDescent="0.25">
      <c r="A1213" s="132" t="s">
        <v>249</v>
      </c>
      <c r="B1213" s="132" t="s">
        <v>9</v>
      </c>
      <c r="C1213" s="132">
        <v>-10</v>
      </c>
      <c r="D1213" s="132" t="str">
        <f t="shared" si="87"/>
        <v>Female NEO -10</v>
      </c>
      <c r="E1213" s="132">
        <v>1</v>
      </c>
      <c r="I1213" s="132">
        <v>0</v>
      </c>
    </row>
    <row r="1214" spans="1:9" ht="15" customHeight="1" x14ac:dyDescent="0.25">
      <c r="A1214" s="132" t="s">
        <v>249</v>
      </c>
      <c r="B1214" s="132" t="s">
        <v>9</v>
      </c>
      <c r="C1214" s="132">
        <v>9</v>
      </c>
      <c r="D1214" s="132" t="str">
        <f t="shared" ref="D1214:D1234" si="88">A1214&amp;" "&amp;B1214&amp;" "&amp;C1214</f>
        <v>Female NEO 9</v>
      </c>
      <c r="E1214" s="132">
        <v>5</v>
      </c>
      <c r="I1214" s="132">
        <v>0</v>
      </c>
    </row>
    <row r="1215" spans="1:9" ht="15" customHeight="1" x14ac:dyDescent="0.25">
      <c r="A1215" s="132" t="s">
        <v>249</v>
      </c>
      <c r="B1215" s="132" t="s">
        <v>9</v>
      </c>
      <c r="C1215" s="132">
        <v>12</v>
      </c>
      <c r="D1215" s="132" t="str">
        <f t="shared" si="88"/>
        <v>Female NEO 12</v>
      </c>
      <c r="E1215" s="132">
        <v>3</v>
      </c>
      <c r="I1215" s="132">
        <v>0</v>
      </c>
    </row>
    <row r="1216" spans="1:9" ht="15" customHeight="1" x14ac:dyDescent="0.25">
      <c r="A1216" s="132" t="s">
        <v>249</v>
      </c>
      <c r="B1216" s="132" t="s">
        <v>9</v>
      </c>
      <c r="C1216" s="132">
        <v>15</v>
      </c>
      <c r="D1216" s="132" t="str">
        <f t="shared" si="88"/>
        <v>Female NEO 15</v>
      </c>
      <c r="E1216" s="132">
        <v>3</v>
      </c>
      <c r="I1216" s="132">
        <v>0</v>
      </c>
    </row>
    <row r="1217" spans="1:9" ht="15" customHeight="1" x14ac:dyDescent="0.25">
      <c r="A1217" s="132" t="s">
        <v>249</v>
      </c>
      <c r="B1217" s="132" t="s">
        <v>9</v>
      </c>
      <c r="C1217" s="132">
        <v>16</v>
      </c>
      <c r="D1217" s="132" t="str">
        <f t="shared" si="88"/>
        <v>Female NEO 16</v>
      </c>
      <c r="E1217" s="132">
        <v>1</v>
      </c>
      <c r="I1217" s="132">
        <v>0</v>
      </c>
    </row>
    <row r="1218" spans="1:9" ht="15" customHeight="1" x14ac:dyDescent="0.25">
      <c r="A1218" s="132" t="s">
        <v>249</v>
      </c>
      <c r="B1218" s="132" t="s">
        <v>9</v>
      </c>
      <c r="C1218" s="132">
        <v>20</v>
      </c>
      <c r="D1218" s="132" t="str">
        <f t="shared" si="88"/>
        <v>Female NEO 20</v>
      </c>
      <c r="E1218" s="132">
        <v>1</v>
      </c>
      <c r="I1218" s="132">
        <v>0</v>
      </c>
    </row>
    <row r="1219" spans="1:9" ht="15" customHeight="1" x14ac:dyDescent="0.25">
      <c r="A1219" s="132" t="s">
        <v>249</v>
      </c>
      <c r="B1219" s="132" t="s">
        <v>9</v>
      </c>
      <c r="C1219" s="132">
        <v>21</v>
      </c>
      <c r="D1219" s="132" t="str">
        <f t="shared" si="88"/>
        <v>Female NEO 21</v>
      </c>
      <c r="E1219" s="132">
        <v>1</v>
      </c>
      <c r="I1219" s="132">
        <v>0</v>
      </c>
    </row>
    <row r="1220" spans="1:9" ht="15" customHeight="1" x14ac:dyDescent="0.25">
      <c r="A1220" s="132" t="s">
        <v>249</v>
      </c>
      <c r="B1220" s="132" t="s">
        <v>9</v>
      </c>
      <c r="C1220" s="132">
        <v>25</v>
      </c>
      <c r="D1220" s="132" t="str">
        <f t="shared" si="88"/>
        <v>Female NEO 25</v>
      </c>
      <c r="E1220" s="132">
        <v>1</v>
      </c>
      <c r="I1220" s="132">
        <v>0</v>
      </c>
    </row>
    <row r="1221" spans="1:9" ht="15" customHeight="1" x14ac:dyDescent="0.25">
      <c r="A1221" s="132" t="s">
        <v>249</v>
      </c>
      <c r="B1221" s="132" t="s">
        <v>9</v>
      </c>
      <c r="C1221" s="132">
        <v>27</v>
      </c>
      <c r="D1221" s="132" t="str">
        <f t="shared" si="88"/>
        <v>Female NEO 27</v>
      </c>
      <c r="E1221" s="132">
        <v>1</v>
      </c>
      <c r="I1221" s="132">
        <v>0</v>
      </c>
    </row>
    <row r="1222" spans="1:9" ht="15" customHeight="1" x14ac:dyDescent="0.25">
      <c r="A1222" s="132" t="s">
        <v>249</v>
      </c>
      <c r="B1222" s="132" t="s">
        <v>9</v>
      </c>
      <c r="C1222" s="132">
        <v>28</v>
      </c>
      <c r="D1222" s="132" t="str">
        <f t="shared" si="88"/>
        <v>Female NEO 28</v>
      </c>
      <c r="E1222" s="132">
        <v>1</v>
      </c>
      <c r="I1222" s="132">
        <v>0</v>
      </c>
    </row>
    <row r="1223" spans="1:9" ht="15" customHeight="1" x14ac:dyDescent="0.25">
      <c r="A1223" s="132" t="s">
        <v>249</v>
      </c>
      <c r="B1223" s="132" t="s">
        <v>9</v>
      </c>
      <c r="C1223" s="132">
        <v>30</v>
      </c>
      <c r="D1223" s="132" t="str">
        <f t="shared" si="88"/>
        <v>Female NEO 30</v>
      </c>
      <c r="E1223" s="132">
        <v>1</v>
      </c>
      <c r="I1223" s="132">
        <v>0</v>
      </c>
    </row>
    <row r="1224" spans="1:9" ht="15" customHeight="1" x14ac:dyDescent="0.25">
      <c r="A1224" s="132" t="s">
        <v>249</v>
      </c>
      <c r="B1224" s="132" t="s">
        <v>9</v>
      </c>
      <c r="C1224" s="132">
        <v>35</v>
      </c>
      <c r="D1224" s="132" t="str">
        <f t="shared" si="88"/>
        <v>Female NEO 35</v>
      </c>
      <c r="E1224" s="132">
        <v>1</v>
      </c>
      <c r="I1224" s="132">
        <v>0</v>
      </c>
    </row>
    <row r="1225" spans="1:9" ht="15" customHeight="1" x14ac:dyDescent="0.25">
      <c r="A1225" s="132" t="s">
        <v>249</v>
      </c>
      <c r="B1225" s="132" t="s">
        <v>9</v>
      </c>
      <c r="C1225" s="132">
        <v>36</v>
      </c>
      <c r="D1225" s="132" t="str">
        <f t="shared" si="88"/>
        <v>Female NEO 36</v>
      </c>
      <c r="E1225" s="132">
        <v>1</v>
      </c>
      <c r="I1225" s="132">
        <v>0</v>
      </c>
    </row>
    <row r="1226" spans="1:9" ht="15" customHeight="1" x14ac:dyDescent="0.25">
      <c r="A1226" s="132" t="s">
        <v>249</v>
      </c>
      <c r="B1226" s="132" t="s">
        <v>9</v>
      </c>
      <c r="C1226" s="132">
        <v>40</v>
      </c>
      <c r="D1226" s="132" t="str">
        <f t="shared" si="88"/>
        <v>Female NEO 40</v>
      </c>
      <c r="E1226" s="132">
        <v>1</v>
      </c>
      <c r="I1226" s="132">
        <v>0</v>
      </c>
    </row>
    <row r="1227" spans="1:9" ht="15" customHeight="1" x14ac:dyDescent="0.25">
      <c r="A1227" s="132" t="s">
        <v>249</v>
      </c>
      <c r="B1227" s="132" t="s">
        <v>9</v>
      </c>
      <c r="C1227" s="132">
        <v>45</v>
      </c>
      <c r="D1227" s="132" t="str">
        <f t="shared" si="88"/>
        <v>Female NEO 45</v>
      </c>
      <c r="E1227" s="132">
        <v>1</v>
      </c>
      <c r="I1227" s="132">
        <v>0</v>
      </c>
    </row>
    <row r="1228" spans="1:9" ht="15" customHeight="1" x14ac:dyDescent="0.25">
      <c r="A1228" s="132" t="s">
        <v>249</v>
      </c>
      <c r="B1228" s="132" t="s">
        <v>9</v>
      </c>
      <c r="C1228" s="132">
        <v>49</v>
      </c>
      <c r="D1228" s="132" t="str">
        <f t="shared" si="88"/>
        <v>Female NEO 49</v>
      </c>
      <c r="E1228" s="132">
        <v>0</v>
      </c>
      <c r="I1228" s="132">
        <v>0</v>
      </c>
    </row>
    <row r="1229" spans="1:9" ht="15" customHeight="1" x14ac:dyDescent="0.25">
      <c r="A1229" s="132" t="s">
        <v>249</v>
      </c>
      <c r="B1229" s="132" t="s">
        <v>9</v>
      </c>
      <c r="C1229" s="132">
        <v>50</v>
      </c>
      <c r="D1229" s="132" t="str">
        <f t="shared" si="88"/>
        <v>Female NEO 50</v>
      </c>
      <c r="E1229" s="132">
        <v>0</v>
      </c>
      <c r="I1229" s="132">
        <v>0</v>
      </c>
    </row>
    <row r="1230" spans="1:9" ht="15" customHeight="1" x14ac:dyDescent="0.25">
      <c r="A1230" s="132" t="s">
        <v>249</v>
      </c>
      <c r="B1230" s="132" t="s">
        <v>9</v>
      </c>
      <c r="C1230" s="132">
        <v>63</v>
      </c>
      <c r="D1230" s="132" t="str">
        <f t="shared" si="88"/>
        <v>Female NEO 63</v>
      </c>
      <c r="E1230" s="132">
        <v>0</v>
      </c>
      <c r="I1230" s="132">
        <v>0</v>
      </c>
    </row>
    <row r="1231" spans="1:9" ht="15" customHeight="1" x14ac:dyDescent="0.25">
      <c r="A1231" s="132" t="s">
        <v>249</v>
      </c>
      <c r="B1231" s="132" t="s">
        <v>9</v>
      </c>
      <c r="C1231" s="132">
        <v>70</v>
      </c>
      <c r="D1231" s="132" t="str">
        <f t="shared" si="88"/>
        <v>Female NEO 70</v>
      </c>
      <c r="E1231" s="132">
        <v>0</v>
      </c>
      <c r="I1231" s="132">
        <v>0</v>
      </c>
    </row>
    <row r="1232" spans="1:9" ht="15" customHeight="1" x14ac:dyDescent="0.25">
      <c r="A1232" s="132" t="s">
        <v>249</v>
      </c>
      <c r="B1232" s="132" t="s">
        <v>9</v>
      </c>
      <c r="C1232" s="132">
        <v>81</v>
      </c>
      <c r="D1232" s="132" t="str">
        <f t="shared" si="88"/>
        <v>Female NEO 81</v>
      </c>
      <c r="E1232" s="132">
        <v>0</v>
      </c>
      <c r="I1232" s="132">
        <v>0</v>
      </c>
    </row>
    <row r="1233" spans="1:9" ht="15" customHeight="1" x14ac:dyDescent="0.25">
      <c r="A1233" s="132" t="s">
        <v>249</v>
      </c>
      <c r="B1233" s="132" t="s">
        <v>9</v>
      </c>
      <c r="C1233" s="132">
        <v>90</v>
      </c>
      <c r="D1233" s="132" t="str">
        <f t="shared" si="88"/>
        <v>Female NEO 90</v>
      </c>
      <c r="E1233" s="132">
        <v>0</v>
      </c>
      <c r="I1233" s="132">
        <v>0</v>
      </c>
    </row>
    <row r="1234" spans="1:9" ht="15" customHeight="1" x14ac:dyDescent="0.25">
      <c r="A1234" s="132" t="s">
        <v>249</v>
      </c>
      <c r="B1234" s="132" t="s">
        <v>9</v>
      </c>
      <c r="C1234" s="132">
        <v>100</v>
      </c>
      <c r="D1234" s="132" t="str">
        <f t="shared" si="88"/>
        <v>Female NEO 100</v>
      </c>
      <c r="E1234" s="132">
        <v>0</v>
      </c>
      <c r="I1234" s="132">
        <v>0</v>
      </c>
    </row>
    <row r="1235" spans="1:9" ht="15" customHeight="1" x14ac:dyDescent="0.25">
      <c r="A1235" s="132" t="s">
        <v>249</v>
      </c>
      <c r="B1235" s="132" t="s">
        <v>333</v>
      </c>
      <c r="C1235" s="132">
        <v>-3</v>
      </c>
      <c r="D1235" s="132" t="str">
        <f t="shared" ref="D1235:D1240" si="89">A1235&amp;" "&amp;B1235&amp;" "&amp;C1235</f>
        <v>Female Falcon 500 -3</v>
      </c>
      <c r="E1235" s="132">
        <v>1</v>
      </c>
      <c r="I1235" s="132">
        <v>0</v>
      </c>
    </row>
    <row r="1236" spans="1:9" ht="15" customHeight="1" x14ac:dyDescent="0.25">
      <c r="A1236" s="132" t="s">
        <v>249</v>
      </c>
      <c r="B1236" s="132" t="s">
        <v>333</v>
      </c>
      <c r="C1236" s="132">
        <v>-4</v>
      </c>
      <c r="D1236" s="132" t="str">
        <f t="shared" si="89"/>
        <v>Female Falcon 500 -4</v>
      </c>
      <c r="E1236" s="132">
        <v>1</v>
      </c>
      <c r="I1236" s="132">
        <v>0</v>
      </c>
    </row>
    <row r="1237" spans="1:9" ht="15" customHeight="1" x14ac:dyDescent="0.25">
      <c r="A1237" s="132" t="s">
        <v>249</v>
      </c>
      <c r="B1237" s="132" t="s">
        <v>333</v>
      </c>
      <c r="C1237" s="132">
        <v>-5</v>
      </c>
      <c r="D1237" s="132" t="str">
        <f t="shared" si="89"/>
        <v>Female Falcon 500 -5</v>
      </c>
      <c r="E1237" s="132">
        <v>1</v>
      </c>
      <c r="I1237" s="132">
        <v>0</v>
      </c>
    </row>
    <row r="1238" spans="1:9" ht="15" customHeight="1" x14ac:dyDescent="0.25">
      <c r="A1238" s="132" t="s">
        <v>249</v>
      </c>
      <c r="B1238" s="132" t="s">
        <v>333</v>
      </c>
      <c r="C1238" s="132">
        <v>-7</v>
      </c>
      <c r="D1238" s="132" t="str">
        <f t="shared" si="89"/>
        <v>Female Falcon 500 -7</v>
      </c>
      <c r="E1238" s="132">
        <v>1</v>
      </c>
      <c r="I1238" s="132">
        <v>0</v>
      </c>
    </row>
    <row r="1239" spans="1:9" ht="15" customHeight="1" x14ac:dyDescent="0.25">
      <c r="A1239" s="132" t="s">
        <v>249</v>
      </c>
      <c r="B1239" s="132" t="s">
        <v>333</v>
      </c>
      <c r="C1239" s="132">
        <v>-9</v>
      </c>
      <c r="D1239" s="132" t="str">
        <f t="shared" si="89"/>
        <v>Female Falcon 500 -9</v>
      </c>
      <c r="E1239" s="132">
        <v>1</v>
      </c>
      <c r="I1239" s="132">
        <v>0</v>
      </c>
    </row>
    <row r="1240" spans="1:9" ht="15" customHeight="1" x14ac:dyDescent="0.25">
      <c r="A1240" s="132" t="s">
        <v>249</v>
      </c>
      <c r="B1240" s="132" t="s">
        <v>333</v>
      </c>
      <c r="C1240" s="132">
        <v>-10</v>
      </c>
      <c r="D1240" s="132" t="str">
        <f t="shared" si="89"/>
        <v>Female Falcon 500 -10</v>
      </c>
      <c r="E1240" s="132">
        <v>1</v>
      </c>
      <c r="I1240" s="132">
        <v>0</v>
      </c>
    </row>
    <row r="1241" spans="1:9" ht="15" customHeight="1" x14ac:dyDescent="0.25">
      <c r="A1241" s="132" t="s">
        <v>249</v>
      </c>
      <c r="B1241" s="132" t="s">
        <v>333</v>
      </c>
      <c r="C1241" s="132">
        <v>9</v>
      </c>
      <c r="D1241" s="132" t="str">
        <f t="shared" ref="D1241:D1261" si="90">A1241&amp;" "&amp;B1241&amp;" "&amp;C1241</f>
        <v>Female Falcon 500 9</v>
      </c>
      <c r="E1241" s="132">
        <v>3</v>
      </c>
      <c r="I1241" s="132">
        <v>0</v>
      </c>
    </row>
    <row r="1242" spans="1:9" ht="15" customHeight="1" x14ac:dyDescent="0.25">
      <c r="A1242" s="132" t="s">
        <v>249</v>
      </c>
      <c r="B1242" s="132" t="s">
        <v>333</v>
      </c>
      <c r="C1242" s="132">
        <v>12</v>
      </c>
      <c r="D1242" s="132" t="str">
        <f t="shared" si="90"/>
        <v>Female Falcon 500 12</v>
      </c>
      <c r="E1242" s="132">
        <v>1</v>
      </c>
      <c r="I1242" s="132">
        <v>0</v>
      </c>
    </row>
    <row r="1243" spans="1:9" ht="15" customHeight="1" x14ac:dyDescent="0.25">
      <c r="A1243" s="132" t="s">
        <v>249</v>
      </c>
      <c r="B1243" s="132" t="s">
        <v>333</v>
      </c>
      <c r="C1243" s="132">
        <v>15</v>
      </c>
      <c r="D1243" s="132" t="str">
        <f t="shared" si="90"/>
        <v>Female Falcon 500 15</v>
      </c>
      <c r="E1243" s="132">
        <v>1</v>
      </c>
      <c r="I1243" s="132">
        <v>0</v>
      </c>
    </row>
    <row r="1244" spans="1:9" ht="15" customHeight="1" x14ac:dyDescent="0.25">
      <c r="A1244" s="132" t="s">
        <v>249</v>
      </c>
      <c r="B1244" s="132" t="s">
        <v>333</v>
      </c>
      <c r="C1244" s="132">
        <v>16</v>
      </c>
      <c r="D1244" s="132" t="str">
        <f t="shared" si="90"/>
        <v>Female Falcon 500 16</v>
      </c>
      <c r="E1244" s="132">
        <v>1</v>
      </c>
      <c r="I1244" s="132">
        <v>0</v>
      </c>
    </row>
    <row r="1245" spans="1:9" ht="15" customHeight="1" x14ac:dyDescent="0.25">
      <c r="A1245" s="132" t="s">
        <v>249</v>
      </c>
      <c r="B1245" s="132" t="s">
        <v>333</v>
      </c>
      <c r="C1245" s="132">
        <v>20</v>
      </c>
      <c r="D1245" s="132" t="str">
        <f t="shared" si="90"/>
        <v>Female Falcon 500 20</v>
      </c>
      <c r="E1245" s="132">
        <v>1</v>
      </c>
      <c r="I1245" s="132">
        <v>0</v>
      </c>
    </row>
    <row r="1246" spans="1:9" ht="15" customHeight="1" x14ac:dyDescent="0.25">
      <c r="A1246" s="132" t="s">
        <v>249</v>
      </c>
      <c r="B1246" s="132" t="s">
        <v>333</v>
      </c>
      <c r="C1246" s="132">
        <v>21</v>
      </c>
      <c r="D1246" s="132" t="str">
        <f t="shared" si="90"/>
        <v>Female Falcon 500 21</v>
      </c>
      <c r="E1246" s="132">
        <v>1</v>
      </c>
      <c r="I1246" s="132">
        <v>0</v>
      </c>
    </row>
    <row r="1247" spans="1:9" ht="15" customHeight="1" x14ac:dyDescent="0.25">
      <c r="A1247" s="132" t="s">
        <v>249</v>
      </c>
      <c r="B1247" s="132" t="s">
        <v>333</v>
      </c>
      <c r="C1247" s="132">
        <v>25</v>
      </c>
      <c r="D1247" s="132" t="str">
        <f t="shared" si="90"/>
        <v>Female Falcon 500 25</v>
      </c>
      <c r="E1247" s="132">
        <v>1</v>
      </c>
      <c r="I1247" s="132">
        <v>0</v>
      </c>
    </row>
    <row r="1248" spans="1:9" ht="15" customHeight="1" x14ac:dyDescent="0.25">
      <c r="A1248" s="132" t="s">
        <v>249</v>
      </c>
      <c r="B1248" s="132" t="s">
        <v>333</v>
      </c>
      <c r="C1248" s="132">
        <v>27</v>
      </c>
      <c r="D1248" s="132" t="str">
        <f t="shared" si="90"/>
        <v>Female Falcon 500 27</v>
      </c>
      <c r="E1248" s="132">
        <v>1</v>
      </c>
      <c r="I1248" s="132">
        <v>0</v>
      </c>
    </row>
    <row r="1249" spans="1:9" ht="15" customHeight="1" x14ac:dyDescent="0.25">
      <c r="A1249" s="132" t="s">
        <v>249</v>
      </c>
      <c r="B1249" s="132" t="s">
        <v>333</v>
      </c>
      <c r="C1249" s="132">
        <v>28</v>
      </c>
      <c r="D1249" s="132" t="str">
        <f t="shared" si="90"/>
        <v>Female Falcon 500 28</v>
      </c>
      <c r="E1249" s="132">
        <v>1</v>
      </c>
      <c r="I1249" s="132">
        <v>0</v>
      </c>
    </row>
    <row r="1250" spans="1:9" ht="15" customHeight="1" x14ac:dyDescent="0.25">
      <c r="A1250" s="132" t="s">
        <v>249</v>
      </c>
      <c r="B1250" s="132" t="s">
        <v>333</v>
      </c>
      <c r="C1250" s="132">
        <v>30</v>
      </c>
      <c r="D1250" s="132" t="str">
        <f t="shared" si="90"/>
        <v>Female Falcon 500 30</v>
      </c>
      <c r="E1250" s="132">
        <v>1</v>
      </c>
      <c r="I1250" s="132">
        <v>0</v>
      </c>
    </row>
    <row r="1251" spans="1:9" ht="15" customHeight="1" x14ac:dyDescent="0.25">
      <c r="A1251" s="132" t="s">
        <v>249</v>
      </c>
      <c r="B1251" s="132" t="s">
        <v>333</v>
      </c>
      <c r="C1251" s="132">
        <v>35</v>
      </c>
      <c r="D1251" s="132" t="str">
        <f t="shared" si="90"/>
        <v>Female Falcon 500 35</v>
      </c>
      <c r="E1251" s="132">
        <v>0</v>
      </c>
      <c r="I1251" s="132">
        <v>0</v>
      </c>
    </row>
    <row r="1252" spans="1:9" ht="15" customHeight="1" x14ac:dyDescent="0.25">
      <c r="A1252" s="132" t="s">
        <v>249</v>
      </c>
      <c r="B1252" s="132" t="s">
        <v>333</v>
      </c>
      <c r="C1252" s="132">
        <v>36</v>
      </c>
      <c r="D1252" s="132" t="str">
        <f t="shared" si="90"/>
        <v>Female Falcon 500 36</v>
      </c>
      <c r="E1252" s="132">
        <v>0</v>
      </c>
      <c r="I1252" s="132">
        <v>0</v>
      </c>
    </row>
    <row r="1253" spans="1:9" ht="15" customHeight="1" x14ac:dyDescent="0.25">
      <c r="A1253" s="132" t="s">
        <v>249</v>
      </c>
      <c r="B1253" s="132" t="s">
        <v>333</v>
      </c>
      <c r="C1253" s="132">
        <v>40</v>
      </c>
      <c r="D1253" s="132" t="str">
        <f t="shared" si="90"/>
        <v>Female Falcon 500 40</v>
      </c>
      <c r="E1253" s="132">
        <v>0</v>
      </c>
      <c r="I1253" s="132">
        <v>0</v>
      </c>
    </row>
    <row r="1254" spans="1:9" ht="15" customHeight="1" x14ac:dyDescent="0.25">
      <c r="A1254" s="132" t="s">
        <v>249</v>
      </c>
      <c r="B1254" s="132" t="s">
        <v>333</v>
      </c>
      <c r="C1254" s="132">
        <v>45</v>
      </c>
      <c r="D1254" s="132" t="str">
        <f t="shared" si="90"/>
        <v>Female Falcon 500 45</v>
      </c>
      <c r="E1254" s="132">
        <v>0</v>
      </c>
      <c r="I1254" s="132">
        <v>0</v>
      </c>
    </row>
    <row r="1255" spans="1:9" ht="15" customHeight="1" x14ac:dyDescent="0.25">
      <c r="A1255" s="132" t="s">
        <v>249</v>
      </c>
      <c r="B1255" s="132" t="s">
        <v>333</v>
      </c>
      <c r="C1255" s="132">
        <v>49</v>
      </c>
      <c r="D1255" s="132" t="str">
        <f t="shared" si="90"/>
        <v>Female Falcon 500 49</v>
      </c>
      <c r="E1255" s="132">
        <v>0</v>
      </c>
      <c r="I1255" s="132">
        <v>0</v>
      </c>
    </row>
    <row r="1256" spans="1:9" ht="15" customHeight="1" x14ac:dyDescent="0.25">
      <c r="A1256" s="132" t="s">
        <v>249</v>
      </c>
      <c r="B1256" s="132" t="s">
        <v>333</v>
      </c>
      <c r="C1256" s="132">
        <v>50</v>
      </c>
      <c r="D1256" s="132" t="str">
        <f t="shared" si="90"/>
        <v>Female Falcon 500 50</v>
      </c>
      <c r="E1256" s="132">
        <v>0</v>
      </c>
      <c r="I1256" s="132">
        <v>0</v>
      </c>
    </row>
    <row r="1257" spans="1:9" ht="15" customHeight="1" x14ac:dyDescent="0.25">
      <c r="A1257" s="132" t="s">
        <v>249</v>
      </c>
      <c r="B1257" s="132" t="s">
        <v>333</v>
      </c>
      <c r="C1257" s="132">
        <v>63</v>
      </c>
      <c r="D1257" s="132" t="str">
        <f t="shared" si="90"/>
        <v>Female Falcon 500 63</v>
      </c>
      <c r="E1257" s="132">
        <v>0</v>
      </c>
      <c r="I1257" s="132">
        <v>0</v>
      </c>
    </row>
    <row r="1258" spans="1:9" ht="15" customHeight="1" x14ac:dyDescent="0.25">
      <c r="A1258" s="132" t="s">
        <v>249</v>
      </c>
      <c r="B1258" s="132" t="s">
        <v>333</v>
      </c>
      <c r="C1258" s="132">
        <v>70</v>
      </c>
      <c r="D1258" s="132" t="str">
        <f t="shared" si="90"/>
        <v>Female Falcon 500 70</v>
      </c>
      <c r="E1258" s="132">
        <v>0</v>
      </c>
      <c r="I1258" s="132">
        <v>0</v>
      </c>
    </row>
    <row r="1259" spans="1:9" ht="15" customHeight="1" x14ac:dyDescent="0.25">
      <c r="A1259" s="132" t="s">
        <v>249</v>
      </c>
      <c r="B1259" s="132" t="s">
        <v>333</v>
      </c>
      <c r="C1259" s="132">
        <v>81</v>
      </c>
      <c r="D1259" s="132" t="str">
        <f t="shared" si="90"/>
        <v>Female Falcon 500 81</v>
      </c>
      <c r="E1259" s="132">
        <v>0</v>
      </c>
      <c r="I1259" s="132">
        <v>0</v>
      </c>
    </row>
    <row r="1260" spans="1:9" ht="15" customHeight="1" x14ac:dyDescent="0.25">
      <c r="A1260" s="132" t="s">
        <v>249</v>
      </c>
      <c r="B1260" s="132" t="s">
        <v>333</v>
      </c>
      <c r="C1260" s="132">
        <v>90</v>
      </c>
      <c r="D1260" s="132" t="str">
        <f t="shared" si="90"/>
        <v>Female Falcon 500 90</v>
      </c>
      <c r="E1260" s="132">
        <v>0</v>
      </c>
      <c r="I1260" s="132">
        <v>0</v>
      </c>
    </row>
    <row r="1261" spans="1:9" ht="15" customHeight="1" x14ac:dyDescent="0.25">
      <c r="A1261" s="132" t="s">
        <v>249</v>
      </c>
      <c r="B1261" s="132" t="s">
        <v>333</v>
      </c>
      <c r="C1261" s="132">
        <v>100</v>
      </c>
      <c r="D1261" s="132" t="str">
        <f t="shared" si="90"/>
        <v>Female Falcon 500 100</v>
      </c>
      <c r="E1261" s="132">
        <v>0</v>
      </c>
      <c r="I1261"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320</v>
      </c>
    </row>
    <row r="3" spans="2:14" s="133" customFormat="1" ht="14.25" customHeight="1" x14ac:dyDescent="0.3"/>
    <row r="4" spans="2:14" s="133" customFormat="1" ht="14.25" customHeight="1" x14ac:dyDescent="0.3">
      <c r="B4" s="8" t="b">
        <v>0</v>
      </c>
      <c r="C4" s="133" t="s">
        <v>0</v>
      </c>
    </row>
    <row r="5" spans="2:14" ht="18" customHeight="1" x14ac:dyDescent="0.3">
      <c r="H5" s="209" t="s">
        <v>321</v>
      </c>
      <c r="I5" s="210"/>
      <c r="K5" s="209" t="s">
        <v>322</v>
      </c>
      <c r="L5" s="210"/>
    </row>
    <row r="6" spans="2:14" ht="14.25" customHeight="1" x14ac:dyDescent="0.25">
      <c r="C6" s="141" t="s">
        <v>309</v>
      </c>
      <c r="D6" s="150" t="s">
        <v>255</v>
      </c>
      <c r="F6" s="211" t="s">
        <v>310</v>
      </c>
      <c r="H6" s="153" t="s">
        <v>311</v>
      </c>
      <c r="I6" s="154" t="s">
        <v>312</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311</v>
      </c>
      <c r="L6" s="154" t="s">
        <v>312</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325</v>
      </c>
    </row>
    <row r="7" spans="2:14" ht="14.25" customHeight="1" x14ac:dyDescent="0.25">
      <c r="C7" s="141" t="s">
        <v>313</v>
      </c>
      <c r="D7" s="150" t="s">
        <v>257</v>
      </c>
      <c r="E7" s="142">
        <f>CHOOSE(MATCH($D$7, {"None","DM Nyl 1:1","DM Nyl 3.75:1","DM Nyl 5.33:1","DM Al 1:1","DM Al 3.75:1","DM Al 5.33:1","Dual Motor"}, 0), 1, 2, 7.5, 10.67, 2, 7.5, 10.67, 2)</f>
        <v>1</v>
      </c>
      <c r="F7" s="212"/>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325</v>
      </c>
    </row>
    <row r="8" spans="2:14" ht="14.25" customHeight="1" x14ac:dyDescent="0.25">
      <c r="C8" s="141" t="s">
        <v>323</v>
      </c>
      <c r="D8" s="150" t="s">
        <v>302</v>
      </c>
      <c r="F8" s="212"/>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325</v>
      </c>
    </row>
    <row r="9" spans="2:14" ht="14.25" customHeight="1" x14ac:dyDescent="0.25">
      <c r="C9" s="141" t="s">
        <v>314</v>
      </c>
      <c r="D9" s="151" t="s">
        <v>267</v>
      </c>
      <c r="F9" s="212"/>
      <c r="H9" s="155">
        <f t="shared" si="0"/>
        <v>1</v>
      </c>
      <c r="I9" s="156" t="str">
        <f t="shared" si="1"/>
        <v>217-3102</v>
      </c>
      <c r="J9" s="142" t="str">
        <f t="shared" si="2"/>
        <v>217-2819,</v>
      </c>
      <c r="K9" s="155">
        <f t="shared" si="3"/>
        <v>1</v>
      </c>
      <c r="L9" s="156" t="str">
        <f t="shared" si="4"/>
        <v>217-3564</v>
      </c>
      <c r="M9" s="142" t="str">
        <f t="shared" si="5"/>
        <v>217-4649,217-5832,217-3102,217-5832,217-2819,</v>
      </c>
      <c r="N9" s="143" t="s">
        <v>325</v>
      </c>
    </row>
    <row r="10" spans="2:14" ht="14.25" customHeight="1" x14ac:dyDescent="0.25">
      <c r="C10" s="141" t="s">
        <v>315</v>
      </c>
      <c r="D10" s="151" t="s">
        <v>264</v>
      </c>
      <c r="F10" s="213"/>
      <c r="H10" s="155">
        <f t="shared" si="0"/>
        <v>1</v>
      </c>
      <c r="I10" s="156" t="str">
        <f t="shared" si="1"/>
        <v>217-2819</v>
      </c>
      <c r="J10" s="142" t="str">
        <f t="shared" si="2"/>
        <v/>
      </c>
      <c r="K10" s="155">
        <f t="shared" si="3"/>
        <v>1</v>
      </c>
      <c r="L10" s="156" t="str">
        <f t="shared" si="4"/>
        <v>217-4649</v>
      </c>
      <c r="M10" s="142" t="str">
        <f t="shared" si="5"/>
        <v>217-5832,217-3102,217-5832,217-2819,</v>
      </c>
      <c r="N10" s="143" t="s">
        <v>325</v>
      </c>
    </row>
    <row r="11" spans="2:14" ht="14.25" customHeight="1" x14ac:dyDescent="0.3">
      <c r="C11" s="141" t="s">
        <v>235</v>
      </c>
      <c r="D11" s="151" t="s">
        <v>257</v>
      </c>
      <c r="H11" s="155" t="str">
        <f t="shared" si="0"/>
        <v/>
      </c>
      <c r="I11" s="156" t="str">
        <f t="shared" si="1"/>
        <v/>
      </c>
      <c r="J11" s="142" t="str">
        <f t="shared" si="2"/>
        <v/>
      </c>
      <c r="K11" s="155">
        <f t="shared" si="3"/>
        <v>2</v>
      </c>
      <c r="L11" s="156" t="str">
        <f t="shared" si="4"/>
        <v>217-5832</v>
      </c>
      <c r="M11" s="142" t="str">
        <f t="shared" si="5"/>
        <v>217-3102,217-2819,</v>
      </c>
      <c r="N11" s="143" t="s">
        <v>325</v>
      </c>
    </row>
    <row r="12" spans="2:14" ht="14.25" customHeight="1" x14ac:dyDescent="0.25">
      <c r="C12" s="141" t="s">
        <v>303</v>
      </c>
      <c r="D12" s="150" t="s">
        <v>302</v>
      </c>
      <c r="F12" s="217" t="s">
        <v>343</v>
      </c>
      <c r="G12" s="144"/>
      <c r="H12" s="155" t="str">
        <f t="shared" si="0"/>
        <v/>
      </c>
      <c r="I12" s="156" t="str">
        <f t="shared" si="1"/>
        <v/>
      </c>
      <c r="J12" s="142" t="str">
        <f t="shared" si="2"/>
        <v/>
      </c>
      <c r="K12" s="155">
        <f t="shared" si="3"/>
        <v>1</v>
      </c>
      <c r="L12" s="156" t="str">
        <f t="shared" si="4"/>
        <v>217-3102</v>
      </c>
      <c r="M12" s="142" t="str">
        <f t="shared" si="5"/>
        <v>217-2819,</v>
      </c>
      <c r="N12" s="143" t="s">
        <v>325</v>
      </c>
    </row>
    <row r="13" spans="2:14" ht="14.25" customHeight="1" x14ac:dyDescent="0.25">
      <c r="C13" s="141" t="s">
        <v>305</v>
      </c>
      <c r="D13" s="150" t="s">
        <v>302</v>
      </c>
      <c r="F13" s="218"/>
      <c r="G13" s="144"/>
      <c r="H13" s="155" t="str">
        <f t="shared" si="0"/>
        <v/>
      </c>
      <c r="I13" s="156" t="str">
        <f t="shared" si="1"/>
        <v/>
      </c>
      <c r="J13" s="142" t="str">
        <f t="shared" si="2"/>
        <v/>
      </c>
      <c r="K13" s="155">
        <f t="shared" si="3"/>
        <v>1</v>
      </c>
      <c r="L13" s="156" t="str">
        <f t="shared" si="4"/>
        <v>217-2819</v>
      </c>
      <c r="M13" s="142" t="str">
        <f t="shared" si="5"/>
        <v/>
      </c>
      <c r="N13" s="143" t="s">
        <v>325</v>
      </c>
    </row>
    <row r="14" spans="2:14" ht="14.25" customHeight="1" x14ac:dyDescent="0.25">
      <c r="C14" s="141" t="s">
        <v>307</v>
      </c>
      <c r="D14" s="150" t="s">
        <v>302</v>
      </c>
      <c r="F14" s="218"/>
      <c r="G14" s="144"/>
      <c r="H14" s="155" t="str">
        <f t="shared" si="0"/>
        <v/>
      </c>
      <c r="I14" s="156" t="str">
        <f t="shared" si="1"/>
        <v/>
      </c>
      <c r="J14" s="142" t="str">
        <f t="shared" si="2"/>
        <v/>
      </c>
      <c r="K14" s="155" t="str">
        <f t="shared" si="3"/>
        <v/>
      </c>
      <c r="L14" s="156" t="str">
        <f t="shared" si="4"/>
        <v/>
      </c>
      <c r="M14" s="142" t="str">
        <f t="shared" si="5"/>
        <v/>
      </c>
      <c r="N14" s="143" t="s">
        <v>325</v>
      </c>
    </row>
    <row r="15" spans="2:14" ht="14.25" customHeight="1" x14ac:dyDescent="0.25">
      <c r="C15" s="141" t="s">
        <v>233</v>
      </c>
      <c r="D15" s="150" t="s">
        <v>117</v>
      </c>
      <c r="F15" s="219"/>
      <c r="G15" s="144"/>
      <c r="H15" s="155" t="str">
        <f t="shared" si="0"/>
        <v/>
      </c>
      <c r="I15" s="156" t="str">
        <f t="shared" si="1"/>
        <v/>
      </c>
      <c r="J15" s="142" t="str">
        <f t="shared" si="2"/>
        <v/>
      </c>
      <c r="K15" s="155" t="str">
        <f t="shared" si="3"/>
        <v/>
      </c>
      <c r="L15" s="156" t="str">
        <f t="shared" si="4"/>
        <v/>
      </c>
      <c r="M15" s="142" t="str">
        <f t="shared" si="5"/>
        <v/>
      </c>
      <c r="N15" s="143" t="s">
        <v>325</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325</v>
      </c>
    </row>
    <row r="17" spans="3:14" ht="14.25" customHeight="1" x14ac:dyDescent="0.25">
      <c r="C17" s="141" t="s">
        <v>329</v>
      </c>
      <c r="D17" s="145">
        <f>VALUE(IF($D$9="None", 1, LEFT($D$9, 2)))*VALUE(IF($D$10="None", 1, LEFT($D$10, 2)))*VALUE(IF($D$11="None", 1, LEFT($D$11, 2)))</f>
        <v>35</v>
      </c>
      <c r="F17" s="214" t="s">
        <v>316</v>
      </c>
      <c r="H17" s="155" t="str">
        <f t="shared" si="0"/>
        <v/>
      </c>
      <c r="I17" s="156" t="str">
        <f t="shared" si="1"/>
        <v/>
      </c>
      <c r="J17" s="142" t="str">
        <f t="shared" si="2"/>
        <v/>
      </c>
      <c r="K17" s="155" t="str">
        <f t="shared" si="3"/>
        <v/>
      </c>
      <c r="L17" s="156" t="str">
        <f t="shared" si="4"/>
        <v/>
      </c>
      <c r="M17" s="142" t="str">
        <f t="shared" si="5"/>
        <v/>
      </c>
      <c r="N17" s="143" t="s">
        <v>325</v>
      </c>
    </row>
    <row r="18" spans="3:14" ht="14.25" customHeight="1" x14ac:dyDescent="0.25">
      <c r="C18" s="141" t="s">
        <v>319</v>
      </c>
      <c r="D18" s="146">
        <f>VLOOKUP($D$6, MotorSpecs, 2, FALSE)/D17</f>
        <v>535.14285714285711</v>
      </c>
      <c r="F18" s="215"/>
      <c r="H18" s="155" t="str">
        <f t="shared" si="0"/>
        <v/>
      </c>
      <c r="I18" s="156" t="str">
        <f t="shared" si="1"/>
        <v/>
      </c>
      <c r="J18" s="142" t="str">
        <f t="shared" si="2"/>
        <v/>
      </c>
      <c r="K18" s="155" t="str">
        <f t="shared" si="3"/>
        <v/>
      </c>
      <c r="L18" s="156" t="str">
        <f t="shared" si="4"/>
        <v/>
      </c>
      <c r="M18" s="142" t="str">
        <f t="shared" si="5"/>
        <v/>
      </c>
      <c r="N18" s="143" t="s">
        <v>325</v>
      </c>
    </row>
    <row r="19" spans="3:14" ht="14.25" customHeight="1" thickBot="1" x14ac:dyDescent="0.3">
      <c r="C19" s="141" t="str">
        <f>"Stall Torque ("&amp;IF($B$4,"Nm","ft-lbs")&amp;")"</f>
        <v>Stall Torque (ft-lbs)</v>
      </c>
      <c r="D19" s="147">
        <f>VLOOKUP($D$6,MotorSpecs,3,FALSE)*D17*IF($B$4,1,0.73756)</f>
        <v>18.328365999999999</v>
      </c>
      <c r="F19" s="216"/>
      <c r="H19" s="155" t="str">
        <f t="shared" si="0"/>
        <v/>
      </c>
      <c r="I19" s="156" t="str">
        <f t="shared" si="1"/>
        <v/>
      </c>
      <c r="J19" s="142" t="str">
        <f t="shared" si="2"/>
        <v/>
      </c>
      <c r="K19" s="155" t="str">
        <f t="shared" si="3"/>
        <v/>
      </c>
      <c r="L19" s="156" t="str">
        <f t="shared" si="4"/>
        <v/>
      </c>
      <c r="M19" s="142" t="str">
        <f t="shared" si="5"/>
        <v/>
      </c>
      <c r="N19" s="143" t="s">
        <v>325</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325</v>
      </c>
    </row>
    <row r="21" spans="3:14" ht="14.25" customHeight="1" x14ac:dyDescent="0.25">
      <c r="C21" s="141" t="s">
        <v>344</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14" t="s">
        <v>324</v>
      </c>
      <c r="H21" s="155" t="str">
        <f t="shared" si="0"/>
        <v/>
      </c>
      <c r="I21" s="156" t="str">
        <f t="shared" si="1"/>
        <v/>
      </c>
      <c r="J21" s="142" t="str">
        <f t="shared" si="2"/>
        <v/>
      </c>
      <c r="K21" s="155" t="str">
        <f t="shared" si="3"/>
        <v/>
      </c>
      <c r="L21" s="156" t="str">
        <f t="shared" si="4"/>
        <v/>
      </c>
      <c r="M21" s="142" t="str">
        <f t="shared" si="5"/>
        <v/>
      </c>
      <c r="N21" s="143" t="s">
        <v>325</v>
      </c>
    </row>
    <row r="22" spans="3:14" ht="14.25" customHeight="1" x14ac:dyDescent="0.25">
      <c r="C22" s="141" t="s">
        <v>317</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15"/>
      <c r="H22" s="155" t="str">
        <f t="shared" si="0"/>
        <v/>
      </c>
      <c r="I22" s="156" t="str">
        <f t="shared" si="1"/>
        <v/>
      </c>
      <c r="J22" s="142" t="str">
        <f t="shared" si="2"/>
        <v/>
      </c>
      <c r="K22" s="155" t="str">
        <f t="shared" si="3"/>
        <v/>
      </c>
      <c r="L22" s="156" t="str">
        <f t="shared" si="4"/>
        <v/>
      </c>
      <c r="M22" s="142" t="str">
        <f t="shared" si="5"/>
        <v/>
      </c>
      <c r="N22" s="143" t="s">
        <v>325</v>
      </c>
    </row>
    <row r="23" spans="3:14" ht="14.25" customHeight="1" x14ac:dyDescent="0.25">
      <c r="C23" s="141" t="str">
        <f>"VP Weight ("&amp;IF($B$4,"kg","lbs")&amp;")"</f>
        <v>VP Weight (lbs)</v>
      </c>
      <c r="D23" s="161">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15"/>
      <c r="H23" s="155" t="str">
        <f t="shared" si="0"/>
        <v/>
      </c>
      <c r="I23" s="156" t="str">
        <f t="shared" si="1"/>
        <v/>
      </c>
      <c r="J23" s="142" t="str">
        <f t="shared" si="2"/>
        <v/>
      </c>
      <c r="K23" s="155" t="str">
        <f t="shared" si="3"/>
        <v/>
      </c>
      <c r="L23" s="156" t="str">
        <f t="shared" si="4"/>
        <v/>
      </c>
      <c r="M23" s="142" t="str">
        <f t="shared" si="5"/>
        <v/>
      </c>
      <c r="N23" s="143" t="s">
        <v>325</v>
      </c>
    </row>
    <row r="24" spans="3:14" ht="14.25" customHeight="1" thickBot="1" x14ac:dyDescent="0.3">
      <c r="F24" s="216"/>
      <c r="H24" s="155" t="str">
        <f t="shared" si="0"/>
        <v/>
      </c>
      <c r="I24" s="156" t="str">
        <f t="shared" si="1"/>
        <v/>
      </c>
      <c r="J24" s="142" t="str">
        <f t="shared" si="2"/>
        <v/>
      </c>
      <c r="K24" s="155" t="str">
        <f t="shared" si="3"/>
        <v/>
      </c>
      <c r="L24" s="156" t="str">
        <f t="shared" si="4"/>
        <v/>
      </c>
      <c r="M24" s="142" t="str">
        <f t="shared" si="5"/>
        <v/>
      </c>
      <c r="N24" s="143" t="s">
        <v>325</v>
      </c>
    </row>
    <row r="25" spans="3:14" ht="14.25" customHeight="1" x14ac:dyDescent="0.25">
      <c r="C25" s="141" t="s">
        <v>345</v>
      </c>
      <c r="D25" s="152"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325</v>
      </c>
    </row>
    <row r="26" spans="3:14" ht="14.25" customHeight="1" x14ac:dyDescent="0.25">
      <c r="C26" s="141" t="s">
        <v>318</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61">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60"/>
    </row>
    <row r="29" spans="3:14" ht="14.25" customHeight="1" x14ac:dyDescent="0.25">
      <c r="E29" s="160"/>
    </row>
  </sheetData>
  <sheetProtection sheet="1" objects="1" scenarios="1"/>
  <mergeCells count="6">
    <mergeCell ref="K5:L5"/>
    <mergeCell ref="F6:F10"/>
    <mergeCell ref="F17:F19"/>
    <mergeCell ref="F21:F24"/>
    <mergeCell ref="H5:I5"/>
    <mergeCell ref="F12:F15"/>
  </mergeCells>
  <conditionalFormatting sqref="D21 D25">
    <cfRule type="cellIs" dxfId="17" priority="6" operator="equal">
      <formula>FALSE</formula>
    </cfRule>
    <cfRule type="cellIs" dxfId="16" priority="11" operator="equal">
      <formula>TRUE</formula>
    </cfRule>
  </conditionalFormatting>
  <conditionalFormatting sqref="F21:F24">
    <cfRule type="expression" dxfId="15"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14" priority="13">
      <formula>OR($D$7="None", OR($D$6="775pro", $D$6="BB RS-775", $D$6="BB RS-550", $D$6="BAG"))</formula>
    </cfRule>
  </conditionalFormatting>
  <conditionalFormatting sqref="D6:D7">
    <cfRule type="expression" dxfId="13" priority="10">
      <formula>NOT(OR($D$7="None", OR($D$6="775pro", $D$6="BB RS-775", $D$6="BB RS-550", $D$6="BAG")))</formula>
    </cfRule>
  </conditionalFormatting>
  <conditionalFormatting sqref="D9:D10">
    <cfRule type="expression" dxfId="12" priority="9">
      <formula>VALUE(IF($D$10="None", 1, LEFT($D$10, 2)))&gt;VALUE(IF($D$9="None", 1, LEFT($D$9, 2)))</formula>
    </cfRule>
  </conditionalFormatting>
  <conditionalFormatting sqref="D10:D11">
    <cfRule type="expression" dxfId="11" priority="8">
      <formula>VALUE(IF($D$11="None", 1, LEFT($D$11, 2)))&gt;VALUE(IF($D$10="None", 1, LEFT($D$10, 2)))</formula>
    </cfRule>
  </conditionalFormatting>
  <conditionalFormatting sqref="D9 D11">
    <cfRule type="expression" dxfId="10" priority="7">
      <formula>VALUE(IF($D$11="None", 1, LEFT($D$11, 2)))&gt;VALUE(IF($D$9="None", 1, LEFT($D$9, 2)))</formula>
    </cfRule>
  </conditionalFormatting>
  <conditionalFormatting sqref="H5:I25">
    <cfRule type="expression" dxfId="9" priority="2">
      <formula>NOT($D$21)</formula>
    </cfRule>
    <cfRule type="expression" dxfId="8" priority="5">
      <formula>$D$21</formula>
    </cfRule>
  </conditionalFormatting>
  <conditionalFormatting sqref="K5:L25">
    <cfRule type="expression" dxfId="7" priority="39">
      <formula>NOT($D$25)</formula>
    </cfRule>
    <cfRule type="expression" dxfId="6"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209</v>
      </c>
      <c r="J2" s="2" t="s">
        <v>20</v>
      </c>
      <c r="Q2" s="2" t="s">
        <v>214</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216</v>
      </c>
      <c r="S4" s="125" t="s">
        <v>217</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219</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220</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333</v>
      </c>
      <c r="C8" s="74">
        <v>6380</v>
      </c>
      <c r="D8" s="74">
        <v>4.6900000000000004</v>
      </c>
      <c r="E8" s="74">
        <v>1.5</v>
      </c>
      <c r="F8" s="74">
        <v>257</v>
      </c>
      <c r="G8" s="127">
        <f t="shared" ref="G8:G26" si="1">IF(ISBLANK(B8), "", (C8/60*2*PI())*D8/4)</f>
        <v>783.36136416037095</v>
      </c>
      <c r="J8" s="73" t="s">
        <v>28</v>
      </c>
      <c r="K8" s="128">
        <v>3</v>
      </c>
      <c r="L8" s="128">
        <v>9</v>
      </c>
      <c r="M8" s="128">
        <v>3</v>
      </c>
      <c r="N8" s="129">
        <v>0</v>
      </c>
      <c r="Q8" s="130" t="s">
        <v>215</v>
      </c>
      <c r="R8" s="74">
        <v>193000</v>
      </c>
      <c r="S8" s="131">
        <v>77000</v>
      </c>
    </row>
    <row r="9" spans="1:19" ht="14.45" x14ac:dyDescent="0.3">
      <c r="B9" s="73" t="s">
        <v>255</v>
      </c>
      <c r="C9" s="74">
        <v>18730</v>
      </c>
      <c r="D9" s="74">
        <v>0.71</v>
      </c>
      <c r="E9" s="74">
        <v>0.7</v>
      </c>
      <c r="F9" s="74">
        <v>134</v>
      </c>
      <c r="G9" s="127">
        <f t="shared" si="1"/>
        <v>348.14867987694288</v>
      </c>
      <c r="J9" s="73"/>
      <c r="K9" s="128"/>
      <c r="L9" s="128"/>
      <c r="M9" s="128"/>
      <c r="N9" s="129"/>
      <c r="Q9" s="130"/>
      <c r="R9" s="74"/>
      <c r="S9" s="131"/>
    </row>
    <row r="10" spans="1:19" ht="14.45" x14ac:dyDescent="0.3">
      <c r="B10" s="73" t="s">
        <v>328</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335</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327</v>
      </c>
      <c r="C15" s="74">
        <v>13050</v>
      </c>
      <c r="D15" s="74">
        <v>0.72</v>
      </c>
      <c r="E15" s="74">
        <v>2.7</v>
      </c>
      <c r="F15" s="74">
        <v>97</v>
      </c>
      <c r="G15" s="127">
        <f t="shared" si="1"/>
        <v>245.98670477608078</v>
      </c>
    </row>
    <row r="16" spans="1:19" ht="14.45" x14ac:dyDescent="0.3">
      <c r="B16" s="73" t="s">
        <v>326</v>
      </c>
      <c r="C16" s="74">
        <v>19000</v>
      </c>
      <c r="D16" s="74">
        <v>0.38</v>
      </c>
      <c r="E16" s="74">
        <v>0.4</v>
      </c>
      <c r="F16" s="74">
        <v>84</v>
      </c>
      <c r="G16" s="127">
        <f t="shared" si="1"/>
        <v>189.01915799098592</v>
      </c>
    </row>
    <row r="17" spans="2:13" ht="14.45" x14ac:dyDescent="0.3">
      <c r="B17" s="73" t="s">
        <v>334</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330</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232</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2020-04-12T22:33:55Z</dcterms:modified>
</cp:coreProperties>
</file>