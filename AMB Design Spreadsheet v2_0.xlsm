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mc:AlternateContent xmlns:mc="http://schemas.openxmlformats.org/markup-compatibility/2006">
    <mc:Choice Requires="x15">
      <x15ac:absPath xmlns:x15ac="http://schemas.microsoft.com/office/spreadsheetml/2010/11/ac" url="C:\Users\arimb\Documents\Robotics\"/>
    </mc:Choice>
  </mc:AlternateContent>
  <xr:revisionPtr revIDLastSave="0" documentId="10_ncr:8100000_{C0699D97-9777-4A9E-B803-7EF03D07F327}" xr6:coauthVersionLast="34" xr6:coauthVersionMax="34" xr10:uidLastSave="{00000000-0000-0000-0000-000000000000}"/>
  <bookViews>
    <workbookView xWindow="0" yWindow="0" windowWidth="12270" windowHeight="9360" xr2:uid="{00000000-000D-0000-FFFF-FFFF00000000}"/>
  </bookViews>
  <sheets>
    <sheet name="README" sheetId="15" r:id="rId1"/>
    <sheet name="Drivetrain" sheetId="14" r:id="rId2"/>
    <sheet name="SprintDistance" sheetId="28" r:id="rId3"/>
    <sheet name="MechanismRatio" sheetId="17" r:id="rId4"/>
    <sheet name="Projectile" sheetId="25" r:id="rId5"/>
    <sheet name="ChainBelt" sheetId="18" r:id="rId6"/>
    <sheet name="GearSize" sheetId="3" r:id="rId7"/>
    <sheet name="Pneumatics" sheetId="26" r:id="rId8"/>
    <sheet name="UsefulValues" sheetId="5" r:id="rId9"/>
  </sheets>
  <functionGroups builtInGroupCount="19"/>
  <externalReferences>
    <externalReference r:id="rId10"/>
  </externalReferences>
  <definedNames>
    <definedName name="initial2CIM">[1]DATA!$B$66:$D$67</definedName>
    <definedName name="initial2CIMchoice">[1]DATA!$B$66:$B$67</definedName>
    <definedName name="initial3CIM">[1]DATA!$B$48:$D$49</definedName>
    <definedName name="initial3CIMchoice">[1]DATA!$B$48:$B$49</definedName>
    <definedName name="lowgear3CIM">[1]DATA!$B$53:$D$55</definedName>
    <definedName name="lowgear3CIMchoice">[1]DATA!$B$53:$B$55</definedName>
    <definedName name="Motor">[1]DATA!$J$5:$N$13</definedName>
    <definedName name="MotorChoice">[1]DATA!$J$5:$J$13</definedName>
    <definedName name="Motors">[1]DATA!$B$5:$B$20</definedName>
    <definedName name="MotorTwo">[1]DATA!$J$16:$N$20</definedName>
    <definedName name="MotorTwochoice">[1]DATA!$J$16:$J$20</definedName>
    <definedName name="Specs">[1]DATA!$B$4:$G$20</definedName>
    <definedName name="SSDR">[1]DATA!$B$75:$D$77</definedName>
    <definedName name="SSDRchoice">[1]DATA!$B$75:$B$77</definedName>
    <definedName name="thirdstage2CIM">[1]DATA!$B$69:$D$73</definedName>
    <definedName name="thirdstage2CIMchoice">[1]DATA!$B$69:$B$73</definedName>
    <definedName name="thirdstage3CIM">[1]DATA!$B$57:$D$61</definedName>
    <definedName name="thirdstage3CIMchoice">[1]DATA!$B$57:$B$61</definedName>
    <definedName name="WCPDShighgear">[1]DATA!$B$40:$D$42</definedName>
    <definedName name="WCPDShighgearchoice">[1]DATA!$B$40:$B$42</definedName>
    <definedName name="WCPDSinput">[1]DATA!$B$28:$D$33</definedName>
    <definedName name="WCPDSinputchoice">[1]DATA!$B$28:$B$33</definedName>
    <definedName name="WCPDSlowgear">[1]DATA!$B$36:$D$37</definedName>
    <definedName name="WCPDSlowgearchoice">[1]DATA!$B$36:$B$37</definedName>
    <definedName name="WCPSSinput">[1]DATA!$B$82:$D$85</definedName>
    <definedName name="WCPSSinputchoice">[1]DATA!$B$82:$B$85</definedName>
    <definedName name="WCPSSsecond">[1]DATA!$B$88:$D$92</definedName>
    <definedName name="WCPSSsecondchoice">[1]DATA!$B$88:$B$92</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9" i="3" l="1"/>
  <c r="K19" i="3"/>
  <c r="M19" i="3"/>
  <c r="J19" i="3"/>
  <c r="J17" i="3"/>
  <c r="F30" i="28"/>
  <c r="C27" i="28"/>
  <c r="D29" i="28"/>
  <c r="AC22" i="5" l="1"/>
  <c r="AC21" i="5"/>
  <c r="AC20" i="5"/>
  <c r="AC19" i="5"/>
  <c r="AC18" i="5"/>
  <c r="AC17" i="5"/>
  <c r="AC16" i="5"/>
  <c r="AC15" i="5"/>
  <c r="AC14" i="5"/>
  <c r="AC13" i="5"/>
  <c r="AC12" i="5"/>
  <c r="AC11" i="5"/>
  <c r="AC10" i="5"/>
  <c r="AC9" i="5"/>
  <c r="AC8" i="5"/>
  <c r="AC7" i="5"/>
  <c r="AC6" i="5"/>
  <c r="AC5" i="5"/>
  <c r="E17" i="26"/>
  <c r="D17" i="26"/>
  <c r="J16" i="26"/>
  <c r="J17" i="26" s="1"/>
  <c r="I16" i="26"/>
  <c r="I17" i="26" s="1"/>
  <c r="H16" i="26"/>
  <c r="H17" i="26" s="1"/>
  <c r="G16" i="26"/>
  <c r="G17" i="26" s="1"/>
  <c r="F16" i="26"/>
  <c r="F17" i="26" s="1"/>
  <c r="E16" i="26"/>
  <c r="D16" i="26"/>
  <c r="C16" i="26"/>
  <c r="C17" i="26" s="1"/>
  <c r="J11" i="26"/>
  <c r="I11" i="26"/>
  <c r="H11" i="26"/>
  <c r="G11" i="26"/>
  <c r="F11" i="26"/>
  <c r="E11" i="26"/>
  <c r="D11" i="26"/>
  <c r="C11" i="26"/>
  <c r="J9" i="26"/>
  <c r="I9" i="26"/>
  <c r="H9" i="26"/>
  <c r="G9" i="26"/>
  <c r="F9" i="26"/>
  <c r="E9" i="26"/>
  <c r="D9" i="26"/>
  <c r="C9" i="26"/>
  <c r="P8" i="26"/>
  <c r="O8" i="26"/>
  <c r="N8" i="26"/>
  <c r="M8" i="26"/>
  <c r="M9" i="26" s="1"/>
  <c r="N20" i="3"/>
  <c r="D17" i="3"/>
  <c r="D16" i="3"/>
  <c r="K20" i="3"/>
  <c r="D13" i="3"/>
  <c r="D12" i="3"/>
  <c r="D9" i="3"/>
  <c r="E11" i="3" s="1"/>
  <c r="O27" i="18"/>
  <c r="O28" i="18" s="1"/>
  <c r="O29" i="18" s="1"/>
  <c r="O30" i="18" s="1"/>
  <c r="O31" i="18" s="1"/>
  <c r="O32" i="18" s="1"/>
  <c r="O26" i="18"/>
  <c r="K26" i="18"/>
  <c r="B26" i="18"/>
  <c r="K21" i="18"/>
  <c r="I10" i="18"/>
  <c r="I7" i="18"/>
  <c r="E182" i="25"/>
  <c r="E181" i="25"/>
  <c r="E180" i="25"/>
  <c r="E179" i="25"/>
  <c r="E178" i="25"/>
  <c r="E177" i="25"/>
  <c r="E176" i="25"/>
  <c r="F176" i="25" s="1"/>
  <c r="E175" i="25"/>
  <c r="E174" i="25"/>
  <c r="E173" i="25"/>
  <c r="E172" i="25"/>
  <c r="E171" i="25"/>
  <c r="E170" i="25"/>
  <c r="E169" i="25"/>
  <c r="E168" i="25"/>
  <c r="E167" i="25"/>
  <c r="E166" i="25"/>
  <c r="E165" i="25"/>
  <c r="E164" i="25"/>
  <c r="E163" i="25"/>
  <c r="E162" i="25"/>
  <c r="E161" i="25"/>
  <c r="E160" i="25"/>
  <c r="F160" i="25" s="1"/>
  <c r="E159" i="25"/>
  <c r="E158" i="25"/>
  <c r="E157" i="25"/>
  <c r="E156" i="25"/>
  <c r="E155" i="25"/>
  <c r="E154" i="25"/>
  <c r="E153" i="25"/>
  <c r="E152" i="25"/>
  <c r="E151" i="25"/>
  <c r="E150" i="25"/>
  <c r="E149" i="25"/>
  <c r="E148" i="25"/>
  <c r="E147" i="25"/>
  <c r="E146" i="25"/>
  <c r="E145" i="25"/>
  <c r="E144" i="25"/>
  <c r="F144" i="25" s="1"/>
  <c r="E143" i="25"/>
  <c r="E142" i="25"/>
  <c r="E141" i="25"/>
  <c r="E140" i="25"/>
  <c r="E139" i="25"/>
  <c r="E138" i="25"/>
  <c r="E137" i="25"/>
  <c r="E136" i="25"/>
  <c r="E135" i="25"/>
  <c r="E134" i="25"/>
  <c r="E133" i="25"/>
  <c r="E132" i="25"/>
  <c r="E131" i="25"/>
  <c r="E130" i="25"/>
  <c r="E129" i="25"/>
  <c r="E128" i="25"/>
  <c r="F128" i="25" s="1"/>
  <c r="E127" i="25"/>
  <c r="E126" i="25"/>
  <c r="E125" i="25"/>
  <c r="E124" i="25"/>
  <c r="E123" i="25"/>
  <c r="E122" i="25"/>
  <c r="E121" i="25"/>
  <c r="E120" i="25"/>
  <c r="E119" i="25"/>
  <c r="E118" i="25"/>
  <c r="E117" i="25"/>
  <c r="E116" i="25"/>
  <c r="E115" i="25"/>
  <c r="E114" i="25"/>
  <c r="E113" i="25"/>
  <c r="E112" i="25"/>
  <c r="F112" i="25" s="1"/>
  <c r="E111" i="25"/>
  <c r="E110" i="25"/>
  <c r="E109" i="25"/>
  <c r="E108" i="25"/>
  <c r="E107" i="25"/>
  <c r="E106" i="25"/>
  <c r="E105" i="25"/>
  <c r="E104" i="25"/>
  <c r="E103" i="25"/>
  <c r="E102" i="25"/>
  <c r="E101" i="25"/>
  <c r="E100" i="25"/>
  <c r="E99" i="25"/>
  <c r="E98" i="25"/>
  <c r="E97" i="25"/>
  <c r="E96" i="25"/>
  <c r="F96" i="25" s="1"/>
  <c r="E95" i="25"/>
  <c r="E94" i="25"/>
  <c r="E93" i="25"/>
  <c r="E92" i="25"/>
  <c r="E91" i="25"/>
  <c r="E90" i="25"/>
  <c r="E89" i="25"/>
  <c r="E88" i="25"/>
  <c r="E87" i="25"/>
  <c r="F86" i="25"/>
  <c r="E86" i="25"/>
  <c r="E85" i="25"/>
  <c r="E84" i="25"/>
  <c r="E83" i="25"/>
  <c r="E82" i="25"/>
  <c r="G13" i="25"/>
  <c r="D13" i="25"/>
  <c r="D14" i="25" s="1"/>
  <c r="C13" i="25"/>
  <c r="G9" i="25"/>
  <c r="C9" i="25"/>
  <c r="I8" i="25"/>
  <c r="H14" i="25" s="1"/>
  <c r="G8" i="25"/>
  <c r="C8" i="25"/>
  <c r="G7" i="25"/>
  <c r="C7" i="25"/>
  <c r="C5" i="25"/>
  <c r="F181" i="25" s="1"/>
  <c r="E27" i="17"/>
  <c r="H5" i="17" s="1"/>
  <c r="E16" i="17"/>
  <c r="I11" i="17" s="1"/>
  <c r="C16" i="17"/>
  <c r="E15" i="17"/>
  <c r="M7" i="17" s="1"/>
  <c r="C15" i="17"/>
  <c r="K11" i="17"/>
  <c r="G11" i="17"/>
  <c r="L9" i="17"/>
  <c r="G9" i="17"/>
  <c r="G8" i="17"/>
  <c r="E8" i="17"/>
  <c r="D8" i="17"/>
  <c r="D7" i="17"/>
  <c r="E7" i="17" s="1"/>
  <c r="H6" i="17"/>
  <c r="H8" i="17" s="1"/>
  <c r="D6" i="17"/>
  <c r="D5" i="17"/>
  <c r="E5" i="17" s="1"/>
  <c r="L5" i="28"/>
  <c r="M5" i="28" s="1"/>
  <c r="J5" i="28"/>
  <c r="F26" i="28"/>
  <c r="C19" i="28"/>
  <c r="C17" i="28"/>
  <c r="D8" i="28"/>
  <c r="D7" i="28"/>
  <c r="D6" i="28"/>
  <c r="D5" i="28"/>
  <c r="D9" i="28" s="1"/>
  <c r="H25" i="14"/>
  <c r="H23" i="14"/>
  <c r="L22" i="14"/>
  <c r="L21" i="14"/>
  <c r="C21" i="14"/>
  <c r="K20" i="14"/>
  <c r="K25" i="14" s="1"/>
  <c r="C19" i="14"/>
  <c r="H16" i="14"/>
  <c r="L15" i="14"/>
  <c r="L14" i="14"/>
  <c r="H9" i="14"/>
  <c r="K13" i="14" s="1"/>
  <c r="J8" i="14"/>
  <c r="D8" i="14"/>
  <c r="E8" i="14" s="1"/>
  <c r="J7" i="14"/>
  <c r="D7" i="14"/>
  <c r="E7" i="14" s="1"/>
  <c r="J6" i="14"/>
  <c r="D6" i="14"/>
  <c r="E6" i="14" s="1"/>
  <c r="J5" i="14"/>
  <c r="D5" i="14"/>
  <c r="D9" i="14" s="1"/>
  <c r="K5" i="28"/>
  <c r="E5" i="14" l="1"/>
  <c r="K21" i="14"/>
  <c r="K22" i="14" s="1"/>
  <c r="K23" i="14"/>
  <c r="F91" i="25"/>
  <c r="F97" i="25"/>
  <c r="F102" i="25"/>
  <c r="F107" i="25"/>
  <c r="F113" i="25"/>
  <c r="F118" i="25"/>
  <c r="F123" i="25"/>
  <c r="F129" i="25"/>
  <c r="F134" i="25"/>
  <c r="F139" i="25"/>
  <c r="F145" i="25"/>
  <c r="F150" i="25"/>
  <c r="F155" i="25"/>
  <c r="F161" i="25"/>
  <c r="F166" i="25"/>
  <c r="F171" i="25"/>
  <c r="F182" i="25"/>
  <c r="F92" i="25"/>
  <c r="F108" i="25"/>
  <c r="F124" i="25"/>
  <c r="F140" i="25"/>
  <c r="F156" i="25"/>
  <c r="F172" i="25"/>
  <c r="F82" i="25"/>
  <c r="E183" i="25" s="1"/>
  <c r="F87" i="25"/>
  <c r="F93" i="25"/>
  <c r="F98" i="25"/>
  <c r="F103" i="25"/>
  <c r="F109" i="25"/>
  <c r="F114" i="25"/>
  <c r="F119" i="25"/>
  <c r="F125" i="25"/>
  <c r="F130" i="25"/>
  <c r="F135" i="25"/>
  <c r="F141" i="25"/>
  <c r="F146" i="25"/>
  <c r="F151" i="25"/>
  <c r="F157" i="25"/>
  <c r="F162" i="25"/>
  <c r="F167" i="25"/>
  <c r="F178" i="25"/>
  <c r="H13" i="25"/>
  <c r="F88" i="25"/>
  <c r="F104" i="25"/>
  <c r="F120" i="25"/>
  <c r="F136" i="25"/>
  <c r="F152" i="25"/>
  <c r="F168" i="25"/>
  <c r="F83" i="25"/>
  <c r="F89" i="25"/>
  <c r="F94" i="25"/>
  <c r="F99" i="25"/>
  <c r="F105" i="25"/>
  <c r="F110" i="25"/>
  <c r="F115" i="25"/>
  <c r="F121" i="25"/>
  <c r="F126" i="25"/>
  <c r="F131" i="25"/>
  <c r="F137" i="25"/>
  <c r="F142" i="25"/>
  <c r="F147" i="25"/>
  <c r="F153" i="25"/>
  <c r="F158" i="25"/>
  <c r="F163" i="25"/>
  <c r="F169" i="25"/>
  <c r="F174" i="25"/>
  <c r="F179" i="25"/>
  <c r="F84" i="25"/>
  <c r="F100" i="25"/>
  <c r="F116" i="25"/>
  <c r="F132" i="25"/>
  <c r="F148" i="25"/>
  <c r="F164" i="25"/>
  <c r="F180" i="25"/>
  <c r="F85" i="25"/>
  <c r="F90" i="25"/>
  <c r="F95" i="25"/>
  <c r="F101" i="25"/>
  <c r="F106" i="25"/>
  <c r="F111" i="25"/>
  <c r="F117" i="25"/>
  <c r="F122" i="25"/>
  <c r="F127" i="25"/>
  <c r="F133" i="25"/>
  <c r="F138" i="25"/>
  <c r="F143" i="25"/>
  <c r="F149" i="25"/>
  <c r="F154" i="25"/>
  <c r="F159" i="25"/>
  <c r="F165" i="25"/>
  <c r="F170" i="25"/>
  <c r="F175" i="25"/>
  <c r="R5" i="28"/>
  <c r="Q5" i="28"/>
  <c r="N5" i="28"/>
  <c r="O5" i="28"/>
  <c r="J6" i="28"/>
  <c r="P5" i="28"/>
  <c r="C19" i="26"/>
  <c r="M13" i="26" s="1"/>
  <c r="M15" i="26" s="1"/>
  <c r="M18" i="26" s="1"/>
  <c r="M19" i="26" s="1"/>
  <c r="K16" i="14"/>
  <c r="L26" i="18"/>
  <c r="C26" i="18"/>
  <c r="M26" i="18"/>
  <c r="E12" i="3"/>
  <c r="E15" i="3"/>
  <c r="E9" i="14"/>
  <c r="M22" i="26"/>
  <c r="D26" i="18"/>
  <c r="E26" i="18" s="1"/>
  <c r="K15" i="14"/>
  <c r="K14" i="14" s="1"/>
  <c r="E13" i="3"/>
  <c r="D9" i="17"/>
  <c r="H12" i="17"/>
  <c r="F173" i="25"/>
  <c r="F177" i="25"/>
  <c r="E6" i="17"/>
  <c r="K6" i="28"/>
  <c r="L6" i="28" l="1"/>
  <c r="H11" i="17"/>
  <c r="H7" i="17" s="1"/>
  <c r="H9" i="17" s="1"/>
  <c r="O5" i="17"/>
  <c r="M5" i="17"/>
  <c r="L5" i="17"/>
  <c r="L11" i="17" s="1"/>
  <c r="K5" i="17"/>
  <c r="K10" i="17"/>
  <c r="E9" i="17"/>
  <c r="F26" i="18"/>
  <c r="G26" i="18" s="1"/>
  <c r="E17" i="3"/>
  <c r="E16" i="3"/>
  <c r="I5" i="17"/>
  <c r="N5" i="17"/>
  <c r="N11" i="17" s="1"/>
  <c r="H10" i="17"/>
  <c r="M21" i="26"/>
  <c r="J5" i="17"/>
  <c r="J10" i="17" s="1"/>
  <c r="I10" i="17"/>
  <c r="N26" i="18"/>
  <c r="R6" i="28" l="1"/>
  <c r="Q6" i="28"/>
  <c r="N6" i="28"/>
  <c r="J7" i="28"/>
  <c r="M6" i="28"/>
  <c r="O6" i="28" s="1"/>
  <c r="K27" i="18"/>
  <c r="P26" i="18"/>
  <c r="M10" i="17"/>
  <c r="M6" i="17"/>
  <c r="M8" i="17" s="1"/>
  <c r="M12" i="17"/>
  <c r="L10" i="17"/>
  <c r="J6" i="17"/>
  <c r="J12" i="17"/>
  <c r="O12" i="17"/>
  <c r="O10" i="17"/>
  <c r="O6" i="17"/>
  <c r="L12" i="17"/>
  <c r="L6" i="17"/>
  <c r="L8" i="17" s="1"/>
  <c r="M11" i="17"/>
  <c r="B27" i="18"/>
  <c r="F27" i="18"/>
  <c r="F28" i="18" s="1"/>
  <c r="F29" i="18" s="1"/>
  <c r="F30" i="18" s="1"/>
  <c r="F31" i="18" s="1"/>
  <c r="F32" i="18" s="1"/>
  <c r="N12" i="17"/>
  <c r="N6" i="17"/>
  <c r="I12" i="17"/>
  <c r="I6" i="17"/>
  <c r="K12" i="17"/>
  <c r="K6" i="17"/>
  <c r="J11" i="17"/>
  <c r="K7" i="28"/>
  <c r="L7" i="28" l="1"/>
  <c r="P6" i="28"/>
  <c r="D27" i="18"/>
  <c r="C27" i="18"/>
  <c r="J8" i="17"/>
  <c r="J7" i="17"/>
  <c r="J9" i="17" s="1"/>
  <c r="I8" i="17"/>
  <c r="I7" i="17"/>
  <c r="I9" i="17" s="1"/>
  <c r="K8" i="17"/>
  <c r="K7" i="17"/>
  <c r="O7" i="17"/>
  <c r="O9" i="17" s="1"/>
  <c r="O8" i="17"/>
  <c r="N7" i="17"/>
  <c r="N9" i="17" s="1"/>
  <c r="N8" i="17"/>
  <c r="M27" i="18"/>
  <c r="N27" i="18" s="1"/>
  <c r="P27" i="18" s="1"/>
  <c r="L27" i="18"/>
  <c r="Q7" i="28" l="1"/>
  <c r="R7" i="28"/>
  <c r="J8" i="28"/>
  <c r="N7" i="28"/>
  <c r="M7" i="28"/>
  <c r="Q27" i="18"/>
  <c r="K28" i="18" s="1"/>
  <c r="E27" i="18"/>
  <c r="G27" i="18" s="1"/>
  <c r="K8" i="28"/>
  <c r="P7" i="28" l="1"/>
  <c r="L8" i="28"/>
  <c r="O7" i="28"/>
  <c r="M28" i="18"/>
  <c r="L28" i="18"/>
  <c r="H27" i="18"/>
  <c r="B28" i="18" s="1"/>
  <c r="R8" i="28" l="1"/>
  <c r="Q8" i="28"/>
  <c r="J9" i="28"/>
  <c r="N8" i="28"/>
  <c r="M8" i="28"/>
  <c r="D28" i="18"/>
  <c r="E28" i="18" s="1"/>
  <c r="G28" i="18" s="1"/>
  <c r="C28" i="18"/>
  <c r="N28" i="18"/>
  <c r="P28" i="18" s="1"/>
  <c r="K9" i="28"/>
  <c r="L9" i="28" l="1"/>
  <c r="P8" i="28"/>
  <c r="O8" i="28"/>
  <c r="Q28" i="18"/>
  <c r="K29" i="18"/>
  <c r="B29" i="18"/>
  <c r="H28" i="18"/>
  <c r="Q9" i="28" l="1"/>
  <c r="R9" i="28"/>
  <c r="J10" i="28"/>
  <c r="M9" i="28"/>
  <c r="N9" i="28"/>
  <c r="O9" i="28" s="1"/>
  <c r="M29" i="18"/>
  <c r="N29" i="18" s="1"/>
  <c r="P29" i="18" s="1"/>
  <c r="L29" i="18"/>
  <c r="D29" i="18"/>
  <c r="C29" i="18"/>
  <c r="K10" i="28"/>
  <c r="L10" i="28" l="1"/>
  <c r="P9" i="28"/>
  <c r="E29" i="18"/>
  <c r="G29" i="18" s="1"/>
  <c r="K30" i="18"/>
  <c r="Q29" i="18"/>
  <c r="J11" i="28" l="1"/>
  <c r="R10" i="28"/>
  <c r="Q10" i="28"/>
  <c r="M10" i="28"/>
  <c r="N10" i="28"/>
  <c r="O10" i="28" s="1"/>
  <c r="M30" i="18"/>
  <c r="N30" i="18" s="1"/>
  <c r="P30" i="18" s="1"/>
  <c r="L30" i="18"/>
  <c r="B30" i="18"/>
  <c r="H29" i="18"/>
  <c r="K11" i="28"/>
  <c r="L11" i="28" l="1"/>
  <c r="P10" i="28"/>
  <c r="D30" i="18"/>
  <c r="E30" i="18" s="1"/>
  <c r="G30" i="18" s="1"/>
  <c r="C30" i="18"/>
  <c r="K31" i="18"/>
  <c r="Q30" i="18"/>
  <c r="J12" i="28" l="1"/>
  <c r="N11" i="28"/>
  <c r="M11" i="28"/>
  <c r="B31" i="18"/>
  <c r="H30" i="18"/>
  <c r="M31" i="18"/>
  <c r="L31" i="18"/>
  <c r="K12" i="28"/>
  <c r="L12" i="28" l="1"/>
  <c r="J13" i="28" s="1"/>
  <c r="P11" i="28"/>
  <c r="O11" i="28"/>
  <c r="N31" i="18"/>
  <c r="P31" i="18" s="1"/>
  <c r="D31" i="18"/>
  <c r="C31" i="18"/>
  <c r="R11" i="28"/>
  <c r="Q11" i="28"/>
  <c r="K13" i="28" l="1"/>
  <c r="L13" i="28" s="1"/>
  <c r="M12" i="28"/>
  <c r="N12" i="28"/>
  <c r="E31" i="18"/>
  <c r="G31" i="18" s="1"/>
  <c r="K32" i="18"/>
  <c r="Q31" i="18"/>
  <c r="O12" i="28" l="1"/>
  <c r="P12" i="28"/>
  <c r="J14" i="28"/>
  <c r="M32" i="18"/>
  <c r="K20" i="18"/>
  <c r="K22" i="18" s="1"/>
  <c r="L32" i="18"/>
  <c r="B32" i="18"/>
  <c r="H31" i="18"/>
  <c r="K14" i="28"/>
  <c r="Q12" i="28"/>
  <c r="R12" i="28"/>
  <c r="M13" i="28" l="1"/>
  <c r="N13" i="28"/>
  <c r="L14" i="28"/>
  <c r="D32" i="18"/>
  <c r="H20" i="18"/>
  <c r="H23" i="18" s="1"/>
  <c r="C32" i="18"/>
  <c r="N32" i="18"/>
  <c r="P32" i="18" s="1"/>
  <c r="Q32" i="18" s="1"/>
  <c r="O13" i="28" l="1"/>
  <c r="P13" i="28"/>
  <c r="J15" i="28"/>
  <c r="E32" i="18"/>
  <c r="K15" i="28"/>
  <c r="Q13" i="28"/>
  <c r="R13" i="28"/>
  <c r="M14" i="28" l="1"/>
  <c r="N14" i="28"/>
  <c r="L15" i="28"/>
  <c r="H21" i="18"/>
  <c r="H22" i="18"/>
  <c r="G32" i="18"/>
  <c r="H32" i="18" s="1"/>
  <c r="O14" i="28" l="1"/>
  <c r="P14" i="28"/>
  <c r="J16" i="28"/>
  <c r="K16" i="28"/>
  <c r="R14" i="28"/>
  <c r="Q14" i="28"/>
  <c r="N15" i="28" l="1"/>
  <c r="M15" i="28"/>
  <c r="L16" i="28"/>
  <c r="P15" i="28" l="1"/>
  <c r="O15" i="28"/>
  <c r="J17" i="28"/>
  <c r="K17" i="28"/>
  <c r="R15" i="28"/>
  <c r="Q15" i="28"/>
  <c r="M16" i="28" l="1"/>
  <c r="N16" i="28"/>
  <c r="L17" i="28"/>
  <c r="P16" i="28" l="1"/>
  <c r="O16" i="28"/>
  <c r="J18" i="28"/>
  <c r="K18" i="28"/>
  <c r="R16" i="28"/>
  <c r="Q16" i="28"/>
  <c r="N17" i="28" l="1"/>
  <c r="M17" i="28"/>
  <c r="L18" i="28"/>
  <c r="O17" i="28" l="1"/>
  <c r="P17" i="28"/>
  <c r="J19" i="28"/>
  <c r="K19" i="28"/>
  <c r="Q17" i="28"/>
  <c r="R17" i="28"/>
  <c r="N18" i="28" l="1"/>
  <c r="M18" i="28"/>
  <c r="L19" i="28"/>
  <c r="P18" i="28" l="1"/>
  <c r="O18" i="28"/>
  <c r="J20" i="28"/>
  <c r="K20" i="28"/>
  <c r="R18" i="28"/>
  <c r="Q18" i="28"/>
  <c r="N19" i="28" l="1"/>
  <c r="M19" i="28"/>
  <c r="P19" i="28" s="1"/>
  <c r="L20" i="28"/>
  <c r="R19" i="28"/>
  <c r="O19" i="28" l="1"/>
  <c r="J21" i="28"/>
  <c r="K21" i="28"/>
  <c r="Q19" i="28"/>
  <c r="N20" i="28" l="1"/>
  <c r="M20" i="28"/>
  <c r="L21" i="28"/>
  <c r="O20" i="28" l="1"/>
  <c r="P20" i="28"/>
  <c r="J22" i="28"/>
  <c r="K22" i="28"/>
  <c r="R20" i="28"/>
  <c r="Q20" i="28"/>
  <c r="M21" i="28" l="1"/>
  <c r="N21" i="28"/>
  <c r="L22" i="28"/>
  <c r="O21" i="28" l="1"/>
  <c r="P21" i="28"/>
  <c r="J23" i="28"/>
  <c r="K23" i="28"/>
  <c r="Q21" i="28"/>
  <c r="R21" i="28"/>
  <c r="M22" i="28" l="1"/>
  <c r="N22" i="28"/>
  <c r="L23" i="28"/>
  <c r="P22" i="28" l="1"/>
  <c r="O22" i="28"/>
  <c r="J24" i="28"/>
  <c r="K24" i="28"/>
  <c r="Q22" i="28"/>
  <c r="R22" i="28"/>
  <c r="N23" i="28" l="1"/>
  <c r="M23" i="28"/>
  <c r="L24" i="28"/>
  <c r="O23" i="28" l="1"/>
  <c r="P23" i="28"/>
  <c r="J25" i="28"/>
  <c r="K25" i="28"/>
  <c r="R23" i="28"/>
  <c r="Q23" i="28"/>
  <c r="N24" i="28" l="1"/>
  <c r="M24" i="28"/>
  <c r="L25" i="28"/>
  <c r="P24" i="28" l="1"/>
  <c r="O24" i="28"/>
  <c r="J26" i="28"/>
  <c r="K26" i="28"/>
  <c r="Q24" i="28"/>
  <c r="R24" i="28"/>
  <c r="M25" i="28" l="1"/>
  <c r="N25" i="28"/>
  <c r="L26" i="28"/>
  <c r="P25" i="28" l="1"/>
  <c r="O25" i="28"/>
  <c r="J27" i="28"/>
  <c r="K27" i="28"/>
  <c r="Q25" i="28"/>
  <c r="R25" i="28"/>
  <c r="M26" i="28" l="1"/>
  <c r="P26" i="28" s="1"/>
  <c r="N26" i="28"/>
  <c r="L27" i="28"/>
  <c r="R26" i="28"/>
  <c r="O26" i="28" l="1"/>
  <c r="J28" i="28"/>
  <c r="K28" i="28"/>
  <c r="Q26" i="28"/>
  <c r="M27" i="28" l="1"/>
  <c r="P27" i="28" s="1"/>
  <c r="N27" i="28"/>
  <c r="L28" i="28"/>
  <c r="R27" i="28"/>
  <c r="O27" i="28" l="1"/>
  <c r="J29" i="28"/>
  <c r="K29" i="28"/>
  <c r="Q27" i="28"/>
  <c r="N28" i="28" l="1"/>
  <c r="M28" i="28"/>
  <c r="L29" i="28"/>
  <c r="P28" i="28" l="1"/>
  <c r="O28" i="28"/>
  <c r="J30" i="28"/>
  <c r="K30" i="28"/>
  <c r="Q28" i="28"/>
  <c r="R28" i="28"/>
  <c r="M29" i="28" l="1"/>
  <c r="N29" i="28"/>
  <c r="L30" i="28"/>
  <c r="P29" i="28" l="1"/>
  <c r="O29" i="28"/>
  <c r="J31" i="28"/>
  <c r="K31" i="28"/>
  <c r="R29" i="28"/>
  <c r="Q29" i="28"/>
  <c r="M30" i="28" l="1"/>
  <c r="P30" i="28" s="1"/>
  <c r="N30" i="28"/>
  <c r="L31" i="28"/>
  <c r="R30" i="28"/>
  <c r="O30" i="28" l="1"/>
  <c r="J32" i="28"/>
  <c r="K32" i="28"/>
  <c r="Q30" i="28"/>
  <c r="M31" i="28" l="1"/>
  <c r="N31" i="28"/>
  <c r="L32" i="28"/>
  <c r="P31" i="28"/>
  <c r="O31" i="28"/>
  <c r="Q31" i="28"/>
  <c r="R31" i="28"/>
  <c r="J33" i="28" l="1"/>
  <c r="M32" i="28"/>
  <c r="N32" i="28"/>
  <c r="K33" i="28"/>
  <c r="L33" i="28" l="1"/>
  <c r="P32" i="28"/>
  <c r="O32" i="28"/>
  <c r="Q32" i="28"/>
  <c r="R32" i="28"/>
  <c r="J34" i="28" l="1"/>
  <c r="M33" i="28"/>
  <c r="N33" i="28"/>
  <c r="K34" i="28"/>
  <c r="O33" i="28" l="1"/>
  <c r="L34" i="28"/>
  <c r="P33" i="28"/>
  <c r="Q33" i="28"/>
  <c r="R33" i="28"/>
  <c r="J35" i="28" l="1"/>
  <c r="N34" i="28"/>
  <c r="M34" i="28"/>
  <c r="K35" i="28"/>
  <c r="O34" i="28" l="1"/>
  <c r="L35" i="28"/>
  <c r="P34" i="28"/>
  <c r="Q34" i="28"/>
  <c r="R34" i="28"/>
  <c r="J36" i="28" l="1"/>
  <c r="N35" i="28"/>
  <c r="M35" i="28"/>
  <c r="K36" i="28"/>
  <c r="L36" i="28" l="1"/>
  <c r="J37" i="28" s="1"/>
  <c r="P35" i="28"/>
  <c r="O35" i="28"/>
  <c r="K37" i="28"/>
  <c r="Q35" i="28"/>
  <c r="R35" i="28"/>
  <c r="L37" i="28" l="1"/>
  <c r="J38" i="28" s="1"/>
  <c r="M36" i="28"/>
  <c r="N36" i="28"/>
  <c r="K38" i="28" l="1"/>
  <c r="L38" i="28" s="1"/>
  <c r="O36" i="28"/>
  <c r="P36" i="28"/>
  <c r="R36" i="28"/>
  <c r="Q36" i="28"/>
  <c r="J39" i="28" l="1"/>
  <c r="K39" i="28"/>
  <c r="L39" i="28" s="1"/>
  <c r="M37" i="28"/>
  <c r="N37" i="28"/>
  <c r="J40" i="28" l="1"/>
  <c r="K40" i="28"/>
  <c r="L40" i="28" s="1"/>
  <c r="J41" i="28" s="1"/>
  <c r="P37" i="28"/>
  <c r="O37" i="28"/>
  <c r="Q37" i="28"/>
  <c r="R37" i="28"/>
  <c r="K41" i="28" l="1"/>
  <c r="L41" i="28" s="1"/>
  <c r="M38" i="28"/>
  <c r="N38" i="28"/>
  <c r="J42" i="28" l="1"/>
  <c r="K42" i="28"/>
  <c r="L42" i="28" s="1"/>
  <c r="J43" i="28" s="1"/>
  <c r="O38" i="28"/>
  <c r="P38" i="28"/>
  <c r="Q38" i="28"/>
  <c r="R38" i="28"/>
  <c r="K43" i="28" l="1"/>
  <c r="L43" i="28" s="1"/>
  <c r="M39" i="28"/>
  <c r="N39" i="28"/>
  <c r="O39" i="28" l="1"/>
  <c r="P39" i="28"/>
  <c r="Q39" i="28"/>
  <c r="R39" i="28"/>
  <c r="M40" i="28" l="1"/>
  <c r="N40" i="28"/>
  <c r="O40" i="28" l="1"/>
  <c r="P40" i="28"/>
  <c r="Q40" i="28"/>
  <c r="R40" i="28"/>
  <c r="N41" i="28" l="1"/>
  <c r="M41" i="28"/>
  <c r="O41" i="28" l="1"/>
  <c r="P41" i="28"/>
  <c r="R41" i="28"/>
  <c r="Q41" i="28"/>
  <c r="N42" i="28" l="1"/>
  <c r="M42" i="28"/>
  <c r="P42" i="28" l="1"/>
  <c r="O42" i="28"/>
  <c r="Q42" i="28"/>
  <c r="R42" i="28"/>
  <c r="N43" i="28" l="1"/>
  <c r="M43" i="28"/>
  <c r="P43" i="28" l="1"/>
  <c r="O43" i="28"/>
  <c r="G28" i="28" s="1"/>
  <c r="G30" i="28" s="1"/>
  <c r="R43" i="28"/>
  <c r="Q43" i="28"/>
  <c r="G29" i="28" l="1"/>
</calcChain>
</file>

<file path=xl/sharedStrings.xml><?xml version="1.0" encoding="utf-8"?>
<sst xmlns="http://schemas.openxmlformats.org/spreadsheetml/2006/main" count="508" uniqueCount="408">
  <si>
    <t>Pitch</t>
  </si>
  <si>
    <t># Teeth 1</t>
  </si>
  <si>
    <t># Teeth 2</t>
  </si>
  <si>
    <t>Round Type</t>
  </si>
  <si>
    <t>Modulus</t>
  </si>
  <si>
    <t>Chain Length</t>
  </si>
  <si>
    <t># Links/Teeth</t>
  </si>
  <si>
    <t>Clearance</t>
  </si>
  <si>
    <t>a</t>
  </si>
  <si>
    <t>L</t>
  </si>
  <si>
    <t>target</t>
  </si>
  <si>
    <t>y</t>
  </si>
  <si>
    <t># links</t>
  </si>
  <si>
    <t>D</t>
  </si>
  <si>
    <r>
      <t>D</t>
    </r>
    <r>
      <rPr>
        <vertAlign val="subscript"/>
        <sz val="11"/>
        <color theme="1"/>
        <rFont val="Calibri"/>
        <family val="2"/>
        <scheme val="minor"/>
      </rPr>
      <t>(Actual)</t>
    </r>
  </si>
  <si>
    <t>Chain/Belt C-C Calculator</t>
  </si>
  <si>
    <t>Any distance unit can be used, so long as it is used consistently.</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</si>
  <si>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</si>
  <si>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</si>
  <si>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</si>
  <si>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</si>
  <si>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</si>
  <si>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</si>
  <si>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</si>
  <si>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</si>
  <si>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</si>
  <si>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</si>
  <si>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</si>
  <si>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</si>
  <si>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</si>
  <si>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</si>
  <si>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</si>
  <si>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</si>
  <si>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</si>
  <si>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</si>
  <si>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Metric? (put any value in the box)</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</si>
  <si>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</si>
  <si>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</si>
  <si>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</si>
  <si>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</si>
  <si>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</si>
  <si>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</si>
  <si>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</si>
  <si>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</si>
  <si>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</si>
  <si>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</si>
  <si>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</si>
  <si>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</si>
  <si>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</si>
  <si>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</si>
  <si>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</si>
  <si>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</si>
  <si>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</si>
  <si>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Height</t>
  </si>
  <si>
    <t>#35 Chain</t>
  </si>
  <si>
    <t>5mm HTD</t>
  </si>
  <si>
    <t>3mm GT3</t>
  </si>
  <si>
    <t>6.35 [.250"]</t>
  </si>
  <si>
    <t>9.53 [.375"]</t>
  </si>
  <si>
    <t>5 [.197"]</t>
  </si>
  <si>
    <t>3 [.118"]</t>
  </si>
  <si>
    <t>3mm GT2</t>
  </si>
  <si>
    <t>9 [.354"]</t>
  </si>
  <si>
    <t>5.90 [.232"]</t>
  </si>
  <si>
    <t>8.94 [.352"]</t>
  </si>
  <si>
    <t>11.76 [.463"]</t>
  </si>
  <si>
    <t>15 [.591"]</t>
  </si>
  <si>
    <t>Gear Sizes</t>
  </si>
  <si>
    <t>.5" Hex</t>
  </si>
  <si>
    <t>.375" Hex</t>
  </si>
  <si>
    <t>18 (A&amp;S)</t>
  </si>
  <si>
    <t>20 (A&amp;S)</t>
  </si>
  <si>
    <t>22 (A&amp;S)</t>
  </si>
  <si>
    <t>24 (A&amp;S)</t>
  </si>
  <si>
    <t>26 (A&amp;S)</t>
  </si>
  <si>
    <t>28 (A&amp;S)</t>
  </si>
  <si>
    <t>30 (A&amp;S)</t>
  </si>
  <si>
    <t>32 (A&amp;S)</t>
  </si>
  <si>
    <t>48 (VK)</t>
  </si>
  <si>
    <t>54 (VK)</t>
  </si>
  <si>
    <t>60 (VK)</t>
  </si>
  <si>
    <t>66 (VK)</t>
  </si>
  <si>
    <t>70 (VK)</t>
  </si>
  <si>
    <t>14 (A&amp;S)</t>
  </si>
  <si>
    <t>16 (A&amp;S)</t>
  </si>
  <si>
    <t>Bolt Circle</t>
  </si>
  <si>
    <t>CIM Pinion</t>
  </si>
  <si>
    <t>12 (A&amp;S)</t>
  </si>
  <si>
    <t>15 (32dp)</t>
  </si>
  <si>
    <t>Ball Shifter</t>
  </si>
  <si>
    <t>Dog Shifter</t>
  </si>
  <si>
    <t>32dp</t>
  </si>
  <si>
    <t>42 (P)</t>
  </si>
  <si>
    <t>44 (P)</t>
  </si>
  <si>
    <t>54 (VK)(P)</t>
  </si>
  <si>
    <t>60 (VK)(P)</t>
  </si>
  <si>
    <t>64 (VK)(P)</t>
  </si>
  <si>
    <t>72 (VK)(P)</t>
  </si>
  <si>
    <t>84 (VK)(P)</t>
  </si>
  <si>
    <t>12 (Pinion)</t>
  </si>
  <si>
    <t>40 (A&amp;S)</t>
  </si>
  <si>
    <t>50 (A&amp;S)(VK)</t>
  </si>
  <si>
    <t>38 (A&amp;S)</t>
  </si>
  <si>
    <t>40 (A&amp;S)(P)</t>
  </si>
  <si>
    <t>56 (A&amp;S)</t>
  </si>
  <si>
    <t>48 (VK)(A&amp;S)</t>
  </si>
  <si>
    <t>48 (A&amp;S)</t>
  </si>
  <si>
    <t>50 (Steel)</t>
  </si>
  <si>
    <t>20 (32dp) (S)</t>
  </si>
  <si>
    <t>11 (S)</t>
  </si>
  <si>
    <t>28 (S)</t>
  </si>
  <si>
    <t>50 (S)</t>
  </si>
  <si>
    <t>32 (S)</t>
  </si>
  <si>
    <t>15 (S)</t>
  </si>
  <si>
    <t>13 (S)</t>
  </si>
  <si>
    <t>35 (S)</t>
  </si>
  <si>
    <t>14 (S)</t>
  </si>
  <si>
    <t>36 (S)</t>
  </si>
  <si>
    <t>34 (S)</t>
  </si>
  <si>
    <t>25 (S)</t>
  </si>
  <si>
    <t>19 (S)</t>
  </si>
  <si>
    <t>21 (S)</t>
  </si>
  <si>
    <t>17 (S)</t>
  </si>
  <si>
    <t>46 (S)</t>
  </si>
  <si>
    <t>85 (S)</t>
  </si>
  <si>
    <t>29 (S)</t>
  </si>
  <si>
    <t>52 (S)</t>
  </si>
  <si>
    <t>56 (S)</t>
  </si>
  <si>
    <t>43 (S)</t>
  </si>
  <si>
    <t>45 (S)</t>
  </si>
  <si>
    <t>60 (S)</t>
  </si>
  <si>
    <t xml:space="preserve">50 (VK)(P) </t>
  </si>
  <si>
    <t>#25 Hub</t>
  </si>
  <si>
    <t>#25 Plate</t>
  </si>
  <si>
    <t>#35 Hub</t>
  </si>
  <si>
    <t>#35 Plate</t>
  </si>
  <si>
    <t>16 (H&amp;R)</t>
  </si>
  <si>
    <t>18 (Hex)</t>
  </si>
  <si>
    <t>22 (H&amp;R)</t>
  </si>
  <si>
    <t>12 (H&amp;R)(Dual)</t>
  </si>
  <si>
    <t>5mm HTD 9</t>
  </si>
  <si>
    <t>5mm HTD 18</t>
  </si>
  <si>
    <t>18 (.5" Hex)</t>
  </si>
  <si>
    <t>36 (.5" Hex)</t>
  </si>
  <si>
    <t>24 (.5" Hex)</t>
  </si>
  <si>
    <t>30 (.5" Hex)</t>
  </si>
  <si>
    <t>60 (.5" Hex)</t>
  </si>
  <si>
    <t>48 (.5" Hex)</t>
  </si>
  <si>
    <t>3mm GT2 9</t>
  </si>
  <si>
    <t>Sprocket/Pulley Sizes</t>
  </si>
  <si>
    <t>5mm HTD 15</t>
  </si>
  <si>
    <t>(S) = Steel</t>
  </si>
  <si>
    <t>(A&amp;S) = Aluminum &amp; Steel</t>
  </si>
  <si>
    <t>18…84 even</t>
  </si>
  <si>
    <t>(P) = Pocketed Available</t>
  </si>
  <si>
    <t>(VK) = VersaKey Available</t>
  </si>
  <si>
    <t>14…54 even</t>
  </si>
  <si>
    <t>(H&amp;R) = Hex &amp; Round</t>
  </si>
  <si>
    <t>42 (VK)</t>
  </si>
  <si>
    <t>(VK) = 1.875" Bolt Circle</t>
  </si>
  <si>
    <t>KEY</t>
  </si>
  <si>
    <t>16 (.375" R)</t>
  </si>
  <si>
    <t>10 (CIM)</t>
  </si>
  <si>
    <t>16 (CIM)</t>
  </si>
  <si>
    <t>(Dual) = Dual Sprocket</t>
  </si>
  <si>
    <t>12 (H&amp;R)</t>
  </si>
  <si>
    <t>16 (H&amp;R)(Dual)</t>
  </si>
  <si>
    <t>15 (H&amp;R)</t>
  </si>
  <si>
    <t>Motor Specs</t>
  </si>
  <si>
    <t xml:space="preserve">Snowblower </t>
  </si>
  <si>
    <t>Free Speed</t>
  </si>
  <si>
    <t>Drive Gearbox Reductions</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</si>
  <si>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</si>
  <si>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</si>
  <si>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</si>
  <si>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</si>
  <si>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</si>
  <si>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</si>
  <si>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</si>
  <si>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</si>
  <si>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</si>
  <si>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</si>
  <si>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</si>
  <si>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</si>
  <si>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</si>
  <si>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</si>
  <si>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</si>
  <si>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</si>
  <si>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</si>
  <si>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</si>
  <si>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</si>
  <si>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</si>
  <si>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</si>
  <si>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</si>
  <si>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</si>
  <si>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</si>
  <si>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</si>
  <si>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</si>
  <si>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</si>
  <si>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</si>
  <si>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</si>
  <si>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</si>
  <si>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</si>
  <si>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</si>
  <si>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</si>
  <si>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</si>
  <si>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</si>
  <si>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</si>
  <si>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</si>
  <si>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</si>
  <si>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</si>
  <si>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</si>
  <si>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</si>
  <si>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</si>
  <si>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</si>
  <si>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</si>
  <si>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</si>
  <si>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</si>
  <si>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</si>
  <si>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3CIM4U</t>
  </si>
  <si>
    <t>Sonic Shifter</t>
  </si>
  <si>
    <t>11.80/30.10</t>
  </si>
  <si>
    <t>9.40/24.00</t>
  </si>
  <si>
    <t>7.50/30.10</t>
  </si>
  <si>
    <t>6.00/24.00</t>
  </si>
  <si>
    <t>2 CIM BS</t>
  </si>
  <si>
    <t>3 CIM BS</t>
  </si>
  <si>
    <t>Rocketbox</t>
  </si>
  <si>
    <t>16.36/5.60</t>
  </si>
  <si>
    <t>WCP Flip DS</t>
  </si>
  <si>
    <t xml:space="preserve"> </t>
  </si>
  <si>
    <t>CIM + Mini</t>
  </si>
  <si>
    <t>CIM + 2 Mini</t>
  </si>
  <si>
    <t>2 CIM + Mini</t>
  </si>
  <si>
    <t>link</t>
  </si>
  <si>
    <t>Weight on Driven Wheels</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</si>
  <si>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</si>
  <si>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</si>
  <si>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</si>
  <si>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</si>
  <si>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</si>
  <si>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</si>
  <si>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</si>
  <si>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</si>
  <si>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</si>
  <si>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</si>
  <si>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</si>
  <si>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2-Speed? (put any value in the box)</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</si>
  <si>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</si>
  <si>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</si>
  <si>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</si>
  <si>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</si>
  <si>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</si>
  <si>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</si>
  <si>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</si>
  <si>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</si>
  <si>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This sheet contains useful dimensions, sizes, and specifications for FRC COTS parts. Includes belt &amp; chain dimensions; gear, sprocket, and belt sizes;  motor specifications; and COTS FRC drive gearbox reduction options. Parts listed are from VexPro, AndyMark, and West Coast Products.</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</si>
  <si>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</si>
  <si>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</si>
  <si>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</si>
  <si>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</si>
  <si>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</si>
  <si>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</si>
  <si>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</si>
  <si>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</si>
  <si>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</si>
  <si>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</si>
  <si>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</si>
  <si>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</si>
  <si>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</si>
  <si>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</si>
  <si>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</si>
  <si>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</si>
  <si>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</si>
  <si>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</si>
  <si>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</si>
  <si>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</si>
  <si>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</si>
  <si>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Standard C-C Additions</t>
  </si>
  <si>
    <t>inch</t>
  </si>
  <si>
    <t>mm</t>
  </si>
  <si>
    <t>Standard Chain/Belt Pitches</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</si>
  <si>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</si>
  <si>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</si>
  <si>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</si>
  <si>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</si>
  <si>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</si>
  <si>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</si>
  <si>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</si>
  <si>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</si>
  <si>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</si>
  <si>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</si>
  <si>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</si>
  <si>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r>
      <t>D</t>
    </r>
    <r>
      <rPr>
        <vertAlign val="subscript"/>
        <sz val="11"/>
        <color theme="1"/>
        <rFont val="Calibri"/>
        <family val="2"/>
        <scheme val="minor"/>
      </rPr>
      <t>(Estimated)</t>
    </r>
  </si>
  <si>
    <t>Stall Voltage (V)</t>
  </si>
  <si>
    <t>C-C dist (in)</t>
  </si>
  <si>
    <t xml:space="preserve"> Approximate distance between pulley centers -&gt;</t>
  </si>
  <si>
    <t>Round to nearest multiple or force rounding up or down -&gt;</t>
  </si>
  <si>
    <t>Force # links to be a multiple of this number -&gt;</t>
  </si>
  <si>
    <t>&lt;- Exact C-C distance</t>
  </si>
  <si>
    <t>&lt;- # of links/teeth in the chain/belt</t>
  </si>
  <si>
    <t>&lt;- Length of chain/belt</t>
  </si>
  <si>
    <t>&lt;- Space between sprockets (must be positive)</t>
  </si>
  <si>
    <t>Exact C-C distance -&gt;</t>
  </si>
  <si>
    <t>Length of chain/belt -&gt;</t>
  </si>
  <si>
    <t># of links/teeth in the chain/belt -&gt;</t>
  </si>
  <si>
    <t>Space between sprockets (must be positive) -&gt;</t>
  </si>
  <si>
    <t>Pitch Dia.</t>
  </si>
  <si>
    <t>Characteristic of chain/belt (defines units) -&gt;</t>
  </si>
  <si>
    <t>Pulley 1 effective diameter -&gt;</t>
  </si>
  <si>
    <t>Pulley 2 effective diameter -&gt;</t>
  </si>
  <si>
    <t>&lt;- Total gear ratio between motor and mechanism output</t>
  </si>
  <si>
    <t>&lt;- Speed the mechanism rotates when no load is applied</t>
  </si>
  <si>
    <t>&lt;- Speed the mechanism rotates when load is applied</t>
  </si>
  <si>
    <t>&lt;- Tangential speed at given radius when no load is applied</t>
  </si>
  <si>
    <t>&lt;- Tangential speed at given radius when load is applied</t>
  </si>
  <si>
    <t>&lt;- Current each motor in the system draws under the specified load</t>
  </si>
  <si>
    <t>&lt;- Maximum load that the mechanism can lift before backdriving</t>
  </si>
  <si>
    <t>&lt;- Voltage needed to hold the specified load in position</t>
  </si>
  <si>
    <t>Stall Load</t>
  </si>
  <si>
    <t>x</t>
  </si>
  <si>
    <t>Max. Efficiency</t>
  </si>
  <si>
    <t>Different-radius wheels? (put any value in the box)</t>
  </si>
  <si>
    <t>Release Angle (° from horiz.)</t>
  </si>
  <si>
    <t>Target Angle (° from horiz.)</t>
  </si>
  <si>
    <t>Forward</t>
  </si>
  <si>
    <t>Reverse</t>
  </si>
  <si>
    <t>Show Reverse? (put any value in the box)</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</si>
  <si>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</si>
  <si>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</si>
  <si>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</si>
  <si>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</si>
  <si>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</si>
  <si>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</si>
  <si>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</si>
  <si>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</si>
  <si>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</si>
  <si>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</si>
  <si>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</si>
  <si>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</si>
  <si>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</si>
  <si>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</si>
  <si>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</si>
  <si>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</si>
  <si>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</si>
  <si>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</si>
  <si>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</si>
  <si>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</si>
  <si>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Tank Pressure (psig)</t>
  </si>
  <si>
    <t>Total Tanks Vol. (in3)</t>
  </si>
  <si>
    <t>Push Pressure (psig)</t>
  </si>
  <si>
    <t>Max. Push Force (lbsf)</t>
  </si>
  <si>
    <t>Compressor Flow (cfm)</t>
  </si>
  <si>
    <t>Compressor Time (s)</t>
  </si>
  <si>
    <t>Compressed Vol. (in3)</t>
  </si>
  <si>
    <t>Pull Pressure (psig)</t>
  </si>
  <si>
    <t>Max. Pull Force (lbsf)</t>
  </si>
  <si>
    <t>Total Available Vol. (in3)</t>
  </si>
  <si>
    <t># Pushes per Cycle</t>
  </si>
  <si>
    <t>Leftover Air @ atm. (in3)</t>
  </si>
  <si>
    <t># Pulls per Cycle</t>
  </si>
  <si>
    <t>Final Pressure (psig)</t>
  </si>
  <si>
    <t>Time per Cycle (s)</t>
  </si>
  <si>
    <t>Time Spent Cycling (s)</t>
  </si>
  <si>
    <t>Refil Time (s)</t>
  </si>
  <si>
    <t>Volume Rate (in3/s)</t>
  </si>
  <si>
    <t>Refil Time from 0 (s)</t>
  </si>
  <si>
    <t>Vol. Usage (in3)</t>
  </si>
  <si>
    <t>Total Vol. Usage (in3)</t>
  </si>
  <si>
    <t>&lt;- Estimate of compressor flow*</t>
  </si>
  <si>
    <t>* Don't use rated max compressor flow, since the compressor gets less efficient as it heats up and it builds pressure</t>
  </si>
  <si>
    <t>&lt;- Time the compressor is running during the match</t>
  </si>
  <si>
    <t>&lt;- Should be above the highest pressure action</t>
  </si>
  <si>
    <t>&lt;- Time to refil the compressor if air is not vented post-match</t>
  </si>
  <si>
    <t>&lt;- Time to refil the compressor if air is vented post-match</t>
  </si>
  <si>
    <t>Up</t>
  </si>
  <si>
    <t>Standard practice in un-tensioned chain/belts is to add the "Standard C-C Addition" to the exact distance</t>
  </si>
  <si>
    <t>Selected values should be between the associated Max. Power and Max. Efficiency values to keep the motor in a safe place on its curve</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</si>
  <si>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</si>
  <si>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</si>
  <si>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</si>
  <si>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</si>
  <si>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</si>
  <si>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</si>
  <si>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</si>
  <si>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</si>
  <si>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</si>
  <si>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</si>
  <si>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</si>
  <si>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</si>
  <si>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</si>
  <si>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</si>
  <si>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</si>
  <si>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</si>
  <si>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</si>
  <si>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</si>
  <si>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</si>
  <si>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</si>
  <si>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</si>
  <si>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Version 2.0</t>
  </si>
  <si>
    <t>Made by Ari Meles-Braverman: Mentor, FRC 5987</t>
  </si>
  <si>
    <t>Projectile Trajectory Calclulator</t>
  </si>
  <si>
    <t>Note: does not account for air resistance or projectile spin</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</si>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</sst>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1"/>
    <numFmt numFmtId="166" formatCode="0.0"/>
    <numFmt numFmtId="167" formatCode="0.00\x"/>
    <numFmt numFmtId="168" formatCode="0.000\&quot;"/>
  </numFmts>
  <fonts count="21"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vertAlign val="subscript"/>
      <sz val="11"/>
      <color theme="1"/>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style="thin">
        <color indexed="64"/>
      </left>
      <right/>
      <top/>
      <bottom style="thin">
        <color theme="1" tint="0.499984740745262"/>
      </bottom>
      <diagonal/>
    </border>
    <border>
      <left style="thin">
        <color indexed="64"/>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style="thin">
        <color theme="1" tint="0.499984740745262"/>
      </top>
      <bottom style="thin">
        <color theme="1" tint="0.499984740745262"/>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right style="thin">
        <color indexed="64"/>
      </right>
      <top style="thin">
        <color theme="1" tint="0.499984740745262"/>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s>
  <cellStyleXfs count="4">
    <xf numFmtId="0" fontId="0" fillId="0" borderId="0"/>
    <xf numFmtId="9" fontId="1" fillId="0" borderId="0" applyFont="0" applyFill="0" applyBorder="0" applyAlignment="0" applyProtection="0"/>
    <xf numFmtId="0" fontId="8" fillId="0" borderId="0"/>
    <xf numFmtId="0" fontId="13" fillId="0" borderId="0" applyNumberFormat="0" applyFill="0" applyBorder="0" applyAlignment="0" applyProtection="0"/>
  </cellStyleXfs>
  <cellXfs count="234">
    <xf numFmtId="0" fontId="0" fillId="0" borderId="0" xfId="0"/>
    <xf numFmtId="0" fontId="0" fillId="0" borderId="1" xfId="0" applyBorder="1"/>
    <xf numFmtId="0" fontId="0" fillId="3" borderId="1" xfId="0" applyFill="1" applyBorder="1"/>
    <xf numFmtId="0" fontId="0" fillId="3" borderId="16" xfId="0" applyFill="1" applyBorder="1"/>
    <xf numFmtId="0" fontId="0" fillId="2" borderId="16" xfId="0" applyFill="1" applyBorder="1"/>
    <xf numFmtId="0" fontId="9" fillId="0" borderId="0" xfId="0" applyFont="1"/>
    <xf numFmtId="0" fontId="2" fillId="0" borderId="0" xfId="0" applyFont="1"/>
    <xf numFmtId="0" fontId="3" fillId="0" borderId="0" xfId="0" applyFont="1"/>
    <xf numFmtId="0" fontId="0" fillId="0" borderId="0" xfId="0" applyBorder="1"/>
    <xf numFmtId="0" fontId="4" fillId="0" borderId="0" xfId="0" applyFont="1"/>
    <xf numFmtId="0" fontId="0" fillId="0" borderId="0" xfId="0" quotePrefix="1"/>
    <xf numFmtId="0" fontId="0" fillId="0" borderId="19" xfId="0" applyBorder="1"/>
    <xf numFmtId="2" fontId="11" fillId="0" borderId="0" xfId="2" applyNumberFormat="1" applyFont="1" applyBorder="1" applyAlignment="1">
      <alignment horizontal="right" vertical="center" wrapText="1"/>
    </xf>
    <xf numFmtId="0" fontId="3" fillId="0" borderId="1" xfId="0" applyFont="1" applyBorder="1"/>
    <xf numFmtId="0" fontId="0" fillId="0" borderId="20" xfId="0" applyBorder="1"/>
    <xf numFmtId="0" fontId="0" fillId="0" borderId="7" xfId="0" applyBorder="1"/>
    <xf numFmtId="0" fontId="0" fillId="0" borderId="21" xfId="0" applyBorder="1"/>
    <xf numFmtId="0" fontId="0" fillId="0" borderId="22" xfId="0" applyBorder="1"/>
    <xf numFmtId="0" fontId="0" fillId="0" borderId="4" xfId="0" applyBorder="1"/>
    <xf numFmtId="0" fontId="0" fillId="0" borderId="23" xfId="0" applyBorder="1"/>
    <xf numFmtId="0" fontId="0" fillId="0" borderId="12" xfId="0" applyBorder="1"/>
    <xf numFmtId="0" fontId="0" fillId="0" borderId="26" xfId="0" applyBorder="1"/>
    <xf numFmtId="16" fontId="0" fillId="0" borderId="19" xfId="0" quotePrefix="1" applyNumberFormat="1" applyBorder="1"/>
    <xf numFmtId="0" fontId="0" fillId="0" borderId="25" xfId="0" quotePrefix="1" applyBorder="1"/>
    <xf numFmtId="0" fontId="0" fillId="0" borderId="24" xfId="0" quotePrefix="1" applyBorder="1"/>
    <xf numFmtId="0" fontId="0" fillId="0" borderId="0" xfId="0" applyFont="1"/>
    <xf numFmtId="0" fontId="0" fillId="0" borderId="27" xfId="0" applyFont="1" applyBorder="1" applyAlignment="1">
      <alignment horizontal="right"/>
    </xf>
    <xf numFmtId="0" fontId="0" fillId="0" borderId="27" xfId="0" applyBorder="1" applyAlignment="1">
      <alignment horizontal="right"/>
    </xf>
    <xf numFmtId="0" fontId="0" fillId="0" borderId="20" xfId="0" applyBorder="1" applyAlignment="1">
      <alignment horizontal="right"/>
    </xf>
    <xf numFmtId="0" fontId="0" fillId="0" borderId="27" xfId="0" applyBorder="1"/>
    <xf numFmtId="0" fontId="0" fillId="0" borderId="29" xfId="0" applyBorder="1" applyAlignment="1">
      <alignment horizontal="right"/>
    </xf>
    <xf numFmtId="0" fontId="0" fillId="0" borderId="28" xfId="0" applyFont="1" applyFill="1" applyBorder="1" applyAlignment="1">
      <alignment horizontal="right"/>
    </xf>
    <xf numFmtId="0" fontId="0" fillId="0" borderId="29" xfId="0" applyFill="1" applyBorder="1" applyAlignment="1">
      <alignment horizontal="right"/>
    </xf>
    <xf numFmtId="0" fontId="0" fillId="0" borderId="27" xfId="0" applyFill="1" applyBorder="1" applyAlignment="1">
      <alignment horizontal="right"/>
    </xf>
    <xf numFmtId="0" fontId="0" fillId="0" borderId="37" xfId="0" applyFill="1" applyBorder="1" applyAlignment="1">
      <alignment horizontal="right"/>
    </xf>
    <xf numFmtId="0" fontId="0" fillId="0" borderId="29" xfId="0" applyFont="1" applyFill="1" applyBorder="1" applyAlignment="1">
      <alignment horizontal="right"/>
    </xf>
    <xf numFmtId="0" fontId="0" fillId="0" borderId="27" xfId="0" applyFont="1" applyFill="1" applyBorder="1" applyAlignment="1">
      <alignment horizontal="right"/>
    </xf>
    <xf numFmtId="0" fontId="0" fillId="0" borderId="29" xfId="0" applyFont="1" applyFill="1" applyBorder="1"/>
    <xf numFmtId="0" fontId="0" fillId="0" borderId="29" xfId="0" applyFill="1" applyBorder="1"/>
    <xf numFmtId="0" fontId="0" fillId="0" borderId="37" xfId="0" applyFill="1" applyBorder="1"/>
    <xf numFmtId="0" fontId="0" fillId="0" borderId="28" xfId="0" applyFill="1" applyBorder="1"/>
    <xf numFmtId="0" fontId="0" fillId="0" borderId="4" xfId="0" applyFill="1" applyBorder="1" applyAlignment="1">
      <alignment horizontal="right"/>
    </xf>
    <xf numFmtId="0" fontId="0" fillId="0" borderId="28" xfId="0" applyFont="1" applyFill="1" applyBorder="1"/>
    <xf numFmtId="0" fontId="0" fillId="0" borderId="20" xfId="0" applyFont="1" applyFill="1" applyBorder="1" applyAlignment="1">
      <alignment horizontal="right"/>
    </xf>
    <xf numFmtId="0" fontId="3" fillId="0" borderId="1" xfId="0" applyFont="1" applyFill="1" applyBorder="1"/>
    <xf numFmtId="0" fontId="0" fillId="0" borderId="20" xfId="0" applyFill="1" applyBorder="1" applyAlignment="1">
      <alignment horizontal="right"/>
    </xf>
    <xf numFmtId="0" fontId="0" fillId="0" borderId="20" xfId="0" applyFont="1" applyBorder="1"/>
    <xf numFmtId="0" fontId="0" fillId="0" borderId="29" xfId="0" applyBorder="1"/>
    <xf numFmtId="0" fontId="0" fillId="0" borderId="29" xfId="0" applyFont="1" applyBorder="1"/>
    <xf numFmtId="0" fontId="3" fillId="0" borderId="17" xfId="0" applyFont="1" applyFill="1" applyBorder="1"/>
    <xf numFmtId="0" fontId="0" fillId="0" borderId="39" xfId="0" applyBorder="1" applyAlignment="1">
      <alignment horizontal="right"/>
    </xf>
    <xf numFmtId="0" fontId="0" fillId="0" borderId="28" xfId="0" applyFill="1" applyBorder="1" applyAlignment="1">
      <alignment horizontal="right"/>
    </xf>
    <xf numFmtId="0" fontId="0" fillId="0" borderId="28" xfId="0" applyBorder="1" applyAlignment="1">
      <alignment horizontal="right"/>
    </xf>
    <xf numFmtId="0" fontId="0" fillId="0" borderId="5" xfId="0" applyBorder="1"/>
    <xf numFmtId="0" fontId="0" fillId="0" borderId="6" xfId="0" applyBorder="1"/>
    <xf numFmtId="0" fontId="3" fillId="0" borderId="0" xfId="0" applyFont="1" applyBorder="1"/>
    <xf numFmtId="0" fontId="0" fillId="0" borderId="0" xfId="0" applyFont="1" applyBorder="1"/>
    <xf numFmtId="0" fontId="0" fillId="0" borderId="33" xfId="0" applyFill="1" applyBorder="1"/>
    <xf numFmtId="0" fontId="0" fillId="0" borderId="34" xfId="0" applyFill="1" applyBorder="1"/>
    <xf numFmtId="0" fontId="0" fillId="0" borderId="0" xfId="0" applyFill="1"/>
    <xf numFmtId="0" fontId="0" fillId="0" borderId="0" xfId="0" applyFont="1" applyFill="1"/>
    <xf numFmtId="0" fontId="0" fillId="0" borderId="20" xfId="0" applyFont="1" applyFill="1" applyBorder="1"/>
    <xf numFmtId="0" fontId="0" fillId="0" borderId="32" xfId="0" applyBorder="1" applyAlignment="1">
      <alignment horizontal="right"/>
    </xf>
    <xf numFmtId="0" fontId="0" fillId="0" borderId="7" xfId="0" applyFont="1" applyFill="1" applyBorder="1" applyAlignment="1">
      <alignment horizontal="right"/>
    </xf>
    <xf numFmtId="2" fontId="7" fillId="0" borderId="19" xfId="2" applyNumberFormat="1" applyFont="1" applyFill="1" applyBorder="1" applyAlignment="1">
      <alignment horizontal="center" vertical="center" wrapText="1"/>
    </xf>
    <xf numFmtId="2" fontId="10" fillId="0" borderId="19" xfId="2" applyNumberFormat="1" applyFont="1" applyFill="1" applyBorder="1" applyAlignment="1">
      <alignment horizontal="center" vertical="center"/>
    </xf>
    <xf numFmtId="0" fontId="7" fillId="0" borderId="19" xfId="2" applyNumberFormat="1" applyFont="1" applyFill="1" applyBorder="1" applyAlignment="1">
      <alignment horizontal="center" vertical="center" wrapText="1"/>
    </xf>
    <xf numFmtId="0" fontId="7" fillId="0" borderId="35" xfId="2" applyNumberFormat="1" applyFont="1" applyFill="1" applyBorder="1" applyAlignment="1">
      <alignment horizontal="center" vertical="center" wrapText="1"/>
    </xf>
    <xf numFmtId="2" fontId="7" fillId="0" borderId="30" xfId="2" applyNumberFormat="1" applyFont="1" applyFill="1" applyBorder="1" applyAlignment="1">
      <alignment horizontal="center" vertical="center" wrapText="1"/>
    </xf>
    <xf numFmtId="0" fontId="7" fillId="0" borderId="31" xfId="2" applyNumberFormat="1" applyFont="1" applyFill="1" applyBorder="1" applyAlignment="1">
      <alignment horizontal="center" vertical="center" wrapText="1"/>
    </xf>
    <xf numFmtId="1" fontId="7" fillId="0" borderId="35" xfId="2" applyNumberFormat="1" applyFont="1" applyFill="1" applyBorder="1" applyAlignment="1">
      <alignment horizontal="center" vertical="center" wrapText="1"/>
    </xf>
    <xf numFmtId="1" fontId="10" fillId="0" borderId="35" xfId="2" applyNumberFormat="1" applyFont="1" applyFill="1" applyBorder="1" applyAlignment="1">
      <alignment horizontal="center" vertical="center"/>
    </xf>
    <xf numFmtId="1" fontId="7" fillId="0" borderId="36" xfId="2" applyNumberFormat="1" applyFont="1" applyBorder="1" applyAlignment="1">
      <alignment horizontal="center" vertical="center" wrapText="1"/>
    </xf>
    <xf numFmtId="1" fontId="7" fillId="0" borderId="35" xfId="2" applyNumberFormat="1" applyFont="1" applyBorder="1" applyAlignment="1">
      <alignment horizontal="center" vertical="center" wrapText="1"/>
    </xf>
    <xf numFmtId="2" fontId="11" fillId="0" borderId="7" xfId="2" applyNumberFormat="1" applyFont="1" applyFill="1" applyBorder="1" applyAlignment="1">
      <alignment horizontal="right" vertical="center" wrapText="1"/>
    </xf>
    <xf numFmtId="2" fontId="11" fillId="0" borderId="29" xfId="2" applyNumberFormat="1" applyFont="1" applyFill="1" applyBorder="1" applyAlignment="1">
      <alignment horizontal="right" vertical="center" wrapText="1"/>
    </xf>
    <xf numFmtId="0" fontId="12" fillId="0" borderId="29" xfId="2" applyFont="1" applyBorder="1" applyAlignment="1">
      <alignment horizontal="right"/>
    </xf>
    <xf numFmtId="2" fontId="7" fillId="0" borderId="12" xfId="2" applyNumberFormat="1" applyFont="1" applyFill="1" applyBorder="1" applyAlignment="1">
      <alignment horizontal="center" vertical="center" wrapText="1"/>
    </xf>
    <xf numFmtId="2" fontId="10" fillId="0" borderId="22" xfId="2" applyNumberFormat="1" applyFont="1" applyBorder="1" applyAlignment="1">
      <alignment horizontal="center" vertical="center" wrapText="1"/>
    </xf>
    <xf numFmtId="2" fontId="10" fillId="0" borderId="25" xfId="2" applyNumberFormat="1" applyFont="1" applyBorder="1" applyAlignment="1">
      <alignment horizontal="center" vertical="center" wrapText="1"/>
    </xf>
    <xf numFmtId="0" fontId="7" fillId="0" borderId="26" xfId="2" applyNumberFormat="1" applyFont="1" applyFill="1" applyBorder="1" applyAlignment="1">
      <alignment horizontal="center" vertical="center" wrapText="1"/>
    </xf>
    <xf numFmtId="2" fontId="10" fillId="0" borderId="40" xfId="2" applyNumberFormat="1" applyFont="1" applyBorder="1" applyAlignment="1">
      <alignment horizontal="center" vertical="center" wrapText="1"/>
    </xf>
    <xf numFmtId="0" fontId="10" fillId="0" borderId="20" xfId="2" applyFont="1" applyBorder="1" applyAlignment="1">
      <alignment horizontal="right"/>
    </xf>
    <xf numFmtId="0" fontId="12" fillId="0" borderId="27" xfId="2" applyFont="1" applyBorder="1" applyAlignment="1">
      <alignment horizontal="right"/>
    </xf>
    <xf numFmtId="1" fontId="7" fillId="0" borderId="41" xfId="2" applyNumberFormat="1" applyFont="1" applyFill="1" applyBorder="1" applyAlignment="1">
      <alignment horizontal="center" vertical="center" wrapText="1"/>
    </xf>
    <xf numFmtId="1" fontId="7" fillId="0" borderId="42" xfId="2" applyNumberFormat="1" applyFont="1" applyBorder="1" applyAlignment="1">
      <alignment horizontal="center" vertical="center" wrapText="1"/>
    </xf>
    <xf numFmtId="0" fontId="10" fillId="0" borderId="29" xfId="2" applyFont="1" applyBorder="1" applyAlignment="1">
      <alignment horizontal="right"/>
    </xf>
    <xf numFmtId="2" fontId="0" fillId="0" borderId="0" xfId="0" applyNumberFormat="1" applyBorder="1"/>
    <xf numFmtId="0" fontId="0" fillId="0" borderId="0" xfId="0" applyBorder="1" applyAlignment="1">
      <alignment horizontal="right"/>
    </xf>
    <xf numFmtId="2" fontId="11" fillId="0" borderId="5" xfId="2" applyNumberFormat="1" applyFont="1" applyFill="1" applyBorder="1" applyAlignment="1">
      <alignment horizontal="left" vertical="center" wrapText="1"/>
    </xf>
    <xf numFmtId="2" fontId="0" fillId="0" borderId="27" xfId="0" applyNumberFormat="1" applyBorder="1"/>
    <xf numFmtId="2" fontId="0" fillId="0" borderId="27" xfId="0" applyNumberFormat="1" applyFont="1" applyBorder="1"/>
    <xf numFmtId="2" fontId="0" fillId="0" borderId="20" xfId="0" applyNumberFormat="1" applyBorder="1"/>
    <xf numFmtId="0" fontId="0" fillId="0" borderId="20" xfId="0" applyFont="1" applyBorder="1" applyAlignment="1">
      <alignment horizontal="right"/>
    </xf>
    <xf numFmtId="2" fontId="11" fillId="0" borderId="5" xfId="2" applyNumberFormat="1" applyFont="1" applyFill="1" applyBorder="1" applyAlignment="1">
      <alignment horizontal="left" vertical="center"/>
    </xf>
    <xf numFmtId="2" fontId="0" fillId="0" borderId="27" xfId="0" applyNumberFormat="1" applyFill="1" applyBorder="1"/>
    <xf numFmtId="2" fontId="0" fillId="0" borderId="27" xfId="0" applyNumberFormat="1" applyFont="1" applyFill="1" applyBorder="1"/>
    <xf numFmtId="2" fontId="0" fillId="0" borderId="20" xfId="0" applyNumberFormat="1" applyFont="1" applyFill="1" applyBorder="1"/>
    <xf numFmtId="0" fontId="0" fillId="0" borderId="20" xfId="0" applyFill="1" applyBorder="1"/>
    <xf numFmtId="0" fontId="0" fillId="0" borderId="27" xfId="0" applyFill="1" applyBorder="1"/>
    <xf numFmtId="0" fontId="3" fillId="0" borderId="5" xfId="0" applyFont="1" applyFill="1" applyBorder="1" applyAlignment="1">
      <alignment horizontal="left"/>
    </xf>
    <xf numFmtId="2" fontId="0" fillId="0" borderId="32" xfId="0" applyNumberFormat="1" applyBorder="1"/>
    <xf numFmtId="2" fontId="11" fillId="0" borderId="7" xfId="2" applyNumberFormat="1" applyFont="1" applyFill="1" applyBorder="1" applyAlignment="1">
      <alignment horizontal="left" vertical="center" wrapText="1"/>
    </xf>
    <xf numFmtId="0" fontId="0" fillId="0" borderId="32" xfId="0" applyBorder="1"/>
    <xf numFmtId="2" fontId="11" fillId="0" borderId="7" xfId="2" applyNumberFormat="1" applyFont="1" applyFill="1" applyBorder="1" applyAlignment="1">
      <alignment horizontal="left" vertical="center"/>
    </xf>
    <xf numFmtId="2" fontId="0" fillId="0" borderId="32" xfId="0" applyNumberFormat="1" applyFill="1" applyBorder="1"/>
    <xf numFmtId="2" fontId="0" fillId="0" borderId="28" xfId="0" applyNumberFormat="1" applyFont="1" applyFill="1" applyBorder="1"/>
    <xf numFmtId="0" fontId="13" fillId="0" borderId="37" xfId="3" applyBorder="1"/>
    <xf numFmtId="0" fontId="0" fillId="0" borderId="5"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3" fillId="0" borderId="0" xfId="0" applyFont="1" applyAlignment="1">
      <alignment horizontal="left"/>
    </xf>
    <xf numFmtId="0" fontId="0" fillId="2" borderId="1" xfId="0" applyFill="1" applyBorder="1"/>
    <xf numFmtId="0" fontId="8" fillId="0" borderId="0" xfId="0" applyFont="1"/>
    <xf numFmtId="0" fontId="14" fillId="0" borderId="0" xfId="0" applyFont="1"/>
    <xf numFmtId="0" fontId="0" fillId="6" borderId="1" xfId="0" applyFill="1" applyBorder="1"/>
    <xf numFmtId="0" fontId="15" fillId="5" borderId="5" xfId="0" applyFont="1" applyFill="1" applyBorder="1"/>
    <xf numFmtId="0" fontId="0" fillId="5" borderId="27" xfId="0" applyFill="1" applyBorder="1" applyAlignment="1">
      <alignment wrapText="1"/>
    </xf>
    <xf numFmtId="0" fontId="0" fillId="5" borderId="20" xfId="0" applyFill="1" applyBorder="1"/>
    <xf numFmtId="0" fontId="13" fillId="5" borderId="27" xfId="3" applyFill="1" applyBorder="1"/>
    <xf numFmtId="0" fontId="3" fillId="0" borderId="5" xfId="0" applyFont="1" applyBorder="1"/>
    <xf numFmtId="0" fontId="3" fillId="0" borderId="43" xfId="0" applyFont="1" applyBorder="1"/>
    <xf numFmtId="2" fontId="11" fillId="0" borderId="15" xfId="2" applyNumberFormat="1" applyFont="1" applyBorder="1" applyAlignment="1">
      <alignment horizontal="center" vertical="center" wrapText="1"/>
    </xf>
    <xf numFmtId="2" fontId="11" fillId="0" borderId="11" xfId="2" applyNumberFormat="1" applyFont="1" applyBorder="1" applyAlignment="1">
      <alignment horizontal="center" vertical="center" wrapText="1"/>
    </xf>
    <xf numFmtId="2" fontId="11" fillId="0" borderId="10" xfId="2" applyNumberFormat="1" applyFont="1" applyBorder="1" applyAlignment="1">
      <alignment horizontal="center" vertical="center" wrapText="1"/>
    </xf>
    <xf numFmtId="0" fontId="0" fillId="0" borderId="18" xfId="0" applyFont="1" applyBorder="1"/>
    <xf numFmtId="0" fontId="0" fillId="0" borderId="1" xfId="0" applyFont="1" applyBorder="1"/>
    <xf numFmtId="0" fontId="0" fillId="0" borderId="1" xfId="0" applyFont="1" applyFill="1" applyBorder="1"/>
    <xf numFmtId="1" fontId="0" fillId="0" borderId="1" xfId="0" applyNumberFormat="1" applyFont="1" applyBorder="1" applyAlignment="1">
      <alignment horizontal="center"/>
    </xf>
    <xf numFmtId="0" fontId="0" fillId="3" borderId="1" xfId="0" applyFont="1" applyFill="1" applyBorder="1"/>
    <xf numFmtId="164" fontId="0" fillId="2" borderId="1" xfId="0" applyNumberFormat="1" applyFont="1" applyFill="1" applyBorder="1"/>
    <xf numFmtId="2" fontId="0" fillId="0" borderId="1" xfId="0" applyNumberFormat="1" applyFont="1" applyBorder="1" applyAlignment="1">
      <alignment horizontal="center"/>
    </xf>
    <xf numFmtId="166" fontId="0" fillId="0" borderId="1" xfId="0" applyNumberFormat="1" applyFont="1" applyBorder="1" applyAlignment="1">
      <alignment horizontal="center"/>
    </xf>
    <xf numFmtId="165" fontId="0" fillId="0" borderId="0" xfId="0" applyNumberFormat="1" applyFont="1"/>
    <xf numFmtId="0" fontId="0" fillId="0" borderId="2" xfId="0" applyFont="1" applyFill="1" applyBorder="1"/>
    <xf numFmtId="2" fontId="0" fillId="2" borderId="16" xfId="0" applyNumberFormat="1" applyFont="1" applyFill="1" applyBorder="1"/>
    <xf numFmtId="0" fontId="0" fillId="0" borderId="18" xfId="0" applyFont="1" applyFill="1" applyBorder="1"/>
    <xf numFmtId="165" fontId="0" fillId="2" borderId="16" xfId="0" applyNumberFormat="1" applyFont="1" applyFill="1" applyBorder="1"/>
    <xf numFmtId="167" fontId="0" fillId="2" borderId="16" xfId="0" applyNumberFormat="1" applyFont="1" applyFill="1" applyBorder="1"/>
    <xf numFmtId="0" fontId="0" fillId="4" borderId="8" xfId="0" applyFont="1" applyFill="1" applyBorder="1" applyAlignment="1">
      <alignment horizontal="center" vertical="top"/>
    </xf>
    <xf numFmtId="0" fontId="16" fillId="4" borderId="12" xfId="0" applyFont="1" applyFill="1" applyBorder="1" applyAlignment="1">
      <alignment horizontal="center" vertical="top"/>
    </xf>
    <xf numFmtId="0" fontId="0" fillId="4" borderId="12" xfId="0" applyFont="1" applyFill="1" applyBorder="1" applyAlignment="1">
      <alignment horizontal="center" vertical="top"/>
    </xf>
    <xf numFmtId="0" fontId="0" fillId="4" borderId="12" xfId="0" applyFont="1" applyFill="1" applyBorder="1" applyAlignment="1">
      <alignment horizontal="center"/>
    </xf>
    <xf numFmtId="0" fontId="17" fillId="4" borderId="9" xfId="0" applyFont="1" applyFill="1" applyBorder="1"/>
    <xf numFmtId="0" fontId="0" fillId="4" borderId="2" xfId="0" applyFont="1" applyFill="1" applyBorder="1"/>
    <xf numFmtId="0" fontId="0" fillId="4" borderId="13" xfId="0" applyFont="1" applyFill="1" applyBorder="1"/>
    <xf numFmtId="0" fontId="0" fillId="4" borderId="3" xfId="0" applyFont="1" applyFill="1" applyBorder="1"/>
    <xf numFmtId="0" fontId="0" fillId="0" borderId="4" xfId="0" applyFont="1" applyBorder="1"/>
    <xf numFmtId="168" fontId="0" fillId="0" borderId="25" xfId="0" applyNumberFormat="1" applyFont="1" applyBorder="1"/>
    <xf numFmtId="168" fontId="0" fillId="0" borderId="38" xfId="0" applyNumberFormat="1" applyFont="1" applyBorder="1"/>
    <xf numFmtId="168" fontId="0" fillId="0" borderId="29" xfId="0" applyNumberFormat="1" applyFont="1" applyBorder="1"/>
    <xf numFmtId="168" fontId="0" fillId="0" borderId="38" xfId="0" quotePrefix="1" applyNumberFormat="1" applyFont="1" applyBorder="1"/>
    <xf numFmtId="2" fontId="0" fillId="0" borderId="40" xfId="0" applyNumberFormat="1" applyFont="1" applyBorder="1"/>
    <xf numFmtId="2" fontId="0" fillId="0" borderId="44" xfId="0" applyNumberFormat="1" applyFont="1" applyBorder="1"/>
    <xf numFmtId="2" fontId="0" fillId="0" borderId="37" xfId="0" applyNumberFormat="1" applyFont="1" applyBorder="1"/>
    <xf numFmtId="2" fontId="0" fillId="0" borderId="44" xfId="0" quotePrefix="1" applyNumberFormat="1" applyFont="1" applyBorder="1"/>
    <xf numFmtId="0" fontId="0" fillId="4" borderId="6" xfId="0" applyFont="1" applyFill="1" applyBorder="1"/>
    <xf numFmtId="0" fontId="0" fillId="4" borderId="14" xfId="0" applyFont="1" applyFill="1" applyBorder="1"/>
    <xf numFmtId="0" fontId="0" fillId="4" borderId="4" xfId="0" applyFont="1" applyFill="1" applyBorder="1"/>
    <xf numFmtId="0" fontId="3" fillId="0" borderId="0" xfId="0" applyFont="1" applyFill="1" applyAlignment="1">
      <alignment horizontal="left"/>
    </xf>
    <xf numFmtId="0" fontId="0" fillId="0" borderId="0" xfId="0" applyFont="1" applyFill="1" applyBorder="1"/>
    <xf numFmtId="0" fontId="0" fillId="0" borderId="0" xfId="0" applyFont="1" applyAlignment="1">
      <alignment horizontal="right"/>
    </xf>
    <xf numFmtId="0" fontId="0" fillId="2" borderId="1" xfId="0" applyFont="1" applyFill="1" applyBorder="1"/>
    <xf numFmtId="0" fontId="0" fillId="0" borderId="21" xfId="0" applyFont="1" applyBorder="1" applyAlignment="1">
      <alignment horizontal="right"/>
    </xf>
    <xf numFmtId="0" fontId="0" fillId="0" borderId="23" xfId="0" applyFont="1" applyBorder="1" applyAlignment="1">
      <alignment horizontal="right"/>
    </xf>
    <xf numFmtId="0" fontId="0" fillId="0" borderId="0" xfId="0" applyFont="1" applyAlignment="1">
      <alignment horizontal="left"/>
    </xf>
    <xf numFmtId="0" fontId="13" fillId="5" borderId="20" xfId="3" applyFill="1" applyBorder="1"/>
    <xf numFmtId="166" fontId="4" fillId="0" borderId="0" xfId="0" applyNumberFormat="1" applyFont="1"/>
    <xf numFmtId="0" fontId="6" fillId="0" borderId="0" xfId="0" applyFont="1"/>
    <xf numFmtId="0" fontId="19" fillId="0" borderId="0" xfId="0" applyFont="1"/>
    <xf numFmtId="0" fontId="20" fillId="0" borderId="0" xfId="0" applyFont="1"/>
    <xf numFmtId="0" fontId="6" fillId="0" borderId="1" xfId="0" applyFont="1" applyBorder="1"/>
    <xf numFmtId="0" fontId="6" fillId="0" borderId="0" xfId="0" applyFont="1" applyBorder="1"/>
    <xf numFmtId="0" fontId="18" fillId="0" borderId="45" xfId="0" applyFont="1" applyBorder="1"/>
    <xf numFmtId="0" fontId="6" fillId="0" borderId="46" xfId="0" applyFont="1" applyBorder="1"/>
    <xf numFmtId="0" fontId="6" fillId="0" borderId="43" xfId="0" applyFont="1" applyBorder="1"/>
    <xf numFmtId="0" fontId="6" fillId="0" borderId="2" xfId="0" applyFont="1" applyBorder="1"/>
    <xf numFmtId="0" fontId="6" fillId="0" borderId="3" xfId="0" applyFont="1" applyBorder="1"/>
    <xf numFmtId="0" fontId="0" fillId="0" borderId="2" xfId="0" applyFont="1" applyBorder="1"/>
    <xf numFmtId="0" fontId="0" fillId="0" borderId="3" xfId="0" applyFont="1" applyBorder="1"/>
    <xf numFmtId="0" fontId="6" fillId="0" borderId="4" xfId="0" applyFont="1" applyBorder="1"/>
    <xf numFmtId="0" fontId="6" fillId="0" borderId="6" xfId="0" applyFont="1" applyBorder="1"/>
    <xf numFmtId="0" fontId="6" fillId="0" borderId="47" xfId="0" applyFont="1" applyBorder="1"/>
    <xf numFmtId="0" fontId="0" fillId="0" borderId="3" xfId="0" applyBorder="1"/>
    <xf numFmtId="0" fontId="0" fillId="0" borderId="2" xfId="0" applyBorder="1"/>
    <xf numFmtId="0" fontId="0" fillId="0" borderId="1" xfId="0" applyBorder="1" applyAlignment="1"/>
    <xf numFmtId="0" fontId="0" fillId="0" borderId="0" xfId="0" applyFont="1" applyBorder="1" applyAlignment="1">
      <alignment horizontal="right"/>
    </xf>
    <xf numFmtId="2" fontId="0" fillId="0" borderId="0" xfId="0" applyNumberFormat="1" applyFont="1" applyBorder="1"/>
    <xf numFmtId="2" fontId="0" fillId="0" borderId="0" xfId="0" quotePrefix="1" applyNumberFormat="1" applyFont="1" applyBorder="1"/>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166" fontId="0" fillId="0" borderId="1" xfId="0" applyNumberFormat="1" applyFont="1" applyFill="1" applyBorder="1" applyAlignment="1">
      <alignment horizontal="center" vertical="center"/>
    </xf>
    <xf numFmtId="9" fontId="0" fillId="3" borderId="1" xfId="1" applyFont="1" applyFill="1" applyBorder="1"/>
    <xf numFmtId="0" fontId="0" fillId="3" borderId="1" xfId="1" applyNumberFormat="1" applyFont="1" applyFill="1" applyBorder="1"/>
    <xf numFmtId="165" fontId="6" fillId="2" borderId="1" xfId="0" applyNumberFormat="1" applyFont="1" applyFill="1" applyBorder="1"/>
    <xf numFmtId="2" fontId="0" fillId="2" borderId="1" xfId="0" applyNumberFormat="1" applyFont="1" applyFill="1" applyBorder="1"/>
    <xf numFmtId="0" fontId="0" fillId="0" borderId="1" xfId="0" applyNumberFormat="1" applyFont="1" applyFill="1" applyBorder="1" applyAlignment="1">
      <alignment horizontal="center" vertical="center"/>
    </xf>
    <xf numFmtId="165" fontId="0" fillId="2" borderId="1" xfId="0" applyNumberFormat="1" applyFont="1" applyFill="1" applyBorder="1"/>
    <xf numFmtId="2" fontId="0" fillId="3" borderId="1" xfId="0" applyNumberFormat="1" applyFont="1" applyFill="1" applyBorder="1"/>
    <xf numFmtId="166" fontId="0" fillId="2" borderId="1" xfId="0" applyNumberFormat="1" applyFont="1" applyFill="1" applyBorder="1"/>
    <xf numFmtId="166" fontId="0" fillId="3" borderId="1" xfId="0" applyNumberFormat="1" applyFont="1" applyFill="1" applyBorder="1"/>
    <xf numFmtId="2" fontId="6" fillId="3" borderId="1" xfId="0" applyNumberFormat="1" applyFont="1" applyFill="1" applyBorder="1"/>
    <xf numFmtId="2" fontId="6" fillId="3" borderId="1" xfId="1" applyNumberFormat="1" applyFont="1" applyFill="1" applyBorder="1"/>
    <xf numFmtId="166" fontId="6" fillId="3" borderId="1" xfId="1" applyNumberFormat="1" applyFont="1" applyFill="1" applyBorder="1"/>
    <xf numFmtId="1" fontId="6" fillId="3" borderId="1" xfId="1" applyNumberFormat="1" applyFont="1" applyFill="1" applyBorder="1"/>
    <xf numFmtId="2" fontId="6" fillId="2" borderId="1" xfId="0" applyNumberFormat="1" applyFont="1" applyFill="1" applyBorder="1"/>
    <xf numFmtId="166" fontId="6" fillId="2" borderId="1" xfId="0" applyNumberFormat="1" applyFont="1" applyFill="1" applyBorder="1"/>
    <xf numFmtId="0" fontId="6" fillId="3" borderId="1" xfId="0" applyFont="1" applyFill="1" applyBorder="1"/>
    <xf numFmtId="1" fontId="6" fillId="2" borderId="1" xfId="0" applyNumberFormat="1" applyFont="1" applyFill="1" applyBorder="1"/>
    <xf numFmtId="0" fontId="0" fillId="3" borderId="1" xfId="0" applyFont="1" applyFill="1" applyBorder="1" applyAlignment="1">
      <alignment horizontal="right"/>
    </xf>
    <xf numFmtId="165" fontId="0" fillId="3" borderId="1" xfId="0" applyNumberFormat="1" applyFill="1" applyBorder="1"/>
    <xf numFmtId="0" fontId="0" fillId="0" borderId="1" xfId="0" applyFill="1" applyBorder="1"/>
    <xf numFmtId="0" fontId="0" fillId="3" borderId="1" xfId="0" applyFill="1" applyBorder="1" applyAlignment="1">
      <alignment horizontal="right"/>
    </xf>
    <xf numFmtId="0" fontId="3" fillId="4" borderId="45" xfId="0" applyFont="1" applyFill="1" applyBorder="1"/>
    <xf numFmtId="0" fontId="0" fillId="4" borderId="46" xfId="0" applyFill="1" applyBorder="1"/>
    <xf numFmtId="0" fontId="0" fillId="4" borderId="43" xfId="0" applyFill="1" applyBorder="1"/>
    <xf numFmtId="0" fontId="0" fillId="4" borderId="2" xfId="0" applyFill="1" applyBorder="1"/>
    <xf numFmtId="0" fontId="0" fillId="4" borderId="0" xfId="0" applyFill="1" applyBorder="1"/>
    <xf numFmtId="0" fontId="0" fillId="4" borderId="3" xfId="0" applyFill="1" applyBorder="1"/>
    <xf numFmtId="0" fontId="0" fillId="4" borderId="6" xfId="0" applyFill="1" applyBorder="1"/>
    <xf numFmtId="0" fontId="0" fillId="4" borderId="47" xfId="0" applyFill="1" applyBorder="1"/>
    <xf numFmtId="0" fontId="0" fillId="4" borderId="4" xfId="0" applyFill="1" applyBorder="1"/>
    <xf numFmtId="2" fontId="0" fillId="2" borderId="1" xfId="0" applyNumberFormat="1" applyFill="1" applyBorder="1"/>
    <xf numFmtId="0" fontId="0" fillId="5" borderId="27" xfId="0" applyFill="1" applyBorder="1"/>
    <xf numFmtId="0" fontId="15" fillId="5" borderId="27" xfId="0" applyFont="1" applyFill="1" applyBorder="1"/>
    <xf numFmtId="164" fontId="0" fillId="2" borderId="1" xfId="0" applyNumberFormat="1" applyFill="1" applyBorder="1"/>
    <xf numFmtId="0" fontId="13" fillId="0" borderId="27" xfId="3" applyBorder="1"/>
    <xf numFmtId="0" fontId="0" fillId="3" borderId="1" xfId="0" applyFont="1" applyFill="1" applyBorder="1" applyAlignment="1">
      <alignment horizontal="center" vertical="center"/>
    </xf>
    <xf numFmtId="0" fontId="0" fillId="0" borderId="1" xfId="0" applyFont="1" applyBorder="1" applyAlignment="1">
      <alignment horizontal="left"/>
    </xf>
    <xf numFmtId="0" fontId="0" fillId="0" borderId="5"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0" fillId="0" borderId="23" xfId="0" applyBorder="1" applyAlignment="1">
      <alignment horizontal="left"/>
    </xf>
    <xf numFmtId="0" fontId="0" fillId="0" borderId="40" xfId="0" applyBorder="1" applyAlignment="1">
      <alignment horizontal="left"/>
    </xf>
  </cellXfs>
  <cellStyles count="4">
    <cellStyle name="Hyperlink" xfId="3" builtinId="8"/>
    <cellStyle name="Normal" xfId="0" builtinId="0"/>
    <cellStyle name="Normal 2" xfId="2" xr:uid="{00000000-0005-0000-0000-000002000000}"/>
    <cellStyle name="Percent" xfId="1" builtinId="5"/>
  </cellStyles>
  <dxfs count="63">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1281792303"/>
        <c:axId val="1697219023"/>
      </c:scatterChart>
      <c:valAx>
        <c:axId val="12817923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219023"/>
        <c:crosses val="autoZero"/>
        <c:crossBetween val="midCat"/>
      </c:valAx>
      <c:valAx>
        <c:axId val="1697219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7923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192368</xdr:colOff>
      <xdr:row>20</xdr:row>
      <xdr:rowOff>159</xdr:rowOff>
    </xdr:from>
    <xdr:to>
      <xdr:col>4</xdr:col>
      <xdr:colOff>504788</xdr:colOff>
      <xdr:row>24</xdr:row>
      <xdr:rowOff>94119</xdr:rowOff>
    </xdr:to>
    <xdr:sp macro="" textlink="">
      <xdr:nvSpPr>
        <xdr:cNvPr id="3" name="Arrow: Down 2">
          <a:extLst>
            <a:ext uri="{FF2B5EF4-FFF2-40B4-BE49-F238E27FC236}">
              <a16:creationId xmlns:a16="http://schemas.microsoft.com/office/drawing/2014/main" id="{4E91F1E4-8BB0-40DB-8A4F-A9FC9F71DEBF}"/>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20</xdr:row>
      <xdr:rowOff>91440</xdr:rowOff>
    </xdr:from>
    <xdr:to>
      <xdr:col>2</xdr:col>
      <xdr:colOff>1153483</xdr:colOff>
      <xdr:row>23</xdr:row>
      <xdr:rowOff>157978</xdr:rowOff>
    </xdr:to>
    <xdr:sp macro="" textlink="">
      <xdr:nvSpPr>
        <xdr:cNvPr id="4" name="Arrow: Down 3">
          <a:extLst>
            <a:ext uri="{FF2B5EF4-FFF2-40B4-BE49-F238E27FC236}">
              <a16:creationId xmlns:a16="http://schemas.microsoft.com/office/drawing/2014/main" id="{085C1061-245C-4BB0-8896-49B800A26AE3}"/>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14</xdr:row>
      <xdr:rowOff>0</xdr:rowOff>
    </xdr:from>
    <xdr:to>
      <xdr:col>16</xdr:col>
      <xdr:colOff>0</xdr:colOff>
      <xdr:row>30</xdr:row>
      <xdr:rowOff>167640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171950" y="2766060"/>
          <a:ext cx="8949690" cy="310134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120lb robot + 20lb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4</xdr:row>
      <xdr:rowOff>95250</xdr:rowOff>
    </xdr:from>
    <xdr:to>
      <xdr:col>18</xdr:col>
      <xdr:colOff>163830</xdr:colOff>
      <xdr:row>24</xdr:row>
      <xdr:rowOff>66294</xdr:rowOff>
    </xdr:to>
    <xdr:graphicFrame macro="">
      <xdr:nvGraphicFramePr>
        <xdr:cNvPr id="3" name="Chart 2">
          <a:extLst>
            <a:ext uri="{FF2B5EF4-FFF2-40B4-BE49-F238E27FC236}">
              <a16:creationId xmlns:a16="http://schemas.microsoft.com/office/drawing/2014/main" id="{2A68D778-938C-4E56-A5AE-EC74EAE80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3810</xdr:colOff>
      <xdr:row>10</xdr:row>
      <xdr:rowOff>60960</xdr:rowOff>
    </xdr:from>
    <xdr:to>
      <xdr:col>7</xdr:col>
      <xdr:colOff>316230</xdr:colOff>
      <xdr:row>14</xdr:row>
      <xdr:rowOff>49530</xdr:rowOff>
    </xdr:to>
    <xdr:sp macro="" textlink="">
      <xdr:nvSpPr>
        <xdr:cNvPr id="3" name="Arrow: Down 2">
          <a:extLst>
            <a:ext uri="{FF2B5EF4-FFF2-40B4-BE49-F238E27FC236}">
              <a16:creationId xmlns:a16="http://schemas.microsoft.com/office/drawing/2014/main" id="{4C11F0DF-0A6C-4ADD-ADDA-3CD85020577F}"/>
            </a:ext>
          </a:extLst>
        </xdr:cNvPr>
        <xdr:cNvSpPr/>
      </xdr:nvSpPr>
      <xdr:spPr>
        <a:xfrm rot="2304901">
          <a:off x="4869180" y="2095500"/>
          <a:ext cx="312420" cy="53721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57151</xdr:colOff>
      <xdr:row>10</xdr:row>
      <xdr:rowOff>60960</xdr:rowOff>
    </xdr:from>
    <xdr:to>
      <xdr:col>9</xdr:col>
      <xdr:colOff>369571</xdr:colOff>
      <xdr:row>14</xdr:row>
      <xdr:rowOff>49530</xdr:rowOff>
    </xdr:to>
    <xdr:sp macro="" textlink="">
      <xdr:nvSpPr>
        <xdr:cNvPr id="5" name="Arrow: Down 4">
          <a:extLst>
            <a:ext uri="{FF2B5EF4-FFF2-40B4-BE49-F238E27FC236}">
              <a16:creationId xmlns:a16="http://schemas.microsoft.com/office/drawing/2014/main" id="{7038A48F-48A9-4BB8-8DCD-7CAAF04A3ED7}"/>
            </a:ext>
          </a:extLst>
        </xdr:cNvPr>
        <xdr:cNvSpPr/>
      </xdr:nvSpPr>
      <xdr:spPr>
        <a:xfrm rot="19295099" flipH="1">
          <a:off x="6164581" y="2095500"/>
          <a:ext cx="312420" cy="53721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19</xdr:col>
      <xdr:colOff>522568</xdr:colOff>
      <xdr:row>22</xdr:row>
      <xdr:rowOff>84618</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9</xdr:col>
      <xdr:colOff>685800</xdr:colOff>
      <xdr:row>11</xdr:row>
      <xdr:rowOff>60960</xdr:rowOff>
    </xdr:from>
    <xdr:to>
      <xdr:col>9</xdr:col>
      <xdr:colOff>998220</xdr:colOff>
      <xdr:row>14</xdr:row>
      <xdr:rowOff>127498</xdr:rowOff>
    </xdr:to>
    <xdr:sp macro="" textlink="">
      <xdr:nvSpPr>
        <xdr:cNvPr id="4" name="Arrow: Down 3">
          <a:extLst>
            <a:ext uri="{FF2B5EF4-FFF2-40B4-BE49-F238E27FC236}">
              <a16:creationId xmlns:a16="http://schemas.microsoft.com/office/drawing/2014/main" id="{576B5D63-1BBF-4B0A-AA3C-413B5561090D}"/>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201930</xdr:colOff>
      <xdr:row>10</xdr:row>
      <xdr:rowOff>137159</xdr:rowOff>
    </xdr:from>
    <xdr:to>
      <xdr:col>11</xdr:col>
      <xdr:colOff>514350</xdr:colOff>
      <xdr:row>15</xdr:row>
      <xdr:rowOff>48239</xdr:rowOff>
    </xdr:to>
    <xdr:sp macro="" textlink="">
      <xdr:nvSpPr>
        <xdr:cNvPr id="5" name="Arrow: Down 4">
          <a:extLst>
            <a:ext uri="{FF2B5EF4-FFF2-40B4-BE49-F238E27FC236}">
              <a16:creationId xmlns:a16="http://schemas.microsoft.com/office/drawing/2014/main" id="{F86D8FA4-A540-464C-B523-A8B860F04CD3}"/>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VN-DesignCalc.201601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Custom 2-Speed Drive"/>
      <sheetName val="VEXpro 3-CIM Ball Shifter"/>
      <sheetName val="VEXpro 2-CIM Ball Shifter"/>
      <sheetName val="WCP DS"/>
      <sheetName val="Custom 1-Speed Drive"/>
      <sheetName val="VEXpro SS,DR"/>
      <sheetName val="WCP SS"/>
      <sheetName val="Articulating Drive"/>
      <sheetName val="Rotary Mechanism"/>
      <sheetName val="Linear Mechanism"/>
      <sheetName val="Intake Mechanism"/>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C4" t="str">
            <v>Free Speed (RPM)</v>
          </cell>
          <cell r="D4" t="str">
            <v>Stall Torque (N-m)</v>
          </cell>
          <cell r="E4" t="str">
            <v>Stall Current (Amp)</v>
          </cell>
          <cell r="F4" t="str">
            <v>Free Current (Amp)</v>
          </cell>
          <cell r="G4" t="str">
            <v>Power (W)</v>
          </cell>
        </row>
        <row r="5">
          <cell r="B5" t="str">
            <v>CIM</v>
          </cell>
          <cell r="C5">
            <v>5330</v>
          </cell>
          <cell r="D5">
            <v>2.41</v>
          </cell>
          <cell r="E5">
            <v>131</v>
          </cell>
          <cell r="F5">
            <v>2.7</v>
          </cell>
          <cell r="G5">
            <v>336.28916760964142</v>
          </cell>
          <cell r="J5" t="str">
            <v>1 Mini CIM</v>
          </cell>
          <cell r="K5">
            <v>5840</v>
          </cell>
          <cell r="L5">
            <v>1.41</v>
          </cell>
          <cell r="M5">
            <v>89</v>
          </cell>
          <cell r="N5">
            <v>3</v>
          </cell>
        </row>
        <row r="6">
          <cell r="B6" t="str">
            <v>Mini CIM</v>
          </cell>
          <cell r="C6">
            <v>5840</v>
          </cell>
          <cell r="D6">
            <v>1.41</v>
          </cell>
          <cell r="E6">
            <v>89</v>
          </cell>
          <cell r="F6">
            <v>3</v>
          </cell>
          <cell r="G6">
            <v>215.57608788933157</v>
          </cell>
          <cell r="J6" t="str">
            <v>1 CIM</v>
          </cell>
          <cell r="K6">
            <v>5330</v>
          </cell>
          <cell r="L6">
            <v>2.41</v>
          </cell>
          <cell r="M6">
            <v>131</v>
          </cell>
          <cell r="N6">
            <v>2.7</v>
          </cell>
        </row>
        <row r="7">
          <cell r="B7" t="str">
            <v>BAG Motor</v>
          </cell>
          <cell r="C7">
            <v>13180</v>
          </cell>
          <cell r="D7">
            <v>0.43</v>
          </cell>
          <cell r="E7">
            <v>53</v>
          </cell>
          <cell r="F7">
            <v>1.8</v>
          </cell>
          <cell r="G7">
            <v>148.37218504128995</v>
          </cell>
          <cell r="J7" t="str">
            <v>2 Mini CIM</v>
          </cell>
          <cell r="K7">
            <v>5840</v>
          </cell>
          <cell r="L7">
            <v>2.82</v>
          </cell>
          <cell r="M7">
            <v>178</v>
          </cell>
          <cell r="N7">
            <v>6</v>
          </cell>
        </row>
        <row r="8">
          <cell r="B8" t="str">
            <v>775pro</v>
          </cell>
          <cell r="C8">
            <v>18730</v>
          </cell>
          <cell r="D8">
            <v>0.71</v>
          </cell>
          <cell r="E8">
            <v>134</v>
          </cell>
          <cell r="F8">
            <v>0.7</v>
          </cell>
          <cell r="G8">
            <v>348.14867987694288</v>
          </cell>
          <cell r="J8" t="str">
            <v>1 CIM + 1 Mini CIM (Copioli)</v>
          </cell>
          <cell r="K8">
            <v>5508</v>
          </cell>
          <cell r="L8">
            <v>3.82</v>
          </cell>
          <cell r="M8">
            <v>220</v>
          </cell>
          <cell r="N8">
            <v>8.16</v>
          </cell>
        </row>
        <row r="9">
          <cell r="B9" t="str">
            <v>AM 775</v>
          </cell>
          <cell r="C9">
            <v>5800</v>
          </cell>
          <cell r="D9">
            <v>0.28000000000000003</v>
          </cell>
          <cell r="E9">
            <v>18</v>
          </cell>
          <cell r="F9">
            <v>1.6</v>
          </cell>
          <cell r="G9">
            <v>42.516220578581873</v>
          </cell>
          <cell r="J9" t="str">
            <v>3 Mini CIM</v>
          </cell>
          <cell r="K9">
            <v>5840</v>
          </cell>
          <cell r="L9">
            <v>4.2299999999999995</v>
          </cell>
          <cell r="M9">
            <v>267</v>
          </cell>
          <cell r="N9">
            <v>9</v>
          </cell>
        </row>
        <row r="10">
          <cell r="B10" t="str">
            <v>AM 9015</v>
          </cell>
          <cell r="C10">
            <v>14270</v>
          </cell>
          <cell r="D10">
            <v>0.36</v>
          </cell>
          <cell r="E10">
            <v>71</v>
          </cell>
          <cell r="F10">
            <v>3.7</v>
          </cell>
          <cell r="G10">
            <v>134.49158150017902</v>
          </cell>
          <cell r="J10" t="str">
            <v>2 CIM</v>
          </cell>
          <cell r="K10">
            <v>5330</v>
          </cell>
          <cell r="L10">
            <v>4.82</v>
          </cell>
          <cell r="M10">
            <v>262</v>
          </cell>
          <cell r="N10">
            <v>5.4</v>
          </cell>
        </row>
        <row r="11">
          <cell r="B11" t="str">
            <v>1 CIM + 1 Mini CIM (Copioli)</v>
          </cell>
          <cell r="C11">
            <v>5508</v>
          </cell>
          <cell r="D11">
            <v>3.82</v>
          </cell>
          <cell r="E11">
            <v>220</v>
          </cell>
          <cell r="F11">
            <v>8.16</v>
          </cell>
          <cell r="G11">
            <v>550.84057269512709</v>
          </cell>
          <cell r="J11" t="str">
            <v>1 CIM + 2 Mini CIM (Copioli)</v>
          </cell>
          <cell r="K11">
            <v>5593</v>
          </cell>
          <cell r="L11">
            <v>5.23</v>
          </cell>
          <cell r="M11">
            <v>309</v>
          </cell>
          <cell r="N11">
            <v>9.6199999999999992</v>
          </cell>
        </row>
        <row r="12">
          <cell r="B12" t="str">
            <v>1 CIM + 2 Mini CIM (Copioli)</v>
          </cell>
          <cell r="C12">
            <v>5593</v>
          </cell>
          <cell r="D12">
            <v>5.23</v>
          </cell>
          <cell r="E12">
            <v>309</v>
          </cell>
          <cell r="F12">
            <v>9.6199999999999992</v>
          </cell>
          <cell r="G12">
            <v>765.79959942741618</v>
          </cell>
          <cell r="J12" t="str">
            <v>2 CIM + 1 Mini CIM (Copioli)</v>
          </cell>
          <cell r="K12">
            <v>5437</v>
          </cell>
          <cell r="L12">
            <v>6.23</v>
          </cell>
          <cell r="M12">
            <v>351</v>
          </cell>
          <cell r="N12">
            <v>9.15</v>
          </cell>
        </row>
        <row r="13">
          <cell r="B13" t="str">
            <v>2 CIM + 1 Mini CIM (Copioli)</v>
          </cell>
          <cell r="C13">
            <v>5437</v>
          </cell>
          <cell r="D13">
            <v>6.23</v>
          </cell>
          <cell r="E13">
            <v>351</v>
          </cell>
          <cell r="F13">
            <v>9.15</v>
          </cell>
          <cell r="G13">
            <v>886.78023812205663</v>
          </cell>
          <cell r="J13" t="str">
            <v>3 CIM</v>
          </cell>
          <cell r="K13">
            <v>5330</v>
          </cell>
          <cell r="L13">
            <v>7.23</v>
          </cell>
          <cell r="M13">
            <v>393</v>
          </cell>
          <cell r="N13">
            <v>8.1000000000000014</v>
          </cell>
        </row>
        <row r="14">
          <cell r="B14" t="str">
            <v>BB RS-775-18</v>
          </cell>
          <cell r="C14">
            <v>13050</v>
          </cell>
          <cell r="D14">
            <v>0.72</v>
          </cell>
          <cell r="E14">
            <v>97</v>
          </cell>
          <cell r="F14">
            <v>2.7</v>
          </cell>
          <cell r="G14">
            <v>245.98670477608078</v>
          </cell>
        </row>
        <row r="15">
          <cell r="B15" t="str">
            <v>BB RS-550</v>
          </cell>
          <cell r="C15">
            <v>19000</v>
          </cell>
          <cell r="D15">
            <v>0.38</v>
          </cell>
          <cell r="E15">
            <v>84</v>
          </cell>
          <cell r="F15">
            <v>0.4</v>
          </cell>
          <cell r="G15">
            <v>189.01915799098589</v>
          </cell>
        </row>
        <row r="16">
          <cell r="G16">
            <v>0</v>
          </cell>
          <cell r="J16" t="str">
            <v>1 Mini CIM</v>
          </cell>
          <cell r="K16">
            <v>5840</v>
          </cell>
          <cell r="L16">
            <v>1.41</v>
          </cell>
          <cell r="M16">
            <v>89</v>
          </cell>
          <cell r="N16">
            <v>3</v>
          </cell>
        </row>
        <row r="17">
          <cell r="G17">
            <v>0</v>
          </cell>
          <cell r="J17" t="str">
            <v>1 CIM</v>
          </cell>
          <cell r="K17">
            <v>5330</v>
          </cell>
          <cell r="L17">
            <v>2.41</v>
          </cell>
          <cell r="M17">
            <v>131</v>
          </cell>
          <cell r="N17">
            <v>2.7</v>
          </cell>
        </row>
        <row r="18">
          <cell r="G18">
            <v>0</v>
          </cell>
          <cell r="J18" t="str">
            <v>2 Mini CIM</v>
          </cell>
          <cell r="K18">
            <v>5840</v>
          </cell>
          <cell r="L18">
            <v>2.82</v>
          </cell>
          <cell r="M18">
            <v>178</v>
          </cell>
          <cell r="N18">
            <v>6</v>
          </cell>
        </row>
        <row r="19">
          <cell r="G19">
            <v>0</v>
          </cell>
          <cell r="J19" t="str">
            <v>1 CIM + 1 Mini CIM (Copioli)</v>
          </cell>
          <cell r="K19">
            <v>5508</v>
          </cell>
          <cell r="L19">
            <v>3.82</v>
          </cell>
          <cell r="M19">
            <v>220</v>
          </cell>
          <cell r="N19">
            <v>8.16</v>
          </cell>
        </row>
        <row r="20">
          <cell r="G20">
            <v>0</v>
          </cell>
          <cell r="J20" t="str">
            <v>2 CIM</v>
          </cell>
          <cell r="K20">
            <v>5330</v>
          </cell>
          <cell r="L20">
            <v>4.82</v>
          </cell>
          <cell r="M20">
            <v>262</v>
          </cell>
          <cell r="N20">
            <v>5.4</v>
          </cell>
        </row>
        <row r="28">
          <cell r="B28" t="str">
            <v>11:42</v>
          </cell>
          <cell r="C28">
            <v>11</v>
          </cell>
          <cell r="D28">
            <v>42</v>
          </cell>
        </row>
        <row r="29">
          <cell r="B29" t="str">
            <v>12:42</v>
          </cell>
          <cell r="C29">
            <v>12</v>
          </cell>
          <cell r="D29">
            <v>42</v>
          </cell>
        </row>
        <row r="30">
          <cell r="B30" t="str">
            <v>13:42</v>
          </cell>
          <cell r="C30">
            <v>13</v>
          </cell>
          <cell r="D30">
            <v>42</v>
          </cell>
        </row>
        <row r="31">
          <cell r="B31" t="str">
            <v>13:40</v>
          </cell>
          <cell r="C31">
            <v>13</v>
          </cell>
          <cell r="D31">
            <v>40</v>
          </cell>
        </row>
        <row r="32">
          <cell r="B32" t="str">
            <v>14:42</v>
          </cell>
          <cell r="C32">
            <v>14</v>
          </cell>
          <cell r="D32">
            <v>42</v>
          </cell>
        </row>
        <row r="33">
          <cell r="B33" t="str">
            <v>14:40</v>
          </cell>
          <cell r="C33">
            <v>14</v>
          </cell>
          <cell r="D33">
            <v>40</v>
          </cell>
        </row>
        <row r="36">
          <cell r="B36" t="str">
            <v>14:60</v>
          </cell>
          <cell r="C36">
            <v>14</v>
          </cell>
          <cell r="D36">
            <v>60</v>
          </cell>
        </row>
        <row r="37">
          <cell r="B37" t="str">
            <v>24:50</v>
          </cell>
          <cell r="C37">
            <v>24</v>
          </cell>
          <cell r="D37">
            <v>50</v>
          </cell>
        </row>
        <row r="40">
          <cell r="B40" t="str">
            <v>24:50</v>
          </cell>
          <cell r="C40">
            <v>24</v>
          </cell>
          <cell r="D40">
            <v>50</v>
          </cell>
        </row>
        <row r="41">
          <cell r="B41" t="str">
            <v>30:44</v>
          </cell>
          <cell r="C41">
            <v>30</v>
          </cell>
          <cell r="D41">
            <v>44</v>
          </cell>
        </row>
        <row r="42">
          <cell r="B42" t="str">
            <v>34:40</v>
          </cell>
          <cell r="C42">
            <v>34</v>
          </cell>
          <cell r="D42">
            <v>40</v>
          </cell>
        </row>
        <row r="48">
          <cell r="B48" t="str">
            <v>Standard 12-tooth Pinion [50:12]</v>
          </cell>
          <cell r="C48">
            <v>12</v>
          </cell>
          <cell r="D48">
            <v>50</v>
          </cell>
        </row>
        <row r="49">
          <cell r="B49" t="str">
            <v>Optional 11-tooth Pinion [50:11]</v>
          </cell>
          <cell r="C49">
            <v>11</v>
          </cell>
          <cell r="D49">
            <v>50</v>
          </cell>
        </row>
        <row r="53">
          <cell r="B53" t="str">
            <v>Low Gear Option 1 (2.16x Shifter Spread) [50:34]</v>
          </cell>
          <cell r="C53">
            <v>34</v>
          </cell>
          <cell r="D53">
            <v>50</v>
          </cell>
        </row>
        <row r="54">
          <cell r="B54" t="str">
            <v>Low Gear Option 2 (2.65x Shifter Spread) [54:30]</v>
          </cell>
          <cell r="C54">
            <v>30</v>
          </cell>
          <cell r="D54">
            <v>54</v>
          </cell>
        </row>
        <row r="55">
          <cell r="B55" t="str">
            <v>Low Gear Option 3 (3.68x Shifter Spread) [60:24]</v>
          </cell>
          <cell r="C55">
            <v>24</v>
          </cell>
          <cell r="D55">
            <v>60</v>
          </cell>
        </row>
        <row r="57">
          <cell r="B57" t="str">
            <v>NO 3rd Stage Gearing</v>
          </cell>
          <cell r="C57">
            <v>1</v>
          </cell>
          <cell r="D57">
            <v>1</v>
          </cell>
        </row>
        <row r="58">
          <cell r="B58" t="str">
            <v>3rd Stage Option 1 [64:20]</v>
          </cell>
          <cell r="C58">
            <v>20</v>
          </cell>
          <cell r="D58">
            <v>64</v>
          </cell>
        </row>
        <row r="59">
          <cell r="B59" t="str">
            <v>3rd Stage Option 2 [60:24]</v>
          </cell>
          <cell r="C59">
            <v>24</v>
          </cell>
          <cell r="D59">
            <v>60</v>
          </cell>
        </row>
        <row r="60">
          <cell r="B60" t="str">
            <v>3rd Stage Option 3 [54:30]</v>
          </cell>
          <cell r="C60">
            <v>30</v>
          </cell>
          <cell r="D60">
            <v>54</v>
          </cell>
        </row>
        <row r="61">
          <cell r="B61" t="str">
            <v>3rd Stage Option 4 [50:34]</v>
          </cell>
          <cell r="C61">
            <v>34</v>
          </cell>
          <cell r="D61">
            <v>50</v>
          </cell>
        </row>
        <row r="66">
          <cell r="B66" t="str">
            <v>Standard 12-tooth Pinion [40:12]</v>
          </cell>
          <cell r="C66">
            <v>12</v>
          </cell>
          <cell r="D66">
            <v>40</v>
          </cell>
        </row>
        <row r="67">
          <cell r="B67" t="str">
            <v>Optional 11-tooth Pinion [40:11]</v>
          </cell>
          <cell r="C67">
            <v>11</v>
          </cell>
          <cell r="D67">
            <v>40</v>
          </cell>
        </row>
        <row r="69">
          <cell r="B69" t="str">
            <v>NO 3rd Stage Gearing</v>
          </cell>
          <cell r="C69">
            <v>1</v>
          </cell>
          <cell r="D69">
            <v>1</v>
          </cell>
        </row>
        <row r="70">
          <cell r="B70" t="str">
            <v>3rd Stage Option 1 [50:34]</v>
          </cell>
          <cell r="C70">
            <v>34</v>
          </cell>
          <cell r="D70">
            <v>50</v>
          </cell>
        </row>
        <row r="71">
          <cell r="B71" t="str">
            <v>3rd Stage Option 2 [54:30]</v>
          </cell>
          <cell r="C71">
            <v>30</v>
          </cell>
          <cell r="D71">
            <v>54</v>
          </cell>
        </row>
        <row r="72">
          <cell r="B72" t="str">
            <v>3rd Stage Option 3 [60:24]</v>
          </cell>
          <cell r="C72">
            <v>24</v>
          </cell>
          <cell r="D72">
            <v>60</v>
          </cell>
        </row>
        <row r="73">
          <cell r="B73" t="str">
            <v>3rd Stage Option 4 [64:20]</v>
          </cell>
          <cell r="C73">
            <v>20</v>
          </cell>
          <cell r="D73">
            <v>64</v>
          </cell>
        </row>
        <row r="75">
          <cell r="B75" t="str">
            <v>Standard 2nd Stage [40:14]</v>
          </cell>
          <cell r="C75">
            <v>14</v>
          </cell>
          <cell r="D75">
            <v>40</v>
          </cell>
        </row>
        <row r="76">
          <cell r="B76" t="str">
            <v>Optional 2nd Stage [34:20]</v>
          </cell>
          <cell r="C76">
            <v>20</v>
          </cell>
          <cell r="D76">
            <v>34</v>
          </cell>
        </row>
        <row r="77">
          <cell r="B77" t="str">
            <v>Optional 2nd Stage [30:24]</v>
          </cell>
          <cell r="C77">
            <v>24</v>
          </cell>
          <cell r="D77">
            <v>30</v>
          </cell>
        </row>
        <row r="82">
          <cell r="B82" t="str">
            <v>11-tooth Pinion [50:11]</v>
          </cell>
          <cell r="C82">
            <v>11</v>
          </cell>
          <cell r="D82">
            <v>50</v>
          </cell>
        </row>
        <row r="83">
          <cell r="B83" t="str">
            <v>12-tooth Pinion [50:12]</v>
          </cell>
          <cell r="C83">
            <v>12</v>
          </cell>
          <cell r="D83">
            <v>50</v>
          </cell>
        </row>
        <row r="84">
          <cell r="B84" t="str">
            <v>13-tooth Pinion [50:13]</v>
          </cell>
          <cell r="C84">
            <v>13</v>
          </cell>
          <cell r="D84">
            <v>50</v>
          </cell>
        </row>
        <row r="85">
          <cell r="B85" t="str">
            <v>14-tooth Pinion [50:14]</v>
          </cell>
          <cell r="C85">
            <v>14</v>
          </cell>
          <cell r="D85">
            <v>50</v>
          </cell>
        </row>
        <row r="88">
          <cell r="B88" t="str">
            <v>2nd Stage Option 1 [40:34]</v>
          </cell>
          <cell r="C88">
            <v>34</v>
          </cell>
          <cell r="D88">
            <v>40</v>
          </cell>
        </row>
        <row r="89">
          <cell r="B89" t="str">
            <v>2nd Stage Option 2 [44:30]</v>
          </cell>
          <cell r="C89">
            <v>30</v>
          </cell>
          <cell r="D89">
            <v>44</v>
          </cell>
        </row>
        <row r="90">
          <cell r="B90" t="str">
            <v>2nd Stage Option 3 [50:24]</v>
          </cell>
          <cell r="C90">
            <v>24</v>
          </cell>
          <cell r="D90">
            <v>50</v>
          </cell>
        </row>
        <row r="91">
          <cell r="B91" t="str">
            <v>2nd Stage Option 4 [54:20]</v>
          </cell>
          <cell r="C91">
            <v>20</v>
          </cell>
          <cell r="D91">
            <v>54</v>
          </cell>
        </row>
        <row r="92">
          <cell r="B92" t="str">
            <v>2nd Stage Option 5 [60:14]</v>
          </cell>
          <cell r="C92">
            <v>14</v>
          </cell>
          <cell r="D92">
            <v>60</v>
          </cell>
        </row>
      </sheetData>
    </sheetDataSet>
  </externalBook>
</externalLink>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media/papers/2432?" TargetMode="External"/><Relationship Id="rId2" Type="http://schemas.openxmlformats.org/officeDocument/2006/relationships/hyperlink" Target="https://www.chiefdelphi.com/media/papers/2715" TargetMode="External"/><Relationship Id="rId1" Type="http://schemas.openxmlformats.org/officeDocument/2006/relationships/hyperlink" Target="https://www.chiefdelphi.com/media/papers/3188"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media/papers/2868"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499984740745262"/>
  </sheetPr>
  <dimension ref="B2:C42"/>
  <sheetViews>
    <sheetView tabSelected="1" topLeftCell="A13" workbookViewId="0">
      <selection activeCell="C20" sqref="C20"/>
    </sheetView>
  </sheetViews>
  <sheetFormatPr defaultRowHeight="14.4" x14ac:dyDescent="0.55000000000000004"/>
  <cols>
    <col min="2" max="2" width="2.68359375" customWidth="1"/>
    <col min="3" max="3" width="70.68359375" customWidth="1"/>
    <col min="5" max="5" width="8.83984375" customWidth="1"/>
  </cols>
  <sheetData>
    <row r="2" spans="2:3" ht="30.6" x14ac:dyDescent="1.1000000000000001">
      <c r="C2" s="114" t="s">
        <v>261</v>
      </c>
    </row>
    <row r="3" spans="2:3" ht="15.6" x14ac:dyDescent="0.6">
      <c r="C3" s="113" t="s">
        <v>399</v>
      </c>
    </row>
    <row r="4" spans="2:3" ht="15.6" x14ac:dyDescent="0.6">
      <c r="C4" s="113" t="s">
        <v>400</v>
      </c>
    </row>
    <row r="6" spans="2:3" x14ac:dyDescent="0.55000000000000004">
      <c r="C6" s="7" t="s">
        <v>36</v>
      </c>
    </row>
    <row r="7" spans="2:3" x14ac:dyDescent="0.55000000000000004">
      <c r="B7" s="2"/>
      <c r="C7" t="s">
        <v>37</v>
      </c>
    </row>
    <row r="8" spans="2:3" x14ac:dyDescent="0.55000000000000004">
      <c r="B8" s="112"/>
      <c r="C8" t="s">
        <v>38</v>
      </c>
    </row>
    <row r="9" spans="2:3" x14ac:dyDescent="0.55000000000000004">
      <c r="B9" s="115"/>
      <c r="C9" s="10" t="s">
        <v>39</v>
      </c>
    </row>
    <row r="11" spans="2:3" x14ac:dyDescent="0.55000000000000004">
      <c r="C11" s="116" t="s">
        <v>251</v>
      </c>
    </row>
    <row r="12" spans="2:3" ht="72" x14ac:dyDescent="0.55000000000000004">
      <c r="C12" s="117" t="s">
        <v>406</v>
      </c>
    </row>
    <row r="13" spans="2:3" x14ac:dyDescent="0.55000000000000004">
      <c r="C13" s="118"/>
    </row>
    <row r="14" spans="2:3" x14ac:dyDescent="0.55000000000000004">
      <c r="C14" s="224" t="s">
        <v>392</v>
      </c>
    </row>
    <row r="15" spans="2:3" ht="115.2" x14ac:dyDescent="0.55000000000000004">
      <c r="C15" s="117" t="s">
        <v>396</v>
      </c>
    </row>
    <row r="16" spans="2:3" x14ac:dyDescent="0.55000000000000004">
      <c r="C16" s="223"/>
    </row>
    <row r="17" spans="3:3" x14ac:dyDescent="0.55000000000000004">
      <c r="C17" s="116" t="s">
        <v>263</v>
      </c>
    </row>
    <row r="18" spans="3:3" ht="72" x14ac:dyDescent="0.55000000000000004">
      <c r="C18" s="117" t="s">
        <v>255</v>
      </c>
    </row>
    <row r="19" spans="3:3" x14ac:dyDescent="0.55000000000000004">
      <c r="C19" s="118"/>
    </row>
    <row r="20" spans="3:3" x14ac:dyDescent="0.55000000000000004">
      <c r="C20" s="116" t="s">
        <v>407</v>
      </c>
    </row>
    <row r="21" spans="3:3" ht="101.4" customHeight="1" x14ac:dyDescent="0.55000000000000004">
      <c r="C21" s="117" t="s">
        <v>403</v>
      </c>
    </row>
    <row r="22" spans="3:3" x14ac:dyDescent="0.55000000000000004">
      <c r="C22" s="118"/>
    </row>
    <row r="23" spans="3:3" x14ac:dyDescent="0.55000000000000004">
      <c r="C23" s="116" t="s">
        <v>252</v>
      </c>
    </row>
    <row r="24" spans="3:3" ht="86.4" x14ac:dyDescent="0.55000000000000004">
      <c r="C24" s="117" t="s">
        <v>394</v>
      </c>
    </row>
    <row r="25" spans="3:3" x14ac:dyDescent="0.55000000000000004">
      <c r="C25" s="118"/>
    </row>
    <row r="26" spans="3:3" x14ac:dyDescent="0.55000000000000004">
      <c r="C26" s="116" t="s">
        <v>253</v>
      </c>
    </row>
    <row r="27" spans="3:3" ht="43.2" x14ac:dyDescent="0.55000000000000004">
      <c r="C27" s="117" t="s">
        <v>404</v>
      </c>
    </row>
    <row r="28" spans="3:3" ht="57.6" customHeight="1" x14ac:dyDescent="0.55000000000000004">
      <c r="C28" s="117" t="s">
        <v>395</v>
      </c>
    </row>
    <row r="29" spans="3:3" x14ac:dyDescent="0.55000000000000004">
      <c r="C29" s="118"/>
    </row>
    <row r="30" spans="3:3" x14ac:dyDescent="0.55000000000000004">
      <c r="C30" s="116" t="s">
        <v>398</v>
      </c>
    </row>
    <row r="31" spans="3:3" ht="86.4" x14ac:dyDescent="0.55000000000000004">
      <c r="C31" s="117" t="s">
        <v>405</v>
      </c>
    </row>
    <row r="32" spans="3:3" x14ac:dyDescent="0.55000000000000004">
      <c r="C32" s="118"/>
    </row>
    <row r="33" spans="3:3" x14ac:dyDescent="0.55000000000000004">
      <c r="C33" s="116" t="s">
        <v>254</v>
      </c>
    </row>
    <row r="34" spans="3:3" ht="57.6" x14ac:dyDescent="0.55000000000000004">
      <c r="C34" s="117" t="s">
        <v>256</v>
      </c>
    </row>
    <row r="35" spans="3:3" x14ac:dyDescent="0.55000000000000004">
      <c r="C35" s="118"/>
    </row>
    <row r="37" spans="3:3" x14ac:dyDescent="0.55000000000000004">
      <c r="C37" s="116" t="s">
        <v>257</v>
      </c>
    </row>
    <row r="38" spans="3:3" x14ac:dyDescent="0.55000000000000004">
      <c r="C38" s="119" t="s">
        <v>258</v>
      </c>
    </row>
    <row r="39" spans="3:3" x14ac:dyDescent="0.55000000000000004">
      <c r="C39" s="226" t="s">
        <v>393</v>
      </c>
    </row>
    <row r="40" spans="3:3" x14ac:dyDescent="0.55000000000000004">
      <c r="C40" s="226" t="s">
        <v>397</v>
      </c>
    </row>
    <row r="41" spans="3:3" x14ac:dyDescent="0.55000000000000004">
      <c r="C41" s="119" t="s">
        <v>260</v>
      </c>
    </row>
    <row r="42" spans="3:3" x14ac:dyDescent="0.55000000000000004">
      <c r="C42" s="166" t="s">
        <v>259</v>
      </c>
    </row>
  </sheetData>
  <hyperlinks>
    <hyperlink ref="C38" r:id="rId1" xr:uid="{00000000-0004-0000-0000-000000000000}"/>
    <hyperlink ref="C42" r:id="rId2" xr:uid="{00000000-0004-0000-0000-000001000000}"/>
    <hyperlink ref="C41" r:id="rId3" xr:uid="{00000000-0004-0000-0000-000002000000}"/>
    <hyperlink ref="C39" r:id="rId4" xr:uid="{EEBD62C7-5228-440A-B2C1-5564903700FA}"/>
    <hyperlink ref="C40" r:id="rId5" xr:uid="{E973B052-6AD1-45B5-BC42-480CFB094C6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sheetPr>
  <dimension ref="B2:L27"/>
  <sheetViews>
    <sheetView zoomScaleNormal="100" workbookViewId="0"/>
  </sheetViews>
  <sheetFormatPr defaultRowHeight="14.4" x14ac:dyDescent="0.55000000000000004"/>
  <cols>
    <col min="2" max="2" width="2.68359375" customWidth="1"/>
    <col min="3" max="3" width="21.89453125" customWidth="1"/>
    <col min="7" max="7" width="10.68359375" customWidth="1"/>
    <col min="8" max="8" width="10.26171875" customWidth="1"/>
    <col min="10" max="10" width="11.7890625" customWidth="1"/>
    <col min="11" max="11" width="9.26171875" customWidth="1"/>
    <col min="12" max="12" width="14.41796875" customWidth="1"/>
    <col min="13" max="13" width="9.26171875" customWidth="1"/>
    <col min="14" max="14" width="6.26171875" customWidth="1"/>
  </cols>
  <sheetData>
    <row r="2" spans="2:12" ht="30.6" x14ac:dyDescent="1.1000000000000001">
      <c r="C2" s="5" t="s">
        <v>236</v>
      </c>
    </row>
    <row r="4" spans="2:12" x14ac:dyDescent="0.55000000000000004">
      <c r="B4" s="25"/>
      <c r="C4" s="227" t="s">
        <v>17</v>
      </c>
      <c r="D4" s="227"/>
      <c r="E4" s="13" t="s">
        <v>18</v>
      </c>
      <c r="F4" s="25"/>
      <c r="G4" s="126" t="s">
        <v>241</v>
      </c>
      <c r="H4" s="126" t="s">
        <v>41</v>
      </c>
      <c r="I4" s="127" t="s">
        <v>250</v>
      </c>
      <c r="J4" s="126" t="s">
        <v>295</v>
      </c>
      <c r="K4" s="25"/>
      <c r="L4" s="25"/>
    </row>
    <row r="5" spans="2:12" x14ac:dyDescent="0.55000000000000004">
      <c r="B5" s="25"/>
      <c r="C5" s="126" t="s">
        <v>24</v>
      </c>
      <c r="D5" s="189">
        <f>VLOOKUP($C$4,UsefulValues!$X$5:$AC$22,2,FALSE)</f>
        <v>5330</v>
      </c>
      <c r="E5" s="128">
        <f>D5*D17/12</f>
        <v>5330</v>
      </c>
      <c r="F5" s="25"/>
      <c r="G5" s="129">
        <v>12</v>
      </c>
      <c r="H5" s="129">
        <v>72</v>
      </c>
      <c r="I5" s="129">
        <v>20</v>
      </c>
      <c r="J5" s="130">
        <f>IFERROR(((G5+H5)/(2*I5)+0.003)*IF(ISBLANK(B$11), 1, 25.4), "")</f>
        <v>2.1030000000000002</v>
      </c>
      <c r="K5" s="25"/>
      <c r="L5" s="25"/>
    </row>
    <row r="6" spans="2:12" x14ac:dyDescent="0.55000000000000004">
      <c r="B6" s="25"/>
      <c r="C6" s="126" t="s">
        <v>26</v>
      </c>
      <c r="D6" s="190">
        <f>VLOOKUP($C$4,UsefulValues!$X$5:$AC$22,3,FALSE)</f>
        <v>2.41</v>
      </c>
      <c r="E6" s="131">
        <f>D6*D13*D14*D15*D17/12</f>
        <v>8.6760000000000002</v>
      </c>
      <c r="F6" s="25"/>
      <c r="G6" s="129"/>
      <c r="H6" s="129"/>
      <c r="I6" s="129"/>
      <c r="J6" s="130" t="str">
        <f>IFERROR(((G6+H6)/(2*I6)+0.003)*IF(ISBLANK(B$11), 1, 25.4), "")</f>
        <v/>
      </c>
      <c r="K6" s="25"/>
      <c r="L6" s="25"/>
    </row>
    <row r="7" spans="2:12" x14ac:dyDescent="0.55000000000000004">
      <c r="B7" s="25"/>
      <c r="C7" s="126" t="s">
        <v>28</v>
      </c>
      <c r="D7" s="191">
        <f>VLOOKUP($C$4,UsefulValues!$X$5:$AC$22,4,FALSE)</f>
        <v>131</v>
      </c>
      <c r="E7" s="132">
        <f>D7*D13*D14*D17/12</f>
        <v>524</v>
      </c>
      <c r="F7" s="25"/>
      <c r="G7" s="129"/>
      <c r="H7" s="129"/>
      <c r="I7" s="129"/>
      <c r="J7" s="130" t="str">
        <f>IFERROR(((G7+H7)/(2*I7)+0.003)*IF(ISBLANK(B$11), 1, 25.4), "")</f>
        <v/>
      </c>
      <c r="K7" s="25"/>
      <c r="L7" s="25"/>
    </row>
    <row r="8" spans="2:12" x14ac:dyDescent="0.55000000000000004">
      <c r="B8" s="25"/>
      <c r="C8" s="126" t="s">
        <v>30</v>
      </c>
      <c r="D8" s="191">
        <f>VLOOKUP($C$4,UsefulValues!$X$5:$AC$22,5,FALSE)</f>
        <v>2.7</v>
      </c>
      <c r="E8" s="132">
        <f>D8*D13*D14*D17/12</f>
        <v>10.800000000000002</v>
      </c>
      <c r="F8" s="25"/>
      <c r="G8" s="129"/>
      <c r="H8" s="129"/>
      <c r="I8" s="129"/>
      <c r="J8" s="130" t="str">
        <f>IFERROR(((G8+H8)/(2*I8)+0.003)*IF(ISBLANK(B$11), 1, 25.4), "")</f>
        <v/>
      </c>
      <c r="K8" s="25"/>
      <c r="L8" s="25"/>
    </row>
    <row r="9" spans="2:12" x14ac:dyDescent="0.55000000000000004">
      <c r="B9" s="25"/>
      <c r="C9" s="127" t="s">
        <v>31</v>
      </c>
      <c r="D9" s="189">
        <f>(D5/60*2*PI())*D6/4</f>
        <v>336.28916760964142</v>
      </c>
      <c r="E9" s="189">
        <f>(E5/60*2*PI())*E6/4</f>
        <v>1210.6410033947091</v>
      </c>
      <c r="F9" s="25"/>
      <c r="G9" s="25" t="s">
        <v>242</v>
      </c>
      <c r="H9" s="133">
        <f>IF(H5=0,1,H5)*IF(H6=0,1,H6)*IF(H7=0,1,H7)*IF(H8=0,1,H8)/IF(G5=0,1,G5)/IF(G6=0,1,G6)/IF(G7=0,1,G7)/IF(G8=0,1,G8)</f>
        <v>6</v>
      </c>
      <c r="I9" s="25"/>
      <c r="J9" s="25"/>
      <c r="K9" s="25"/>
      <c r="L9" s="25"/>
    </row>
    <row r="10" spans="2:12" x14ac:dyDescent="0.55000000000000004">
      <c r="B10" s="25"/>
      <c r="C10" s="25"/>
      <c r="D10" s="25"/>
      <c r="E10" s="25"/>
      <c r="F10" s="25"/>
      <c r="G10" s="25"/>
      <c r="H10" s="25"/>
      <c r="I10" s="25"/>
      <c r="J10" s="25"/>
      <c r="K10" s="25"/>
      <c r="L10" s="25"/>
    </row>
    <row r="11" spans="2:12" x14ac:dyDescent="0.55000000000000004">
      <c r="B11" s="129"/>
      <c r="C11" s="25" t="s">
        <v>35</v>
      </c>
      <c r="D11" s="25"/>
      <c r="E11" s="25"/>
      <c r="F11" s="25"/>
      <c r="G11" s="25"/>
      <c r="H11" s="25"/>
      <c r="I11" s="25"/>
      <c r="J11" s="25"/>
      <c r="K11" s="25"/>
      <c r="L11" s="25"/>
    </row>
    <row r="12" spans="2:12" x14ac:dyDescent="0.55000000000000004">
      <c r="B12" s="25"/>
      <c r="C12" s="25"/>
      <c r="D12" s="25"/>
      <c r="E12" s="25"/>
      <c r="F12" s="25"/>
      <c r="G12" s="25"/>
      <c r="H12" s="25"/>
      <c r="I12" s="25"/>
      <c r="J12" s="25"/>
      <c r="K12" s="25"/>
      <c r="L12" s="25"/>
    </row>
    <row r="13" spans="2:12" x14ac:dyDescent="0.55000000000000004">
      <c r="B13" s="25"/>
      <c r="C13" s="126" t="s">
        <v>237</v>
      </c>
      <c r="D13" s="129">
        <v>2</v>
      </c>
      <c r="E13" s="25"/>
      <c r="F13" s="25"/>
      <c r="G13" s="126" t="s">
        <v>241</v>
      </c>
      <c r="H13" s="126" t="s">
        <v>41</v>
      </c>
      <c r="I13" s="25"/>
      <c r="J13" s="126" t="s">
        <v>248</v>
      </c>
      <c r="K13" s="194">
        <f>H9*IF(H14=0,1,H14)/IF(G14=0,1,G14)</f>
        <v>6</v>
      </c>
      <c r="L13" s="134"/>
    </row>
    <row r="14" spans="2:12" x14ac:dyDescent="0.55000000000000004">
      <c r="B14" s="25"/>
      <c r="C14" s="126" t="s">
        <v>238</v>
      </c>
      <c r="D14" s="129">
        <v>2</v>
      </c>
      <c r="E14" s="25"/>
      <c r="F14" s="25"/>
      <c r="G14" s="129"/>
      <c r="H14" s="129"/>
      <c r="I14" s="25"/>
      <c r="J14" s="126" t="s">
        <v>243</v>
      </c>
      <c r="K14" s="195">
        <f>K15*D$16</f>
        <v>13.798863954475834</v>
      </c>
      <c r="L14" s="25" t="str">
        <f>IF(ISBLANK(B$11), "ft/s", "m/s")</f>
        <v>ft/s</v>
      </c>
    </row>
    <row r="15" spans="2:12" x14ac:dyDescent="0.55000000000000004">
      <c r="B15" s="25"/>
      <c r="C15" s="127" t="s">
        <v>34</v>
      </c>
      <c r="D15" s="192">
        <v>0.9</v>
      </c>
      <c r="E15" s="25"/>
      <c r="F15" s="25"/>
      <c r="G15" s="126" t="s">
        <v>250</v>
      </c>
      <c r="H15" s="129"/>
      <c r="I15" s="25"/>
      <c r="J15" s="126" t="s">
        <v>170</v>
      </c>
      <c r="K15" s="195">
        <f>E$5/K13*(D$21/(IF(ISBLANK(B$11), 1, 25.4))*PI())/12/60/IF(ISBLANK(B$11), 1, 3.281)</f>
        <v>15.50434152188296</v>
      </c>
      <c r="L15" s="25" t="str">
        <f>IF(ISBLANK(B$11), "ft/s", "m/s")</f>
        <v>ft/s</v>
      </c>
    </row>
    <row r="16" spans="2:12" x14ac:dyDescent="0.55000000000000004">
      <c r="B16" s="25"/>
      <c r="C16" s="127" t="s">
        <v>239</v>
      </c>
      <c r="D16" s="192">
        <v>0.89</v>
      </c>
      <c r="E16" s="25"/>
      <c r="F16" s="25"/>
      <c r="G16" s="126" t="s">
        <v>295</v>
      </c>
      <c r="H16" s="162" t="str">
        <f>IFERROR(((G14+H14)/(2*H15)+0.003)*IF(ISBLANK(B$11), 1, 25.4), "")</f>
        <v/>
      </c>
      <c r="I16" s="25"/>
      <c r="J16" s="126" t="s">
        <v>244</v>
      </c>
      <c r="K16" s="195">
        <f>((E$7-E$8)/E$6)*((D$19*IF(ISBLANK(B$11), 1, 2.205))*D$20*D$22/D$14)*4.44822161526*(D21/IF(ISBLANK(B$11), 1, 25.4))*0.0254/2/D$13/K13 +(E$8/D$13/D$14)</f>
        <v>88.468282191993438</v>
      </c>
      <c r="L16" s="25" t="s">
        <v>264</v>
      </c>
    </row>
    <row r="17" spans="2:12" x14ac:dyDescent="0.55000000000000004">
      <c r="B17" s="25"/>
      <c r="C17" s="127" t="s">
        <v>291</v>
      </c>
      <c r="D17" s="129">
        <v>12</v>
      </c>
      <c r="E17" s="25"/>
      <c r="F17" s="25"/>
      <c r="G17" s="25"/>
      <c r="H17" s="25"/>
      <c r="I17" s="25"/>
      <c r="J17" s="25"/>
      <c r="K17" s="25"/>
      <c r="L17" s="25"/>
    </row>
    <row r="18" spans="2:12" x14ac:dyDescent="0.55000000000000004">
      <c r="G18" s="25"/>
      <c r="H18" s="25"/>
      <c r="I18" s="25"/>
      <c r="J18" s="25"/>
      <c r="K18" s="25"/>
      <c r="L18" s="25"/>
    </row>
    <row r="19" spans="2:12" x14ac:dyDescent="0.55000000000000004">
      <c r="B19" s="25"/>
      <c r="C19" s="126" t="str">
        <f>IF(ISBLANK($B$11), "Robot Weight (lbs)", "Robot Weight (kg)")</f>
        <v>Robot Weight (lbs)</v>
      </c>
      <c r="D19" s="129">
        <v>154</v>
      </c>
      <c r="F19" s="25"/>
      <c r="G19" s="7" t="s">
        <v>249</v>
      </c>
      <c r="H19" s="25"/>
      <c r="I19" s="25"/>
      <c r="J19" s="25"/>
      <c r="K19" s="25"/>
      <c r="L19" s="25"/>
    </row>
    <row r="20" spans="2:12" x14ac:dyDescent="0.55000000000000004">
      <c r="B20" s="25"/>
      <c r="C20" s="126" t="s">
        <v>235</v>
      </c>
      <c r="D20" s="192">
        <v>1</v>
      </c>
      <c r="E20" s="25"/>
      <c r="F20" s="25"/>
      <c r="G20" s="126" t="s">
        <v>241</v>
      </c>
      <c r="H20" s="126" t="s">
        <v>41</v>
      </c>
      <c r="I20" s="25"/>
      <c r="J20" s="136" t="s">
        <v>248</v>
      </c>
      <c r="K20" s="137" t="str">
        <f>IF(ISBLANK($B$24), "", H9*IF(H21=0,1,H21)/IF(G21=0,1,G21))</f>
        <v/>
      </c>
      <c r="L20" s="25"/>
    </row>
    <row r="21" spans="2:12" x14ac:dyDescent="0.55000000000000004">
      <c r="B21" s="25"/>
      <c r="C21" s="126" t="str">
        <f>IF(ISBLANK($B$11), "Wheel Diameter (in)", "Wheel Diameter (mm)")</f>
        <v>Wheel Diameter (in)</v>
      </c>
      <c r="D21" s="193">
        <v>4</v>
      </c>
      <c r="F21" s="25"/>
      <c r="G21" s="129"/>
      <c r="H21" s="129"/>
      <c r="I21" s="9"/>
      <c r="J21" s="125" t="s">
        <v>170</v>
      </c>
      <c r="K21" s="135" t="str">
        <f>IF(ISBLANK($B$24), "", E$5/K20*(IF(ISBLANK(B25),D21,G25)/IF(ISBLANK(B$11), 1, 25.4)*PI())/12/60/IF(ISBLANK(B$11), 1, 3.281))</f>
        <v/>
      </c>
      <c r="L21" s="25" t="str">
        <f>IF(ISBLANK(B$11), "ft/s", "m/s")</f>
        <v>ft/s</v>
      </c>
    </row>
    <row r="22" spans="2:12" x14ac:dyDescent="0.55000000000000004">
      <c r="B22" s="25"/>
      <c r="C22" s="126" t="s">
        <v>240</v>
      </c>
      <c r="D22" s="193">
        <v>1</v>
      </c>
      <c r="E22" s="25"/>
      <c r="F22" s="25"/>
      <c r="G22" s="126" t="s">
        <v>250</v>
      </c>
      <c r="H22" s="129"/>
      <c r="I22" s="25"/>
      <c r="J22" s="125" t="s">
        <v>243</v>
      </c>
      <c r="K22" s="135" t="str">
        <f>IF(ISBLANK($B$24), "", K21*D$16)</f>
        <v/>
      </c>
      <c r="L22" s="25" t="str">
        <f>IF(ISBLANK(B$11), "ft/s", "m/s")</f>
        <v>ft/s</v>
      </c>
    </row>
    <row r="23" spans="2:12" x14ac:dyDescent="0.55000000000000004">
      <c r="B23" s="25"/>
      <c r="C23" s="25"/>
      <c r="D23" s="25"/>
      <c r="E23" s="25"/>
      <c r="F23" s="25"/>
      <c r="G23" s="126" t="s">
        <v>295</v>
      </c>
      <c r="H23" s="162" t="str">
        <f>IFERROR(((G21+H21)/(2*H22)+0.003)*IF(ISBLANK(B$11), 1, 25.4), "")</f>
        <v/>
      </c>
      <c r="I23" s="25"/>
      <c r="J23" s="125" t="s">
        <v>244</v>
      </c>
      <c r="K23" s="135" t="str">
        <f>IF(ISBLANK($B$24), "", ((E$7-E$8)/E$6)*((D$19*IF(ISBLANK(B$11), 1, 2.205))*D$20*D$22/D$14)*4.44822161526*IF(ISBLANK(B25),D21,G25)/IF(ISBLANK(B$11), 1, 25.4)*0.0254/2/D$13/K20 +(E$8/D$13/D$14))</f>
        <v/>
      </c>
      <c r="L23" s="25" t="s">
        <v>264</v>
      </c>
    </row>
    <row r="24" spans="2:12" x14ac:dyDescent="0.55000000000000004">
      <c r="B24" s="129"/>
      <c r="C24" s="25" t="s">
        <v>247</v>
      </c>
      <c r="D24" s="25"/>
      <c r="E24" s="25"/>
      <c r="F24" s="25"/>
      <c r="G24" s="228" t="s">
        <v>245</v>
      </c>
      <c r="H24" s="228"/>
      <c r="I24" s="25"/>
      <c r="J24" s="25"/>
      <c r="K24" s="25"/>
      <c r="L24" s="25"/>
    </row>
    <row r="25" spans="2:12" x14ac:dyDescent="0.55000000000000004">
      <c r="B25" s="129"/>
      <c r="C25" s="25" t="s">
        <v>322</v>
      </c>
      <c r="D25" s="25"/>
      <c r="E25" s="25"/>
      <c r="F25" s="25"/>
      <c r="G25" s="129"/>
      <c r="H25" s="25" t="str">
        <f>IF(ISBLANK($B$11), "inches", "mm")</f>
        <v>inches</v>
      </c>
      <c r="I25" s="25"/>
      <c r="J25" s="136" t="s">
        <v>282</v>
      </c>
      <c r="K25" s="138" t="str">
        <f>IF(ISBLANK($B$24), "", IF(K13&gt;K20, K13/K20, K20/K13))</f>
        <v/>
      </c>
      <c r="L25" s="25"/>
    </row>
    <row r="26" spans="2:12" x14ac:dyDescent="0.55000000000000004">
      <c r="B26" s="25"/>
      <c r="C26" s="25"/>
      <c r="D26" s="25"/>
      <c r="E26" s="25"/>
      <c r="F26" s="25"/>
      <c r="G26" s="228" t="s">
        <v>246</v>
      </c>
      <c r="H26" s="228"/>
      <c r="I26" s="25"/>
      <c r="L26" s="25"/>
    </row>
    <row r="27" spans="2:12" x14ac:dyDescent="0.55000000000000004">
      <c r="B27" s="25"/>
      <c r="C27" s="25"/>
      <c r="D27" s="25"/>
      <c r="E27" s="25"/>
      <c r="F27" s="25"/>
      <c r="G27" s="129"/>
      <c r="H27" s="25"/>
      <c r="I27" s="25"/>
      <c r="J27" s="25"/>
      <c r="K27" s="25"/>
      <c r="L27" s="25"/>
    </row>
  </sheetData>
  <mergeCells count="3">
    <mergeCell ref="C4:D4"/>
    <mergeCell ref="G26:H26"/>
    <mergeCell ref="G24:H24"/>
  </mergeCells>
  <conditionalFormatting sqref="G19:L27">
    <cfRule type="expression" dxfId="62" priority="26">
      <formula>ISBLANK($B$24)</formula>
    </cfRule>
  </conditionalFormatting>
  <conditionalFormatting sqref="G25:H25 G27:H27 G26 G24">
    <cfRule type="expression" dxfId="61" priority="28">
      <formula>OR(ISBLANK($B$24), ISBLANK($B$25))</formula>
    </cfRule>
  </conditionalFormatting>
  <conditionalFormatting sqref="D13">
    <cfRule type="expression" dxfId="60" priority="13">
      <formula>$D$13&lt;=0</formula>
    </cfRule>
  </conditionalFormatting>
  <conditionalFormatting sqref="D14">
    <cfRule type="expression" dxfId="59" priority="12">
      <formula>$D$14&lt;=0</formula>
    </cfRule>
  </conditionalFormatting>
  <conditionalFormatting sqref="D15">
    <cfRule type="expression" dxfId="58" priority="11">
      <formula>OR($D$15&lt;=0, $D$15&gt;1)</formula>
    </cfRule>
  </conditionalFormatting>
  <conditionalFormatting sqref="D16">
    <cfRule type="expression" dxfId="57" priority="10">
      <formula>OR($D$16&lt;=0, $D$16&gt;1)</formula>
    </cfRule>
  </conditionalFormatting>
  <conditionalFormatting sqref="D17">
    <cfRule type="expression" dxfId="56" priority="9">
      <formula>$D$17&lt;=0</formula>
    </cfRule>
  </conditionalFormatting>
  <conditionalFormatting sqref="D19">
    <cfRule type="expression" dxfId="55" priority="8">
      <formula>$D$19&lt;=0</formula>
    </cfRule>
  </conditionalFormatting>
  <conditionalFormatting sqref="D20">
    <cfRule type="expression" dxfId="54" priority="7">
      <formula>OR($D$20&lt;=0, $D$20&gt;1)</formula>
    </cfRule>
  </conditionalFormatting>
  <conditionalFormatting sqref="D21">
    <cfRule type="expression" dxfId="53" priority="6">
      <formula>$D$21&lt;=0</formula>
    </cfRule>
  </conditionalFormatting>
  <conditionalFormatting sqref="D22">
    <cfRule type="expression" dxfId="52" priority="5">
      <formula>$D$22&lt;=0</formula>
    </cfRule>
  </conditionalFormatting>
  <conditionalFormatting sqref="G5">
    <cfRule type="expression" dxfId="51" priority="4">
      <formula>$G$5&lt;=0</formula>
    </cfRule>
  </conditionalFormatting>
  <conditionalFormatting sqref="G25">
    <cfRule type="expression" dxfId="50" priority="2">
      <formula>AND($G$25&lt;=0, AND(NOT(ISBLANK($B$24)), NOT(ISBLANK($B$25))))</formula>
    </cfRule>
  </conditionalFormatting>
  <conditionalFormatting sqref="G27">
    <cfRule type="expression" dxfId="49" priority="1">
      <formula>AND($G$27&lt;=0, AND(NOT(ISBLANK($B$24)), NOT(ISBLANK($B$25))))</formula>
    </cfRule>
  </conditionalFormatting>
  <dataValidations count="3">
    <dataValidation type="custom" showErrorMessage="1" errorTitle="One-Speed Selected" error="Select 2-Speed to enable multiple speed outputs." sqref="G21:H21" xr:uid="{00000000-0002-0000-0100-000000000000}">
      <formula1>NOT(ISBLANK($B$24))</formula1>
    </dataValidation>
    <dataValidation type="custom" showErrorMessage="1" errorTitle="One-Speed Selected" error="Select 2-Speed to enable multiple speed outputs." sqref="G25" xr:uid="{00000000-0002-0000-0100-000001000000}">
      <formula1>NOT(OR(ISBLANK($B$24), ISBLANK($B$25)))</formula1>
    </dataValidation>
    <dataValidation type="custom" showErrorMessage="1" errorTitle="One-Speed Selected" error="Select 2-Speed to enable multiple speed outputs." sqref="G27" xr:uid="{00000000-0002-0000-0100-000002000000}">
      <formula1>NOT(OR(ISBLANK(B24), ISBLANK(B25)))</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UsefulValues!$X$5:$X$22</xm:f>
          </x14:formula1>
          <xm:sqref>C4:D4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C1892-A7F2-4328-8C3E-BA0BCA63219A}">
  <sheetPr codeName="Sheet3">
    <tabColor theme="6" tint="-0.499984740745262"/>
  </sheetPr>
  <dimension ref="B2:R43"/>
  <sheetViews>
    <sheetView zoomScaleNormal="100" workbookViewId="0"/>
  </sheetViews>
  <sheetFormatPr defaultRowHeight="14.4" x14ac:dyDescent="0.55000000000000004"/>
  <cols>
    <col min="2" max="2" width="2.68359375" customWidth="1"/>
    <col min="3" max="3" width="21.26171875" customWidth="1"/>
    <col min="6" max="6" width="18.3671875" customWidth="1"/>
    <col min="10" max="10" width="3.3671875" customWidth="1"/>
    <col min="11" max="11" width="5.83984375" customWidth="1"/>
    <col min="12" max="12" width="6.62890625" customWidth="1"/>
    <col min="13" max="18" width="5.83984375" customWidth="1"/>
    <col min="20" max="20" width="10.15625" customWidth="1"/>
  </cols>
  <sheetData>
    <row r="2" spans="2:18" ht="30.6" x14ac:dyDescent="1.1000000000000001">
      <c r="C2" s="5" t="s">
        <v>380</v>
      </c>
    </row>
    <row r="3" spans="2:18" x14ac:dyDescent="0.55000000000000004">
      <c r="J3" s="213" t="s">
        <v>390</v>
      </c>
      <c r="K3" s="214"/>
      <c r="L3" s="214"/>
      <c r="M3" s="214"/>
      <c r="N3" s="214"/>
      <c r="O3" s="214"/>
      <c r="P3" s="214"/>
      <c r="Q3" s="214"/>
      <c r="R3" s="215"/>
    </row>
    <row r="4" spans="2:18" x14ac:dyDescent="0.55000000000000004">
      <c r="B4" s="25"/>
      <c r="C4" s="227" t="s">
        <v>17</v>
      </c>
      <c r="D4" s="227"/>
      <c r="E4" s="25"/>
      <c r="J4" s="216" t="s">
        <v>381</v>
      </c>
      <c r="K4" s="217" t="s">
        <v>391</v>
      </c>
      <c r="L4" s="217" t="s">
        <v>382</v>
      </c>
      <c r="M4" s="217" t="s">
        <v>8</v>
      </c>
      <c r="N4" s="217" t="s">
        <v>383</v>
      </c>
      <c r="O4" s="217" t="s">
        <v>384</v>
      </c>
      <c r="P4" s="217" t="s">
        <v>385</v>
      </c>
      <c r="Q4" s="217" t="s">
        <v>386</v>
      </c>
      <c r="R4" s="218" t="s">
        <v>387</v>
      </c>
    </row>
    <row r="5" spans="2:18" x14ac:dyDescent="0.55000000000000004">
      <c r="B5" s="25"/>
      <c r="C5" s="126" t="s">
        <v>24</v>
      </c>
      <c r="D5" s="189">
        <f>VLOOKUP($C$4,UsefulValues!$X$5:$AC$22,2,FALSE)</f>
        <v>5330</v>
      </c>
      <c r="E5" s="25"/>
      <c r="J5" s="216">
        <f>1</f>
        <v>1</v>
      </c>
      <c r="K5" s="217">
        <f>TimeToDist($G$26*IF(ISBLANK($B$11),1,3.28083), $D$6*$D$15, $D$5, $D$7, $D$13*$D$14, J5, $D$19/IF(ISBLANK($B$11),1,25.4)/2, $D$17*IF(ISBLANK($B$11),1,2.2), $D$18, $D$20)</f>
        <v>3.1259999999997667</v>
      </c>
      <c r="L5" s="217" t="b">
        <f>FALSE</f>
        <v>0</v>
      </c>
      <c r="M5" s="217" t="str">
        <f>IF(L5, IF(L4, IF(Q4&lt;R4, M4, O4), F1), "")</f>
        <v/>
      </c>
      <c r="N5" s="217" t="str">
        <f>IF(L5, IF(L4, IF(Q4&lt;R4, P4, N4), J5), "")</f>
        <v/>
      </c>
      <c r="O5" s="217" t="str">
        <f>IF(L5, N5-(N5-M5)/1.618034, "")</f>
        <v/>
      </c>
      <c r="P5" s="217" t="str">
        <f>IF(L5, M5+(N5-M5)/1.618034, "")</f>
        <v/>
      </c>
      <c r="Q5" s="217" t="str">
        <f t="shared" ref="Q5:Q43" si="0">IF(L5, TimeToDist($G$26*IF(ISBLANK($B$11),1,3.28083), $D$6*$D$15, $D$5, $D$7, $D$13*$D$14, O5, $D$19/IF(ISBLANK($B$11),1,25.4)/2, $D$17*IF(ISBLANK($B$11),1,2.2), $D$18, $D$20), "")</f>
        <v/>
      </c>
      <c r="R5" s="218" t="str">
        <f t="shared" ref="R5:R43" si="1">IF(L5, TimeToDist($G$26*IF(ISBLANK($B$11),1,3.28083), $D$6*$D$15, $D$5, $D$7, $D$13*$D$14, P5, $D$19/IF(ISBLANK($B$11),1,25.4)/2, $D$17*IF(ISBLANK($B$11),1,2.2), $D$18, $D$20), "")</f>
        <v/>
      </c>
    </row>
    <row r="6" spans="2:18" x14ac:dyDescent="0.55000000000000004">
      <c r="B6" s="25"/>
      <c r="C6" s="126" t="s">
        <v>26</v>
      </c>
      <c r="D6" s="190">
        <f>VLOOKUP($C$4,UsefulValues!$X$5:$AC$22,3,FALSE)</f>
        <v>2.41</v>
      </c>
      <c r="E6" s="25"/>
      <c r="J6" s="216">
        <f>IF(L5, "", J5+1)</f>
        <v>2</v>
      </c>
      <c r="K6" s="217">
        <f t="shared" ref="K6:K43" si="2">IF(L5, "", TimeToDist($G$26*IF(ISBLANK($B$11),1,3.28083), $D$6*$D$15, $D$5, $D$7, $D$13*$D$14, J6, $D$19/IF(ISBLANK($B$11),1,25.4)/2, $D$17*IF(ISBLANK($B$11),1,2.2), $D$18, $D$20))</f>
        <v>2.0049999999998902</v>
      </c>
      <c r="L6" s="217" t="b">
        <f>OR(L5, K6&gt;K5)</f>
        <v>0</v>
      </c>
      <c r="M6" s="217" t="str">
        <f>IF(L6, IF(L5, IF(Q5&lt;R5, M5, O5), J4), "")</f>
        <v/>
      </c>
      <c r="N6" s="217" t="str">
        <f>IF(L6, IF(L5, IF(Q5&lt;R5, P5, N5), J6), "")</f>
        <v/>
      </c>
      <c r="O6" s="217" t="str">
        <f>IF(L6, N6-(N6-M6)/1.618034, "")</f>
        <v/>
      </c>
      <c r="P6" s="217" t="str">
        <f>IF(L6, M6+(N6-M6)/1.618034, "")</f>
        <v/>
      </c>
      <c r="Q6" s="217" t="str">
        <f t="shared" si="0"/>
        <v/>
      </c>
      <c r="R6" s="218" t="str">
        <f t="shared" si="1"/>
        <v/>
      </c>
    </row>
    <row r="7" spans="2:18" x14ac:dyDescent="0.55000000000000004">
      <c r="B7" s="25"/>
      <c r="C7" s="126" t="s">
        <v>28</v>
      </c>
      <c r="D7" s="191">
        <f>VLOOKUP($C$4,UsefulValues!$X$5:$AC$22,4,FALSE)</f>
        <v>131</v>
      </c>
      <c r="E7" s="25"/>
      <c r="J7" s="216">
        <f t="shared" ref="J7:J43" si="3">IF(L6, "", J6+1)</f>
        <v>3</v>
      </c>
      <c r="K7" s="217">
        <f t="shared" si="2"/>
        <v>1.6669999999999272</v>
      </c>
      <c r="L7" s="217" t="b">
        <f t="shared" ref="L7:L43" si="4">OR(L6, K7&gt;K6)</f>
        <v>0</v>
      </c>
      <c r="M7" s="217" t="str">
        <f t="shared" ref="M7:M43" si="5">IF(L7, IF(L6, IF(Q6&lt;R6, M6, O6), J5), "")</f>
        <v/>
      </c>
      <c r="N7" s="217" t="str">
        <f t="shared" ref="N7:N43" si="6">IF(L7, IF(L6, IF(Q6&lt;R6, P6, N6), J7), "")</f>
        <v/>
      </c>
      <c r="O7" s="217" t="str">
        <f t="shared" ref="O7:O43" si="7">IF(L7, N7-(N7-M7)/1.618034, "")</f>
        <v/>
      </c>
      <c r="P7" s="217" t="str">
        <f t="shared" ref="P7:P43" si="8">IF(L7, M7+(N7-M7)/1.618034, "")</f>
        <v/>
      </c>
      <c r="Q7" s="217" t="str">
        <f t="shared" si="0"/>
        <v/>
      </c>
      <c r="R7" s="218" t="str">
        <f t="shared" si="1"/>
        <v/>
      </c>
    </row>
    <row r="8" spans="2:18" x14ac:dyDescent="0.55000000000000004">
      <c r="B8" s="25"/>
      <c r="C8" s="126" t="s">
        <v>30</v>
      </c>
      <c r="D8" s="191">
        <f>VLOOKUP($C$4,UsefulValues!$X$5:$AC$22,5,FALSE)</f>
        <v>2.7</v>
      </c>
      <c r="E8" s="25"/>
      <c r="J8" s="216">
        <f t="shared" si="3"/>
        <v>4</v>
      </c>
      <c r="K8" s="217">
        <f t="shared" si="2"/>
        <v>1.5199999999999434</v>
      </c>
      <c r="L8" s="217" t="b">
        <f t="shared" si="4"/>
        <v>0</v>
      </c>
      <c r="M8" s="217" t="str">
        <f t="shared" si="5"/>
        <v/>
      </c>
      <c r="N8" s="217" t="str">
        <f t="shared" si="6"/>
        <v/>
      </c>
      <c r="O8" s="217" t="str">
        <f t="shared" si="7"/>
        <v/>
      </c>
      <c r="P8" s="217" t="str">
        <f t="shared" si="8"/>
        <v/>
      </c>
      <c r="Q8" s="217" t="str">
        <f t="shared" si="0"/>
        <v/>
      </c>
      <c r="R8" s="218" t="str">
        <f t="shared" si="1"/>
        <v/>
      </c>
    </row>
    <row r="9" spans="2:18" x14ac:dyDescent="0.55000000000000004">
      <c r="B9" s="25"/>
      <c r="C9" s="127" t="s">
        <v>31</v>
      </c>
      <c r="D9" s="189">
        <f>(D5/60*2*PI())*D6/4</f>
        <v>336.28916760964142</v>
      </c>
      <c r="E9" s="25"/>
      <c r="J9" s="216">
        <f t="shared" si="3"/>
        <v>5</v>
      </c>
      <c r="K9" s="217">
        <f t="shared" si="2"/>
        <v>1.4629999999999497</v>
      </c>
      <c r="L9" s="217" t="b">
        <f t="shared" si="4"/>
        <v>0</v>
      </c>
      <c r="M9" s="217" t="str">
        <f t="shared" si="5"/>
        <v/>
      </c>
      <c r="N9" s="217" t="str">
        <f t="shared" si="6"/>
        <v/>
      </c>
      <c r="O9" s="217" t="str">
        <f t="shared" si="7"/>
        <v/>
      </c>
      <c r="P9" s="217" t="str">
        <f t="shared" si="8"/>
        <v/>
      </c>
      <c r="Q9" s="217" t="str">
        <f t="shared" si="0"/>
        <v/>
      </c>
      <c r="R9" s="218" t="str">
        <f t="shared" si="1"/>
        <v/>
      </c>
    </row>
    <row r="10" spans="2:18" x14ac:dyDescent="0.55000000000000004">
      <c r="B10" s="25"/>
      <c r="C10" s="25"/>
      <c r="D10" s="25"/>
      <c r="E10" s="25"/>
      <c r="J10" s="216">
        <f t="shared" si="3"/>
        <v>6</v>
      </c>
      <c r="K10" s="217">
        <f t="shared" si="2"/>
        <v>1.4609999999999499</v>
      </c>
      <c r="L10" s="217" t="b">
        <f t="shared" si="4"/>
        <v>0</v>
      </c>
      <c r="M10" s="217" t="str">
        <f t="shared" si="5"/>
        <v/>
      </c>
      <c r="N10" s="217" t="str">
        <f t="shared" si="6"/>
        <v/>
      </c>
      <c r="O10" s="217" t="str">
        <f t="shared" si="7"/>
        <v/>
      </c>
      <c r="P10" s="217" t="str">
        <f t="shared" si="8"/>
        <v/>
      </c>
      <c r="Q10" s="217" t="str">
        <f t="shared" si="0"/>
        <v/>
      </c>
      <c r="R10" s="218" t="str">
        <f t="shared" si="1"/>
        <v/>
      </c>
    </row>
    <row r="11" spans="2:18" x14ac:dyDescent="0.55000000000000004">
      <c r="B11" s="129"/>
      <c r="C11" s="25" t="s">
        <v>35</v>
      </c>
      <c r="D11" s="25"/>
      <c r="E11" s="25"/>
      <c r="J11" s="216">
        <f t="shared" si="3"/>
        <v>7</v>
      </c>
      <c r="K11" s="217">
        <f t="shared" si="2"/>
        <v>1.5559999999999394</v>
      </c>
      <c r="L11" s="217" t="b">
        <f t="shared" si="4"/>
        <v>1</v>
      </c>
      <c r="M11" s="217">
        <f t="shared" si="5"/>
        <v>5</v>
      </c>
      <c r="N11" s="217">
        <f t="shared" si="6"/>
        <v>7</v>
      </c>
      <c r="O11" s="217">
        <f t="shared" si="7"/>
        <v>5.7639320310945257</v>
      </c>
      <c r="P11" s="217">
        <f t="shared" si="8"/>
        <v>6.2360679689054743</v>
      </c>
      <c r="Q11" s="217">
        <f t="shared" si="0"/>
        <v>1.4569999999999503</v>
      </c>
      <c r="R11" s="218">
        <f t="shared" si="1"/>
        <v>1.5089999999999446</v>
      </c>
    </row>
    <row r="12" spans="2:18" x14ac:dyDescent="0.55000000000000004">
      <c r="B12" s="25"/>
      <c r="C12" s="25"/>
      <c r="D12" s="25"/>
      <c r="E12" s="25"/>
      <c r="J12" s="216" t="str">
        <f t="shared" si="3"/>
        <v/>
      </c>
      <c r="K12" s="217" t="str">
        <f t="shared" si="2"/>
        <v/>
      </c>
      <c r="L12" s="217" t="b">
        <f t="shared" si="4"/>
        <v>1</v>
      </c>
      <c r="M12" s="217">
        <f t="shared" si="5"/>
        <v>5</v>
      </c>
      <c r="N12" s="217">
        <f t="shared" si="6"/>
        <v>6.2360679689054743</v>
      </c>
      <c r="O12" s="217">
        <f t="shared" si="7"/>
        <v>5.4721359570284225</v>
      </c>
      <c r="P12" s="217">
        <f t="shared" si="8"/>
        <v>5.7639320118770527</v>
      </c>
      <c r="Q12" s="217">
        <f t="shared" si="0"/>
        <v>1.4559999999999504</v>
      </c>
      <c r="R12" s="218">
        <f t="shared" si="1"/>
        <v>1.4569999999999503</v>
      </c>
    </row>
    <row r="13" spans="2:18" x14ac:dyDescent="0.55000000000000004">
      <c r="B13" s="25"/>
      <c r="C13" s="126" t="s">
        <v>237</v>
      </c>
      <c r="D13" s="129">
        <v>2</v>
      </c>
      <c r="E13" s="25"/>
      <c r="J13" s="216" t="str">
        <f t="shared" si="3"/>
        <v/>
      </c>
      <c r="K13" s="217" t="str">
        <f t="shared" si="2"/>
        <v/>
      </c>
      <c r="L13" s="217" t="b">
        <f t="shared" si="4"/>
        <v>1</v>
      </c>
      <c r="M13" s="217">
        <f t="shared" si="5"/>
        <v>5</v>
      </c>
      <c r="N13" s="217">
        <f t="shared" si="6"/>
        <v>5.7639320118770527</v>
      </c>
      <c r="O13" s="217">
        <f t="shared" si="7"/>
        <v>5.2917960667256825</v>
      </c>
      <c r="P13" s="217">
        <f t="shared" si="8"/>
        <v>5.4721359451513703</v>
      </c>
      <c r="Q13" s="217">
        <f t="shared" si="0"/>
        <v>1.4569999999999503</v>
      </c>
      <c r="R13" s="218">
        <f t="shared" si="1"/>
        <v>1.4559999999999504</v>
      </c>
    </row>
    <row r="14" spans="2:18" x14ac:dyDescent="0.55000000000000004">
      <c r="B14" s="25"/>
      <c r="C14" s="126" t="s">
        <v>238</v>
      </c>
      <c r="D14" s="129">
        <v>2</v>
      </c>
      <c r="E14" s="25"/>
      <c r="J14" s="216" t="str">
        <f t="shared" si="3"/>
        <v/>
      </c>
      <c r="K14" s="217" t="str">
        <f t="shared" si="2"/>
        <v/>
      </c>
      <c r="L14" s="217" t="b">
        <f t="shared" si="4"/>
        <v>1</v>
      </c>
      <c r="M14" s="217">
        <f t="shared" si="5"/>
        <v>5.2917960667256825</v>
      </c>
      <c r="N14" s="217">
        <f t="shared" si="6"/>
        <v>5.7639320118770527</v>
      </c>
      <c r="O14" s="217">
        <f t="shared" si="7"/>
        <v>5.4721359524917927</v>
      </c>
      <c r="P14" s="217">
        <f t="shared" si="8"/>
        <v>5.5835921261109425</v>
      </c>
      <c r="Q14" s="217">
        <f t="shared" si="0"/>
        <v>1.4559999999999504</v>
      </c>
      <c r="R14" s="218">
        <f t="shared" si="1"/>
        <v>1.4559999999999504</v>
      </c>
    </row>
    <row r="15" spans="2:18" x14ac:dyDescent="0.55000000000000004">
      <c r="B15" s="25"/>
      <c r="C15" s="127" t="s">
        <v>34</v>
      </c>
      <c r="D15" s="192">
        <v>0.9</v>
      </c>
      <c r="E15" s="25"/>
      <c r="J15" s="216" t="str">
        <f t="shared" si="3"/>
        <v/>
      </c>
      <c r="K15" s="217" t="str">
        <f t="shared" si="2"/>
        <v/>
      </c>
      <c r="L15" s="217" t="b">
        <f t="shared" si="4"/>
        <v>1</v>
      </c>
      <c r="M15" s="217">
        <f t="shared" si="5"/>
        <v>5.4721359524917927</v>
      </c>
      <c r="N15" s="217">
        <f t="shared" si="6"/>
        <v>5.7639320118770527</v>
      </c>
      <c r="O15" s="217">
        <f t="shared" si="7"/>
        <v>5.5835921306475731</v>
      </c>
      <c r="P15" s="217">
        <f t="shared" si="8"/>
        <v>5.6524758337212724</v>
      </c>
      <c r="Q15" s="217">
        <f t="shared" si="0"/>
        <v>1.4559999999999504</v>
      </c>
      <c r="R15" s="218">
        <f t="shared" si="1"/>
        <v>1.4559999999999504</v>
      </c>
    </row>
    <row r="16" spans="2:18" x14ac:dyDescent="0.55000000000000004">
      <c r="J16" s="216" t="str">
        <f t="shared" si="3"/>
        <v/>
      </c>
      <c r="K16" s="217" t="str">
        <f t="shared" si="2"/>
        <v/>
      </c>
      <c r="L16" s="217" t="b">
        <f t="shared" si="4"/>
        <v>1</v>
      </c>
      <c r="M16" s="217">
        <f t="shared" si="5"/>
        <v>5.5835921306475731</v>
      </c>
      <c r="N16" s="217">
        <f t="shared" si="6"/>
        <v>5.7639320118770527</v>
      </c>
      <c r="O16" s="217">
        <f t="shared" si="7"/>
        <v>5.6524758365250642</v>
      </c>
      <c r="P16" s="217">
        <f t="shared" si="8"/>
        <v>5.6950483059995616</v>
      </c>
      <c r="Q16" s="217">
        <f t="shared" si="0"/>
        <v>1.4559999999999504</v>
      </c>
      <c r="R16" s="218">
        <f t="shared" si="1"/>
        <v>1.4569999999999503</v>
      </c>
    </row>
    <row r="17" spans="2:18" x14ac:dyDescent="0.55000000000000004">
      <c r="B17" s="25"/>
      <c r="C17" s="126" t="str">
        <f>IF(ISBLANK($B$11), "Robot Weight (lbs)", "Robot Weight (kg)")</f>
        <v>Robot Weight (lbs)</v>
      </c>
      <c r="D17" s="129">
        <v>154</v>
      </c>
      <c r="E17" s="25"/>
      <c r="J17" s="216" t="str">
        <f t="shared" si="3"/>
        <v/>
      </c>
      <c r="K17" s="217" t="str">
        <f t="shared" si="2"/>
        <v/>
      </c>
      <c r="L17" s="217" t="b">
        <f t="shared" si="4"/>
        <v>1</v>
      </c>
      <c r="M17" s="217">
        <f t="shared" si="5"/>
        <v>5.5835921306475731</v>
      </c>
      <c r="N17" s="217">
        <f t="shared" si="6"/>
        <v>5.6950483059995616</v>
      </c>
      <c r="O17" s="217">
        <f t="shared" si="7"/>
        <v>5.6261646018549092</v>
      </c>
      <c r="P17" s="217">
        <f t="shared" si="8"/>
        <v>5.6524758347922255</v>
      </c>
      <c r="Q17" s="217">
        <f t="shared" si="0"/>
        <v>1.4559999999999504</v>
      </c>
      <c r="R17" s="218">
        <f t="shared" si="1"/>
        <v>1.4559999999999504</v>
      </c>
    </row>
    <row r="18" spans="2:18" x14ac:dyDescent="0.55000000000000004">
      <c r="B18" s="25"/>
      <c r="C18" s="126" t="s">
        <v>235</v>
      </c>
      <c r="D18" s="192">
        <v>1</v>
      </c>
      <c r="E18" s="25"/>
      <c r="J18" s="216" t="str">
        <f t="shared" si="3"/>
        <v/>
      </c>
      <c r="K18" s="217" t="str">
        <f t="shared" si="2"/>
        <v/>
      </c>
      <c r="L18" s="217" t="b">
        <f t="shared" si="4"/>
        <v>1</v>
      </c>
      <c r="M18" s="217">
        <f t="shared" si="5"/>
        <v>5.6261646018549092</v>
      </c>
      <c r="N18" s="217">
        <f t="shared" si="6"/>
        <v>5.6950483059995616</v>
      </c>
      <c r="O18" s="217">
        <f t="shared" si="7"/>
        <v>5.6524758358631786</v>
      </c>
      <c r="P18" s="217">
        <f t="shared" si="8"/>
        <v>5.6687370719912922</v>
      </c>
      <c r="Q18" s="217">
        <f t="shared" si="0"/>
        <v>1.4559999999999504</v>
      </c>
      <c r="R18" s="218">
        <f t="shared" si="1"/>
        <v>1.4559999999999504</v>
      </c>
    </row>
    <row r="19" spans="2:18" x14ac:dyDescent="0.55000000000000004">
      <c r="B19" s="25"/>
      <c r="C19" s="126" t="str">
        <f>IF(ISBLANK($B$11), "Wheel Diameter (in)", "Wheel Diameter (mm)")</f>
        <v>Wheel Diameter (in)</v>
      </c>
      <c r="D19" s="193">
        <v>4</v>
      </c>
      <c r="E19" s="25"/>
      <c r="J19" s="216" t="str">
        <f t="shared" si="3"/>
        <v/>
      </c>
      <c r="K19" s="217" t="str">
        <f t="shared" si="2"/>
        <v/>
      </c>
      <c r="L19" s="217" t="b">
        <f t="shared" si="4"/>
        <v>1</v>
      </c>
      <c r="M19" s="217">
        <f t="shared" si="5"/>
        <v>5.6524758358631786</v>
      </c>
      <c r="N19" s="217">
        <f t="shared" si="6"/>
        <v>5.6950483059995616</v>
      </c>
      <c r="O19" s="217">
        <f t="shared" si="7"/>
        <v>5.6687370726531778</v>
      </c>
      <c r="P19" s="217">
        <f t="shared" si="8"/>
        <v>5.6787870692095623</v>
      </c>
      <c r="Q19" s="217">
        <f t="shared" si="0"/>
        <v>1.4559999999999504</v>
      </c>
      <c r="R19" s="218">
        <f t="shared" si="1"/>
        <v>1.4569999999999503</v>
      </c>
    </row>
    <row r="20" spans="2:18" x14ac:dyDescent="0.55000000000000004">
      <c r="B20" s="25"/>
      <c r="C20" s="126" t="s">
        <v>240</v>
      </c>
      <c r="D20" s="193">
        <v>1</v>
      </c>
      <c r="E20" s="25"/>
      <c r="J20" s="216" t="str">
        <f t="shared" si="3"/>
        <v/>
      </c>
      <c r="K20" s="217" t="str">
        <f t="shared" si="2"/>
        <v/>
      </c>
      <c r="L20" s="217" t="b">
        <f t="shared" si="4"/>
        <v>1</v>
      </c>
      <c r="M20" s="217">
        <f t="shared" si="5"/>
        <v>5.6524758358631786</v>
      </c>
      <c r="N20" s="217">
        <f t="shared" si="6"/>
        <v>5.6787870692095623</v>
      </c>
      <c r="O20" s="217">
        <f t="shared" si="7"/>
        <v>5.6625258328286314</v>
      </c>
      <c r="P20" s="217">
        <f t="shared" si="8"/>
        <v>5.6687370722441095</v>
      </c>
      <c r="Q20" s="217">
        <f t="shared" si="0"/>
        <v>1.4559999999999504</v>
      </c>
      <c r="R20" s="218">
        <f t="shared" si="1"/>
        <v>1.4559999999999504</v>
      </c>
    </row>
    <row r="21" spans="2:18" x14ac:dyDescent="0.55000000000000004">
      <c r="B21" s="25"/>
      <c r="C21" s="25"/>
      <c r="D21" s="25"/>
      <c r="E21" s="25"/>
      <c r="J21" s="216" t="str">
        <f t="shared" si="3"/>
        <v/>
      </c>
      <c r="K21" s="217" t="str">
        <f t="shared" si="2"/>
        <v/>
      </c>
      <c r="L21" s="217" t="b">
        <f t="shared" si="4"/>
        <v>1</v>
      </c>
      <c r="M21" s="217">
        <f t="shared" si="5"/>
        <v>5.6625258328286314</v>
      </c>
      <c r="N21" s="217">
        <f t="shared" si="6"/>
        <v>5.6787870692095623</v>
      </c>
      <c r="O21" s="217">
        <f t="shared" si="7"/>
        <v>5.6687370724969277</v>
      </c>
      <c r="P21" s="217">
        <f t="shared" si="8"/>
        <v>5.672575829541266</v>
      </c>
      <c r="Q21" s="217">
        <f t="shared" si="0"/>
        <v>1.4559999999999504</v>
      </c>
      <c r="R21" s="218">
        <f t="shared" si="1"/>
        <v>1.4559999999999504</v>
      </c>
    </row>
    <row r="22" spans="2:18" x14ac:dyDescent="0.55000000000000004">
      <c r="B22" s="25"/>
      <c r="C22" s="25"/>
      <c r="D22" s="25"/>
      <c r="E22" s="25"/>
      <c r="J22" s="216" t="str">
        <f t="shared" si="3"/>
        <v/>
      </c>
      <c r="K22" s="217" t="str">
        <f t="shared" si="2"/>
        <v/>
      </c>
      <c r="L22" s="217" t="b">
        <f t="shared" si="4"/>
        <v>1</v>
      </c>
      <c r="M22" s="217">
        <f t="shared" si="5"/>
        <v>5.6687370724969277</v>
      </c>
      <c r="N22" s="217">
        <f t="shared" si="6"/>
        <v>5.6787870692095623</v>
      </c>
      <c r="O22" s="217">
        <f t="shared" si="7"/>
        <v>5.6725758296975162</v>
      </c>
      <c r="P22" s="217">
        <f t="shared" si="8"/>
        <v>5.6749483120089739</v>
      </c>
      <c r="Q22" s="217">
        <f t="shared" si="0"/>
        <v>1.4559999999999504</v>
      </c>
      <c r="R22" s="218">
        <f t="shared" si="1"/>
        <v>1.4559999999999504</v>
      </c>
    </row>
    <row r="23" spans="2:18" x14ac:dyDescent="0.55000000000000004">
      <c r="B23" s="25"/>
      <c r="E23" s="25"/>
      <c r="J23" s="216" t="str">
        <f t="shared" si="3"/>
        <v/>
      </c>
      <c r="K23" s="217" t="str">
        <f t="shared" si="2"/>
        <v/>
      </c>
      <c r="L23" s="217" t="b">
        <f t="shared" si="4"/>
        <v>1</v>
      </c>
      <c r="M23" s="217">
        <f t="shared" si="5"/>
        <v>5.6725758296975162</v>
      </c>
      <c r="N23" s="217">
        <f t="shared" si="6"/>
        <v>5.6787870692095623</v>
      </c>
      <c r="O23" s="217">
        <f t="shared" si="7"/>
        <v>5.674948312105542</v>
      </c>
      <c r="P23" s="217">
        <f t="shared" si="8"/>
        <v>5.6764145868015365</v>
      </c>
      <c r="Q23" s="217">
        <f t="shared" si="0"/>
        <v>1.4559999999999504</v>
      </c>
      <c r="R23" s="218">
        <f t="shared" si="1"/>
        <v>1.4569999999999503</v>
      </c>
    </row>
    <row r="24" spans="2:18" x14ac:dyDescent="0.55000000000000004">
      <c r="J24" s="216" t="str">
        <f t="shared" si="3"/>
        <v/>
      </c>
      <c r="K24" s="217" t="str">
        <f t="shared" si="2"/>
        <v/>
      </c>
      <c r="L24" s="217" t="b">
        <f t="shared" si="4"/>
        <v>1</v>
      </c>
      <c r="M24" s="217">
        <f t="shared" si="5"/>
        <v>5.6725758296975162</v>
      </c>
      <c r="N24" s="217">
        <f t="shared" si="6"/>
        <v>5.6764145868015365</v>
      </c>
      <c r="O24" s="217">
        <f t="shared" si="7"/>
        <v>5.6740421044531928</v>
      </c>
      <c r="P24" s="217">
        <f t="shared" si="8"/>
        <v>5.6749483120458599</v>
      </c>
      <c r="Q24" s="217">
        <f t="shared" si="0"/>
        <v>1.4559999999999504</v>
      </c>
      <c r="R24" s="218">
        <f t="shared" si="1"/>
        <v>1.4559999999999504</v>
      </c>
    </row>
    <row r="25" spans="2:18" ht="18.3" x14ac:dyDescent="0.7">
      <c r="C25" s="169" t="s">
        <v>325</v>
      </c>
      <c r="E25" s="25"/>
      <c r="F25" s="169" t="s">
        <v>326</v>
      </c>
      <c r="J25" s="216" t="str">
        <f t="shared" si="3"/>
        <v/>
      </c>
      <c r="K25" s="217" t="str">
        <f t="shared" si="2"/>
        <v/>
      </c>
      <c r="L25" s="217" t="b">
        <f t="shared" si="4"/>
        <v>1</v>
      </c>
      <c r="M25" s="217">
        <f t="shared" si="5"/>
        <v>5.6740421044531928</v>
      </c>
      <c r="N25" s="217">
        <f t="shared" si="6"/>
        <v>5.6764145868015365</v>
      </c>
      <c r="O25" s="217">
        <f t="shared" si="7"/>
        <v>5.674948312082746</v>
      </c>
      <c r="P25" s="217">
        <f t="shared" si="8"/>
        <v>5.6755083791719834</v>
      </c>
      <c r="Q25" s="217">
        <f t="shared" si="0"/>
        <v>1.4559999999999504</v>
      </c>
      <c r="R25" s="218">
        <f t="shared" si="1"/>
        <v>1.4559999999999504</v>
      </c>
    </row>
    <row r="26" spans="2:18" x14ac:dyDescent="0.55000000000000004">
      <c r="C26" s="1" t="s">
        <v>25</v>
      </c>
      <c r="D26" s="210">
        <v>5.68</v>
      </c>
      <c r="E26" s="25"/>
      <c r="F26" s="126" t="str">
        <f>IF(ISBLANK($B$11), "Sprint Distance (ft)", "Sprint Distance (m)")</f>
        <v>Sprint Distance (ft)</v>
      </c>
      <c r="G26" s="129">
        <v>15</v>
      </c>
      <c r="J26" s="216" t="str">
        <f t="shared" si="3"/>
        <v/>
      </c>
      <c r="K26" s="217" t="str">
        <f t="shared" si="2"/>
        <v/>
      </c>
      <c r="L26" s="217" t="b">
        <f t="shared" si="4"/>
        <v>1</v>
      </c>
      <c r="M26" s="217">
        <f t="shared" si="5"/>
        <v>5.674948312082746</v>
      </c>
      <c r="N26" s="217">
        <f t="shared" si="6"/>
        <v>5.6764145868015365</v>
      </c>
      <c r="O26" s="217">
        <f t="shared" si="7"/>
        <v>5.6755083791947802</v>
      </c>
      <c r="P26" s="217">
        <f t="shared" si="8"/>
        <v>5.6758545196895023</v>
      </c>
      <c r="Q26" s="217">
        <f t="shared" si="0"/>
        <v>1.4559999999999504</v>
      </c>
      <c r="R26" s="218">
        <f t="shared" si="1"/>
        <v>1.4559999999999504</v>
      </c>
    </row>
    <row r="27" spans="2:18" x14ac:dyDescent="0.55000000000000004">
      <c r="C27" s="126" t="str">
        <f>IF(ISBLANK($B$11), "Sprint Distance (ft)", "Sprint Distance (m)")</f>
        <v>Sprint Distance (ft)</v>
      </c>
      <c r="D27" s="2">
        <v>30</v>
      </c>
      <c r="G27" s="25"/>
      <c r="J27" s="216" t="str">
        <f t="shared" si="3"/>
        <v/>
      </c>
      <c r="K27" s="217" t="str">
        <f t="shared" si="2"/>
        <v/>
      </c>
      <c r="L27" s="217" t="b">
        <f t="shared" si="4"/>
        <v>1</v>
      </c>
      <c r="M27" s="217">
        <f t="shared" si="5"/>
        <v>5.6755083791947802</v>
      </c>
      <c r="N27" s="217">
        <f t="shared" si="6"/>
        <v>5.6764145868015365</v>
      </c>
      <c r="O27" s="217">
        <f t="shared" si="7"/>
        <v>5.6758545197035914</v>
      </c>
      <c r="P27" s="217">
        <f t="shared" si="8"/>
        <v>5.6760684462927253</v>
      </c>
      <c r="Q27" s="217">
        <f t="shared" si="0"/>
        <v>1.4559999999999504</v>
      </c>
      <c r="R27" s="218">
        <f t="shared" si="1"/>
        <v>1.4559999999999504</v>
      </c>
    </row>
    <row r="28" spans="2:18" x14ac:dyDescent="0.55000000000000004">
      <c r="F28" s="1" t="s">
        <v>388</v>
      </c>
      <c r="G28" s="197">
        <f>O43</f>
        <v>5.6763733498054867</v>
      </c>
      <c r="J28" s="216" t="str">
        <f t="shared" si="3"/>
        <v/>
      </c>
      <c r="K28" s="217" t="str">
        <f t="shared" si="2"/>
        <v/>
      </c>
      <c r="L28" s="217" t="b">
        <f t="shared" si="4"/>
        <v>1</v>
      </c>
      <c r="M28" s="217">
        <f t="shared" si="5"/>
        <v>5.6758545197035914</v>
      </c>
      <c r="N28" s="217">
        <f t="shared" si="6"/>
        <v>5.6764145868015365</v>
      </c>
      <c r="O28" s="217">
        <f t="shared" si="7"/>
        <v>5.676068446301433</v>
      </c>
      <c r="P28" s="217">
        <f t="shared" si="8"/>
        <v>5.676200660203695</v>
      </c>
      <c r="Q28" s="217">
        <f t="shared" si="0"/>
        <v>1.4559999999999504</v>
      </c>
      <c r="R28" s="218">
        <f t="shared" si="1"/>
        <v>1.4559999999999504</v>
      </c>
    </row>
    <row r="29" spans="2:18" x14ac:dyDescent="0.55000000000000004">
      <c r="C29" s="1" t="s">
        <v>389</v>
      </c>
      <c r="D29" s="222">
        <f>TimeToDist($D$27*IF(ISBLANK($B$11),1,3.28083), $D$6*$D$15, $D$5, $D$7, $D$13*$D$14, D26, $D$19/IF(ISBLANK($B$11),1,25.4)/2, $D$17*IF(ISBLANK($B$11),1,2.2), $D$18, $D$20)</f>
        <v>2.4229999999998442</v>
      </c>
      <c r="F29" s="1" t="s">
        <v>389</v>
      </c>
      <c r="G29" s="222">
        <f>Q43</f>
        <v>1.4559999999999504</v>
      </c>
      <c r="J29" s="216" t="str">
        <f t="shared" si="3"/>
        <v/>
      </c>
      <c r="K29" s="217" t="str">
        <f t="shared" si="2"/>
        <v/>
      </c>
      <c r="L29" s="217" t="b">
        <f t="shared" si="4"/>
        <v>1</v>
      </c>
      <c r="M29" s="217">
        <f t="shared" si="5"/>
        <v>5.676068446301433</v>
      </c>
      <c r="N29" s="217">
        <f t="shared" si="6"/>
        <v>5.6764145868015365</v>
      </c>
      <c r="O29" s="217">
        <f t="shared" si="7"/>
        <v>5.6762006602090773</v>
      </c>
      <c r="P29" s="217">
        <f t="shared" si="8"/>
        <v>5.6762823728938923</v>
      </c>
      <c r="Q29" s="217">
        <f t="shared" si="0"/>
        <v>1.4559999999999504</v>
      </c>
      <c r="R29" s="218">
        <f t="shared" si="1"/>
        <v>1.4559999999999504</v>
      </c>
    </row>
    <row r="30" spans="2:18" x14ac:dyDescent="0.55000000000000004">
      <c r="F30" s="1" t="str">
        <f>IF(ISBLANK(B11), "Top Speed (ft/s)", "Top Speed (m/s)")</f>
        <v>Top Speed (ft/s)</v>
      </c>
      <c r="G30" s="112">
        <f>D5/60*2*PI()*(D19/IF(ISBLANK(B11), 12, 1000)/2)/G28</f>
        <v>16.38828938806245</v>
      </c>
      <c r="J30" s="216" t="str">
        <f t="shared" si="3"/>
        <v/>
      </c>
      <c r="K30" s="217" t="str">
        <f t="shared" si="2"/>
        <v/>
      </c>
      <c r="L30" s="217" t="b">
        <f t="shared" si="4"/>
        <v>1</v>
      </c>
      <c r="M30" s="217">
        <f t="shared" si="5"/>
        <v>5.6762006602090773</v>
      </c>
      <c r="N30" s="217">
        <f t="shared" si="6"/>
        <v>5.6764145868015365</v>
      </c>
      <c r="O30" s="217">
        <f t="shared" si="7"/>
        <v>5.6762823728972185</v>
      </c>
      <c r="P30" s="217">
        <f t="shared" si="8"/>
        <v>5.6763328741133954</v>
      </c>
      <c r="Q30" s="217">
        <f t="shared" si="0"/>
        <v>1.4559999999999504</v>
      </c>
      <c r="R30" s="218">
        <f t="shared" si="1"/>
        <v>1.4559999999999504</v>
      </c>
    </row>
    <row r="31" spans="2:18" x14ac:dyDescent="0.55000000000000004">
      <c r="J31" s="216" t="str">
        <f t="shared" si="3"/>
        <v/>
      </c>
      <c r="K31" s="217" t="str">
        <f t="shared" si="2"/>
        <v/>
      </c>
      <c r="L31" s="217" t="b">
        <f t="shared" si="4"/>
        <v>1</v>
      </c>
      <c r="M31" s="217">
        <f t="shared" si="5"/>
        <v>5.6762823728972185</v>
      </c>
      <c r="N31" s="217">
        <f t="shared" si="6"/>
        <v>5.6764145868015365</v>
      </c>
      <c r="O31" s="217">
        <f t="shared" si="7"/>
        <v>5.6763328741154506</v>
      </c>
      <c r="P31" s="217">
        <f t="shared" si="8"/>
        <v>5.6763640855833044</v>
      </c>
      <c r="Q31" s="217">
        <f t="shared" si="0"/>
        <v>1.4559999999999504</v>
      </c>
      <c r="R31" s="218">
        <f t="shared" si="1"/>
        <v>1.4559999999999504</v>
      </c>
    </row>
    <row r="32" spans="2:18" x14ac:dyDescent="0.55000000000000004">
      <c r="J32" s="216" t="str">
        <f t="shared" si="3"/>
        <v/>
      </c>
      <c r="K32" s="217" t="str">
        <f t="shared" si="2"/>
        <v/>
      </c>
      <c r="L32" s="217" t="b">
        <f t="shared" si="4"/>
        <v>1</v>
      </c>
      <c r="M32" s="217">
        <f t="shared" si="5"/>
        <v>5.6763328741154506</v>
      </c>
      <c r="N32" s="217">
        <f t="shared" si="6"/>
        <v>5.6764145868015365</v>
      </c>
      <c r="O32" s="217">
        <f t="shared" si="7"/>
        <v>5.6763640855845745</v>
      </c>
      <c r="P32" s="217">
        <f t="shared" si="8"/>
        <v>5.6763833753324127</v>
      </c>
      <c r="Q32" s="217">
        <f t="shared" si="0"/>
        <v>1.4559999999999504</v>
      </c>
      <c r="R32" s="218">
        <f t="shared" si="1"/>
        <v>1.4569999999999503</v>
      </c>
    </row>
    <row r="33" spans="10:18" x14ac:dyDescent="0.55000000000000004">
      <c r="J33" s="216" t="str">
        <f t="shared" si="3"/>
        <v/>
      </c>
      <c r="K33" s="217" t="str">
        <f t="shared" si="2"/>
        <v/>
      </c>
      <c r="L33" s="217" t="b">
        <f t="shared" si="4"/>
        <v>1</v>
      </c>
      <c r="M33" s="217">
        <f t="shared" si="5"/>
        <v>5.6763328741154506</v>
      </c>
      <c r="N33" s="217">
        <f t="shared" si="6"/>
        <v>5.6763833753324127</v>
      </c>
      <c r="O33" s="217">
        <f t="shared" si="7"/>
        <v>5.6763521638640739</v>
      </c>
      <c r="P33" s="217">
        <f t="shared" si="8"/>
        <v>5.6763640855837894</v>
      </c>
      <c r="Q33" s="217">
        <f t="shared" si="0"/>
        <v>1.4559999999999504</v>
      </c>
      <c r="R33" s="218">
        <f t="shared" si="1"/>
        <v>1.4559999999999504</v>
      </c>
    </row>
    <row r="34" spans="10:18" x14ac:dyDescent="0.55000000000000004">
      <c r="J34" s="216" t="str">
        <f t="shared" si="3"/>
        <v/>
      </c>
      <c r="K34" s="217" t="str">
        <f t="shared" si="2"/>
        <v/>
      </c>
      <c r="L34" s="217" t="b">
        <f t="shared" si="4"/>
        <v>1</v>
      </c>
      <c r="M34" s="217">
        <f t="shared" si="5"/>
        <v>5.6763521638640739</v>
      </c>
      <c r="N34" s="217">
        <f t="shared" si="6"/>
        <v>5.6763833753324127</v>
      </c>
      <c r="O34" s="217">
        <f t="shared" si="7"/>
        <v>5.6763640855842743</v>
      </c>
      <c r="P34" s="217">
        <f t="shared" si="8"/>
        <v>5.6763714536122123</v>
      </c>
      <c r="Q34" s="217">
        <f t="shared" si="0"/>
        <v>1.4559999999999504</v>
      </c>
      <c r="R34" s="218">
        <f t="shared" si="1"/>
        <v>1.4559999999999504</v>
      </c>
    </row>
    <row r="35" spans="10:18" x14ac:dyDescent="0.55000000000000004">
      <c r="J35" s="216" t="str">
        <f t="shared" si="3"/>
        <v/>
      </c>
      <c r="K35" s="217" t="str">
        <f t="shared" si="2"/>
        <v/>
      </c>
      <c r="L35" s="217" t="b">
        <f t="shared" si="4"/>
        <v>1</v>
      </c>
      <c r="M35" s="217">
        <f t="shared" si="5"/>
        <v>5.6763640855842743</v>
      </c>
      <c r="N35" s="217">
        <f t="shared" si="6"/>
        <v>5.6763833753324127</v>
      </c>
      <c r="O35" s="217">
        <f t="shared" si="7"/>
        <v>5.6763714536125116</v>
      </c>
      <c r="P35" s="217">
        <f t="shared" si="8"/>
        <v>5.6763760073041754</v>
      </c>
      <c r="Q35" s="217">
        <f t="shared" si="0"/>
        <v>1.4559999999999504</v>
      </c>
      <c r="R35" s="218">
        <f t="shared" si="1"/>
        <v>1.4569999999999503</v>
      </c>
    </row>
    <row r="36" spans="10:18" x14ac:dyDescent="0.55000000000000004">
      <c r="J36" s="216" t="str">
        <f t="shared" si="3"/>
        <v/>
      </c>
      <c r="K36" s="217" t="str">
        <f t="shared" si="2"/>
        <v/>
      </c>
      <c r="L36" s="217" t="b">
        <f t="shared" si="4"/>
        <v>1</v>
      </c>
      <c r="M36" s="217">
        <f t="shared" si="5"/>
        <v>5.6763640855842743</v>
      </c>
      <c r="N36" s="217">
        <f t="shared" si="6"/>
        <v>5.6763760073041754</v>
      </c>
      <c r="O36" s="217">
        <f t="shared" si="7"/>
        <v>5.6763686392761237</v>
      </c>
      <c r="P36" s="217">
        <f t="shared" si="8"/>
        <v>5.676371453612326</v>
      </c>
      <c r="Q36" s="217">
        <f t="shared" si="0"/>
        <v>1.4559999999999504</v>
      </c>
      <c r="R36" s="218">
        <f t="shared" si="1"/>
        <v>1.4559999999999504</v>
      </c>
    </row>
    <row r="37" spans="10:18" x14ac:dyDescent="0.55000000000000004">
      <c r="J37" s="216" t="str">
        <f t="shared" si="3"/>
        <v/>
      </c>
      <c r="K37" s="217" t="str">
        <f t="shared" si="2"/>
        <v/>
      </c>
      <c r="L37" s="217" t="b">
        <f t="shared" si="4"/>
        <v>1</v>
      </c>
      <c r="M37" s="217">
        <f t="shared" si="5"/>
        <v>5.6763686392761237</v>
      </c>
      <c r="N37" s="217">
        <f t="shared" si="6"/>
        <v>5.6763760073041754</v>
      </c>
      <c r="O37" s="217">
        <f t="shared" si="7"/>
        <v>5.6763714536124414</v>
      </c>
      <c r="P37" s="217">
        <f t="shared" si="8"/>
        <v>5.6763731929678576</v>
      </c>
      <c r="Q37" s="217">
        <f t="shared" si="0"/>
        <v>1.4559999999999504</v>
      </c>
      <c r="R37" s="218">
        <f t="shared" si="1"/>
        <v>1.4559999999999504</v>
      </c>
    </row>
    <row r="38" spans="10:18" x14ac:dyDescent="0.55000000000000004">
      <c r="J38" s="216" t="str">
        <f t="shared" si="3"/>
        <v/>
      </c>
      <c r="K38" s="217" t="str">
        <f t="shared" si="2"/>
        <v/>
      </c>
      <c r="L38" s="217" t="b">
        <f t="shared" si="4"/>
        <v>1</v>
      </c>
      <c r="M38" s="217">
        <f t="shared" si="5"/>
        <v>5.6763714536124414</v>
      </c>
      <c r="N38" s="217">
        <f t="shared" si="6"/>
        <v>5.6763760073041754</v>
      </c>
      <c r="O38" s="217">
        <f t="shared" si="7"/>
        <v>5.6763731929679286</v>
      </c>
      <c r="P38" s="217">
        <f t="shared" si="8"/>
        <v>5.6763742679486882</v>
      </c>
      <c r="Q38" s="217">
        <f t="shared" si="0"/>
        <v>1.4559999999999504</v>
      </c>
      <c r="R38" s="218">
        <f t="shared" si="1"/>
        <v>1.4569999999999503</v>
      </c>
    </row>
    <row r="39" spans="10:18" x14ac:dyDescent="0.55000000000000004">
      <c r="J39" s="216" t="str">
        <f t="shared" si="3"/>
        <v/>
      </c>
      <c r="K39" s="217" t="str">
        <f t="shared" si="2"/>
        <v/>
      </c>
      <c r="L39" s="217" t="b">
        <f t="shared" si="4"/>
        <v>1</v>
      </c>
      <c r="M39" s="217">
        <f t="shared" si="5"/>
        <v>5.6763714536124414</v>
      </c>
      <c r="N39" s="217">
        <f t="shared" si="6"/>
        <v>5.6763742679486882</v>
      </c>
      <c r="O39" s="217">
        <f t="shared" si="7"/>
        <v>5.6763725285932436</v>
      </c>
      <c r="P39" s="217">
        <f t="shared" si="8"/>
        <v>5.676373192967886</v>
      </c>
      <c r="Q39" s="217">
        <f t="shared" si="0"/>
        <v>1.4559999999999504</v>
      </c>
      <c r="R39" s="218">
        <f t="shared" si="1"/>
        <v>1.4559999999999504</v>
      </c>
    </row>
    <row r="40" spans="10:18" x14ac:dyDescent="0.55000000000000004">
      <c r="J40" s="216" t="str">
        <f t="shared" si="3"/>
        <v/>
      </c>
      <c r="K40" s="217" t="str">
        <f t="shared" si="2"/>
        <v/>
      </c>
      <c r="L40" s="217" t="b">
        <f t="shared" si="4"/>
        <v>1</v>
      </c>
      <c r="M40" s="217">
        <f t="shared" si="5"/>
        <v>5.6763725285932436</v>
      </c>
      <c r="N40" s="217">
        <f t="shared" si="6"/>
        <v>5.6763742679486882</v>
      </c>
      <c r="O40" s="217">
        <f t="shared" si="7"/>
        <v>5.6763731929679127</v>
      </c>
      <c r="P40" s="217">
        <f t="shared" si="8"/>
        <v>5.6763736035740191</v>
      </c>
      <c r="Q40" s="217">
        <f t="shared" si="0"/>
        <v>1.4559999999999504</v>
      </c>
      <c r="R40" s="218">
        <f t="shared" si="1"/>
        <v>1.4569999999999503</v>
      </c>
    </row>
    <row r="41" spans="10:18" x14ac:dyDescent="0.55000000000000004">
      <c r="J41" s="216" t="str">
        <f t="shared" si="3"/>
        <v/>
      </c>
      <c r="K41" s="217" t="str">
        <f t="shared" si="2"/>
        <v/>
      </c>
      <c r="L41" s="217" t="b">
        <f t="shared" si="4"/>
        <v>1</v>
      </c>
      <c r="M41" s="217">
        <f t="shared" si="5"/>
        <v>5.6763725285932436</v>
      </c>
      <c r="N41" s="217">
        <f t="shared" si="6"/>
        <v>5.6763736035740191</v>
      </c>
      <c r="O41" s="217">
        <f t="shared" si="7"/>
        <v>5.6763729391993669</v>
      </c>
      <c r="P41" s="217">
        <f t="shared" si="8"/>
        <v>5.6763731929678958</v>
      </c>
      <c r="Q41" s="217">
        <f t="shared" si="0"/>
        <v>1.4559999999999504</v>
      </c>
      <c r="R41" s="218">
        <f t="shared" si="1"/>
        <v>1.4559999999999504</v>
      </c>
    </row>
    <row r="42" spans="10:18" x14ac:dyDescent="0.55000000000000004">
      <c r="J42" s="216" t="str">
        <f t="shared" si="3"/>
        <v/>
      </c>
      <c r="K42" s="217" t="str">
        <f t="shared" si="2"/>
        <v/>
      </c>
      <c r="L42" s="217" t="b">
        <f t="shared" si="4"/>
        <v>1</v>
      </c>
      <c r="M42" s="217">
        <f t="shared" si="5"/>
        <v>5.6763729391993669</v>
      </c>
      <c r="N42" s="217">
        <f t="shared" si="6"/>
        <v>5.6763736035740191</v>
      </c>
      <c r="O42" s="217">
        <f t="shared" si="7"/>
        <v>5.6763731929679055</v>
      </c>
      <c r="P42" s="217">
        <f t="shared" si="8"/>
        <v>5.6763733498054805</v>
      </c>
      <c r="Q42" s="217">
        <f t="shared" si="0"/>
        <v>1.4559999999999504</v>
      </c>
      <c r="R42" s="218">
        <f t="shared" si="1"/>
        <v>1.4559999999999504</v>
      </c>
    </row>
    <row r="43" spans="10:18" x14ac:dyDescent="0.55000000000000004">
      <c r="J43" s="219" t="str">
        <f t="shared" si="3"/>
        <v/>
      </c>
      <c r="K43" s="220" t="str">
        <f t="shared" si="2"/>
        <v/>
      </c>
      <c r="L43" s="220" t="b">
        <f t="shared" si="4"/>
        <v>1</v>
      </c>
      <c r="M43" s="220">
        <f t="shared" si="5"/>
        <v>5.6763731929679055</v>
      </c>
      <c r="N43" s="220">
        <f t="shared" si="6"/>
        <v>5.6763736035740191</v>
      </c>
      <c r="O43" s="220">
        <f t="shared" si="7"/>
        <v>5.6763733498054867</v>
      </c>
      <c r="P43" s="220">
        <f t="shared" si="8"/>
        <v>5.676373446736438</v>
      </c>
      <c r="Q43" s="220">
        <f t="shared" si="0"/>
        <v>1.4559999999999504</v>
      </c>
      <c r="R43" s="221">
        <f t="shared" si="1"/>
        <v>1.4559999999999504</v>
      </c>
    </row>
  </sheetData>
  <mergeCells count="1">
    <mergeCell ref="C4:D4"/>
  </mergeCells>
  <conditionalFormatting sqref="D13">
    <cfRule type="expression" dxfId="48" priority="10">
      <formula>$D$13&lt;=0</formula>
    </cfRule>
  </conditionalFormatting>
  <conditionalFormatting sqref="D14">
    <cfRule type="expression" dxfId="47" priority="9">
      <formula>$D$14&lt;=0</formula>
    </cfRule>
  </conditionalFormatting>
  <conditionalFormatting sqref="D15">
    <cfRule type="expression" dxfId="46" priority="8">
      <formula>OR($D$15&lt;=0, $D$15&gt;1)</formula>
    </cfRule>
  </conditionalFormatting>
  <conditionalFormatting sqref="D17">
    <cfRule type="expression" dxfId="45" priority="7">
      <formula>$D$17&lt;=0</formula>
    </cfRule>
  </conditionalFormatting>
  <conditionalFormatting sqref="D18">
    <cfRule type="expression" dxfId="44" priority="6">
      <formula>OR($D$18&lt;=0, $D$18&gt;1)</formula>
    </cfRule>
  </conditionalFormatting>
  <conditionalFormatting sqref="D19">
    <cfRule type="expression" dxfId="43" priority="5">
      <formula>$D$19&lt;=0</formula>
    </cfRule>
  </conditionalFormatting>
  <conditionalFormatting sqref="D20">
    <cfRule type="expression" dxfId="42" priority="4">
      <formula>$D$20&lt;=0</formula>
    </cfRule>
  </conditionalFormatting>
  <conditionalFormatting sqref="D26">
    <cfRule type="expression" dxfId="41" priority="3">
      <formula>$D$26&lt;=0</formula>
    </cfRule>
  </conditionalFormatting>
  <conditionalFormatting sqref="D27">
    <cfRule type="expression" dxfId="40" priority="2">
      <formula>$D$27&lt;=0</formula>
    </cfRule>
  </conditionalFormatting>
  <conditionalFormatting sqref="G26">
    <cfRule type="expression" dxfId="39" priority="1">
      <formula>$G$26&lt;=0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E96BDE4-6E14-4924-8DE1-F48D3B9893C7}">
          <x14:formula1>
            <xm:f>UsefulValues!$X$5:$X$22</xm:f>
          </x14:formula1>
          <xm:sqref>C4:D4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sheetPr>
  <dimension ref="B2:P27"/>
  <sheetViews>
    <sheetView workbookViewId="0"/>
  </sheetViews>
  <sheetFormatPr defaultColWidth="9.15625" defaultRowHeight="14.4" x14ac:dyDescent="0.55000000000000004"/>
  <cols>
    <col min="1" max="1" width="9.15625" style="25"/>
    <col min="2" max="2" width="2.68359375" style="25" customWidth="1"/>
    <col min="3" max="3" width="18.83984375" style="25" customWidth="1"/>
    <col min="4" max="4" width="8.83984375" style="25" customWidth="1"/>
    <col min="5" max="5" width="9.41796875" style="25" customWidth="1"/>
    <col min="6" max="6" width="8.68359375" style="25" customWidth="1"/>
    <col min="7" max="7" width="20.83984375" style="25" customWidth="1"/>
    <col min="8" max="9" width="11.26171875" style="25" customWidth="1"/>
    <col min="10" max="10" width="12.68359375" style="25" customWidth="1"/>
    <col min="11" max="19" width="11.26171875" style="25" customWidth="1"/>
    <col min="20" max="16384" width="9.15625" style="25"/>
  </cols>
  <sheetData>
    <row r="2" spans="3:16" ht="30.6" x14ac:dyDescent="1.1000000000000001">
      <c r="C2" s="5" t="s">
        <v>262</v>
      </c>
    </row>
    <row r="4" spans="3:16" x14ac:dyDescent="0.55000000000000004">
      <c r="C4" s="227" t="s">
        <v>284</v>
      </c>
      <c r="D4" s="227"/>
      <c r="E4" s="7" t="s">
        <v>18</v>
      </c>
      <c r="H4" s="159" t="s">
        <v>20</v>
      </c>
      <c r="I4" s="111" t="s">
        <v>19</v>
      </c>
      <c r="J4" s="159" t="s">
        <v>321</v>
      </c>
      <c r="K4" s="111" t="s">
        <v>289</v>
      </c>
      <c r="L4" s="159" t="s">
        <v>21</v>
      </c>
      <c r="M4" s="159" t="s">
        <v>22</v>
      </c>
      <c r="N4" s="111" t="s">
        <v>23</v>
      </c>
      <c r="O4" s="111" t="s">
        <v>319</v>
      </c>
    </row>
    <row r="5" spans="3:16" x14ac:dyDescent="0.55000000000000004">
      <c r="C5" s="126" t="s">
        <v>24</v>
      </c>
      <c r="D5" s="189">
        <f>VLOOKUP($C$4,UsefulValues!$X$5:$AC$22,2,FALSE)</f>
        <v>18730</v>
      </c>
      <c r="E5" s="128">
        <f>D5*(D$12/12)</f>
        <v>18730</v>
      </c>
      <c r="G5" s="126" t="s">
        <v>25</v>
      </c>
      <c r="H5" s="197">
        <f>E27</f>
        <v>7.2</v>
      </c>
      <c r="I5" s="197">
        <f>E15*(I11*IF(ISBLANK(B$19), 1, 2.205))/E6*0.113</f>
        <v>2.387323943661972</v>
      </c>
      <c r="J5" s="197">
        <f>E15*E16/8.850745792/((SQRT(E8)*E6)/(SQRT(E7)+SQRT(E8)))</f>
        <v>17.706518660659306</v>
      </c>
      <c r="K5" s="197">
        <f>E15*(K11*IF(ISBLANK(B$19), 1, 2.205))/E6*0.113</f>
        <v>1.193661971830986</v>
      </c>
      <c r="L5" s="197">
        <f>($E$6*$E$5+SQRT(($E$6*$E$5)^2-27.119*$E$16*$E$15*L7*$E$6*$E$5))/(120*L7*$E$6)</f>
        <v>102.8479222165673</v>
      </c>
      <c r="M5" s="197">
        <f>($E$6*$E$5+SQRT(($E$6*$E$5)^2-27.119*$E$16*$E$15*M7*$E$6*$E$5))/(120*M7*$E$6)</f>
        <v>162.24762024238342</v>
      </c>
      <c r="N5" s="197">
        <f>($E7-$E8)/($E6/$D$13)*$E15*$E16/$D11/0.2248/39.37/(N10-$E8/$D11)</f>
        <v>5.2378741058394667</v>
      </c>
      <c r="O5" s="197">
        <f>E15*(O11*IF(ISBLANK(B$19), 1, 2.205))/E6*0.113</f>
        <v>7.9577464788732408</v>
      </c>
      <c r="P5" s="25" t="s">
        <v>311</v>
      </c>
    </row>
    <row r="6" spans="3:16" x14ac:dyDescent="0.55000000000000004">
      <c r="C6" s="126" t="s">
        <v>26</v>
      </c>
      <c r="D6" s="196">
        <f>VLOOKUP($C$4,UsefulValues!X5:AC22,3,FALSE)</f>
        <v>0.71</v>
      </c>
      <c r="E6" s="131">
        <f>D6*(D$12/12)*D11*D13</f>
        <v>0.56799999999999995</v>
      </c>
      <c r="G6" s="126" t="s">
        <v>27</v>
      </c>
      <c r="H6" s="195">
        <f>$E5/H5/60</f>
        <v>43.356481481481481</v>
      </c>
      <c r="I6" s="195">
        <f t="shared" ref="I6:N6" si="0">$E5/I5/60</f>
        <v>130.76007866273352</v>
      </c>
      <c r="J6" s="195">
        <f t="shared" si="0"/>
        <v>17.630041943831948</v>
      </c>
      <c r="K6" s="195">
        <f>$E5/K5/60</f>
        <v>261.52015732546704</v>
      </c>
      <c r="L6" s="195">
        <f t="shared" si="0"/>
        <v>3.0352257968744962</v>
      </c>
      <c r="M6" s="195">
        <f t="shared" si="0"/>
        <v>1.9240138388490235</v>
      </c>
      <c r="N6" s="195">
        <f t="shared" si="0"/>
        <v>59.597970542790691</v>
      </c>
      <c r="O6" s="195">
        <f>$E5/O5/60</f>
        <v>39.228023598820052</v>
      </c>
      <c r="P6" s="25" t="s">
        <v>312</v>
      </c>
    </row>
    <row r="7" spans="3:16" x14ac:dyDescent="0.55000000000000004">
      <c r="C7" s="126" t="s">
        <v>28</v>
      </c>
      <c r="D7" s="196">
        <f>VLOOKUP($C$4,UsefulValues!X5:AC22,4,FALSE)</f>
        <v>134</v>
      </c>
      <c r="E7" s="132">
        <f>D7*(D$12/12)*D11</f>
        <v>134</v>
      </c>
      <c r="G7" s="126" t="s">
        <v>29</v>
      </c>
      <c r="H7" s="195">
        <f>H6*(1-$E16/(H11*IF(ISBLANK(B$19), 1, 2.205)))</f>
        <v>36.169231885705592</v>
      </c>
      <c r="I7" s="195">
        <f>I6*(1-$E16/(I11*IF(ISBLANK(B$19), 1, 2.205)))</f>
        <v>65.38003933136676</v>
      </c>
      <c r="J7" s="195">
        <f>J6*(1-$E16/(J11*IF(ISBLANK(B$19), 1, 2.205)))</f>
        <v>16.441645463010158</v>
      </c>
      <c r="K7" s="195">
        <f>K6*(1-$E16/(K11*IF(ISBLANK(I$19), 1, 2.205)))</f>
        <v>0</v>
      </c>
      <c r="L7" s="198">
        <v>3</v>
      </c>
      <c r="M7" s="195">
        <f>(M9*IF(ISBLANK(B$19), 1, 3.281))/E15/2/PI()*12</f>
        <v>1.909859317102744</v>
      </c>
      <c r="N7" s="195">
        <f>N6*(1-$E16/(N11*IF(ISBLANK(B$19), 1, 2.205)))</f>
        <v>46.017412739060248</v>
      </c>
      <c r="O7" s="195">
        <f>O6*(1-$E16/(O11*IF(ISBLANK(L$19), 1, 2.205)))</f>
        <v>33.343820058997046</v>
      </c>
      <c r="P7" s="25" t="s">
        <v>313</v>
      </c>
    </row>
    <row r="8" spans="3:16" x14ac:dyDescent="0.55000000000000004">
      <c r="C8" s="126" t="s">
        <v>30</v>
      </c>
      <c r="D8" s="196">
        <f>VLOOKUP($C$4,UsefulValues!X5:AC22,5,FALSE)</f>
        <v>0.7</v>
      </c>
      <c r="E8" s="132">
        <f>D8*(D$12/12)*D11</f>
        <v>0.7</v>
      </c>
      <c r="G8" s="126" t="str">
        <f>IF(ISBLANK(B$19), "Lin. Free Speed (ft/s)", "Lin. Free Speed (m/s)")</f>
        <v>Lin. Free Speed (ft/s)</v>
      </c>
      <c r="H8" s="195">
        <f>H6/12*2*PI()*$E$15/IF(ISBLANK(B$19), 1, 3.281)</f>
        <v>45.402801235908044</v>
      </c>
      <c r="I8" s="195">
        <f>I6/12*2*PI()*$E$15/IF(ISBLANK(B$19), 1, 3.281)</f>
        <v>136.93163416988904</v>
      </c>
      <c r="J8" s="195">
        <f>J6/12*2*PI()*$E$15/IF(ISBLANK(B$19), 1, 3.281)</f>
        <v>18.462136751074119</v>
      </c>
      <c r="K8" s="195">
        <f>K6/12*2*PI()*$E$15/IF(ISBLANK(I$19), 1, 3.281)</f>
        <v>273.86326833977807</v>
      </c>
      <c r="L8" s="195">
        <f>L6/12*2*PI()*$E$15/IF(ISBLANK(B$19), 1, 3.281)</f>
        <v>3.1784810218157142</v>
      </c>
      <c r="M8" s="195">
        <f>M6/12*2*PI()*$E$15/IF(ISBLANK(B$19), 1, 3.281)</f>
        <v>2.0148225805110629</v>
      </c>
      <c r="N8" s="195">
        <f>N6/12*2*PI()*$E$15/IF(ISBLANK(B$19), 1, 3.281)</f>
        <v>62.410848808697374</v>
      </c>
      <c r="O8" s="195">
        <f>O6/12*2*PI()*$E$15/IF(ISBLANK(L$19), 1, 3.281)</f>
        <v>41.079490250966707</v>
      </c>
      <c r="P8" s="160" t="s">
        <v>314</v>
      </c>
    </row>
    <row r="9" spans="3:16" x14ac:dyDescent="0.55000000000000004">
      <c r="C9" s="127" t="s">
        <v>31</v>
      </c>
      <c r="D9" s="191">
        <f>D5/2*(1/60*2*PI())*D6/2</f>
        <v>348.14867987694288</v>
      </c>
      <c r="E9" s="191">
        <f>E5/2*(1/60*2*PI())*E6/2</f>
        <v>278.51894390155428</v>
      </c>
      <c r="G9" s="126" t="str">
        <f>IF(ISBLANK(B$19), "Lin. Loaded Speed (ft/s)", "Lin. Loaded Speed (m/s)")</f>
        <v>Lin. Loaded Speed (ft/s)</v>
      </c>
      <c r="H9" s="195">
        <f>H7/12*2*PI()*$E$15/IF(ISBLANK(B$19), 1, 3.281)</f>
        <v>37.876331059372795</v>
      </c>
      <c r="I9" s="195">
        <f>I7/12*2*PI()*$E$15/IF(ISBLANK(B$19), 1, 3.281)</f>
        <v>68.465817084944518</v>
      </c>
      <c r="J9" s="195">
        <f>J7/12*2*PI()*$E$15/IF(ISBLANK(B$19), 1, 3.281)</f>
        <v>17.217650866506887</v>
      </c>
      <c r="K9" s="195">
        <v>4</v>
      </c>
      <c r="L9" s="195">
        <f>L7/12*2*PI()*$E$15/IF(ISBLANK(B$19), 1, 3.281)</f>
        <v>3.1415926535897931</v>
      </c>
      <c r="M9" s="198">
        <v>2</v>
      </c>
      <c r="N9" s="195">
        <f>N7/12*2*PI()*$E$15/IF(ISBLANK(B$19), 1, 3.281)</f>
        <v>48.189321932747013</v>
      </c>
      <c r="O9" s="195">
        <f>O7/12*2*PI()*$E$15/IF(ISBLANK(L$19), 1, 3.281)</f>
        <v>34.917566713321705</v>
      </c>
      <c r="P9" s="160" t="s">
        <v>315</v>
      </c>
    </row>
    <row r="10" spans="3:16" x14ac:dyDescent="0.55000000000000004">
      <c r="G10" s="126" t="s">
        <v>265</v>
      </c>
      <c r="H10" s="199">
        <f t="shared" ref="H10:M10" si="1">($E7-$E8)/($E6/$D$13)*$E15*$E16/H5/$D11/0.2248/39.37 + $E8/$D11</f>
        <v>18.377825107208203</v>
      </c>
      <c r="I10" s="199">
        <f t="shared" si="1"/>
        <v>54.015068995898723</v>
      </c>
      <c r="J10" s="199">
        <f t="shared" si="1"/>
        <v>7.8883323430874661</v>
      </c>
      <c r="K10" s="199">
        <f t="shared" si="1"/>
        <v>107.33013799179744</v>
      </c>
      <c r="L10" s="199">
        <f t="shared" si="1"/>
        <v>1.9375586985985416</v>
      </c>
      <c r="M10" s="199">
        <f t="shared" si="1"/>
        <v>1.4844820194080728</v>
      </c>
      <c r="N10" s="200">
        <v>25</v>
      </c>
      <c r="O10" s="199">
        <f>($E7-$E8)/($E6/$D$13)*$E15*$E16/O5/$D11/0.2248/39.37 + ($E8/$D11)</f>
        <v>16.694520698769612</v>
      </c>
      <c r="P10" s="160" t="s">
        <v>316</v>
      </c>
    </row>
    <row r="11" spans="3:16" x14ac:dyDescent="0.55000000000000004">
      <c r="C11" s="126" t="s">
        <v>32</v>
      </c>
      <c r="D11" s="129">
        <v>1</v>
      </c>
      <c r="G11" s="127" t="str">
        <f>IF(ISBLANK(B$19), "Stall Load (lbs)", "Stall Load (kg)")</f>
        <v>Stall Load (lbs)</v>
      </c>
      <c r="H11" s="199">
        <f>$E$6*H5*39.37*0.2248/$E$15/IF(ISBLANK(B$19), 1, 2.205)</f>
        <v>18.097248844799996</v>
      </c>
      <c r="I11" s="199">
        <f>2*E16/IF(ISBLANK(B$19), 1, 2.205)</f>
        <v>6</v>
      </c>
      <c r="J11" s="199">
        <f>$E$6*J5*39.37*0.2248/$E$15/IF(ISBLANK(B$19), 1, 2.205)</f>
        <v>44.505454774589751</v>
      </c>
      <c r="K11" s="162">
        <f>D16</f>
        <v>3</v>
      </c>
      <c r="L11" s="199">
        <f>$E$6*L5*39.37*0.2248/$E$15/IF(ISBLANK(B$19), 1, 2.205)</f>
        <v>258.50895021164615</v>
      </c>
      <c r="M11" s="199">
        <f>$E$6*M5*39.37*0.2248/$E$15/IF(ISBLANK(B$19), 1, 2.205)</f>
        <v>407.81049416708635</v>
      </c>
      <c r="N11" s="199">
        <f>$E$6*N5*39.37*0.2248/$E$15/IF(ISBLANK(B$19), 1, 2.205)</f>
        <v>13.165432098765431</v>
      </c>
      <c r="O11" s="129">
        <v>20</v>
      </c>
      <c r="P11" s="160" t="s">
        <v>317</v>
      </c>
    </row>
    <row r="12" spans="3:16" x14ac:dyDescent="0.55000000000000004">
      <c r="C12" s="126" t="s">
        <v>33</v>
      </c>
      <c r="D12" s="129">
        <v>12</v>
      </c>
      <c r="G12" s="126" t="s">
        <v>294</v>
      </c>
      <c r="H12" s="199">
        <f t="shared" ref="H12:O12" si="2">12*0.113*$D$15*$D$16/($D$13*$D$6*H5)</f>
        <v>1.9894366197183102</v>
      </c>
      <c r="I12" s="199">
        <f t="shared" si="2"/>
        <v>6.0000000000000009</v>
      </c>
      <c r="J12" s="199">
        <f t="shared" si="2"/>
        <v>0.80896442358243226</v>
      </c>
      <c r="K12" s="199">
        <f t="shared" si="2"/>
        <v>12.000000000000002</v>
      </c>
      <c r="L12" s="199">
        <f t="shared" si="2"/>
        <v>0.13927304852897121</v>
      </c>
      <c r="M12" s="199">
        <f t="shared" si="2"/>
        <v>8.8284460755560817E-2</v>
      </c>
      <c r="N12" s="199">
        <f t="shared" si="2"/>
        <v>2.7346865106976748</v>
      </c>
      <c r="O12" s="199">
        <f t="shared" si="2"/>
        <v>1.8</v>
      </c>
      <c r="P12" s="160" t="s">
        <v>318</v>
      </c>
    </row>
    <row r="13" spans="3:16" x14ac:dyDescent="0.55000000000000004">
      <c r="C13" s="127" t="s">
        <v>34</v>
      </c>
      <c r="D13" s="192">
        <v>0.8</v>
      </c>
      <c r="G13" s="6" t="s">
        <v>377</v>
      </c>
    </row>
    <row r="14" spans="3:16" x14ac:dyDescent="0.55000000000000004">
      <c r="F14" s="56"/>
    </row>
    <row r="15" spans="3:16" x14ac:dyDescent="0.55000000000000004">
      <c r="C15" s="126" t="str">
        <f>"Radius (" &amp; IF(ISBLANK(B19),"in","mm") &amp; ")"</f>
        <v>Radius (in)</v>
      </c>
      <c r="D15" s="129">
        <v>2</v>
      </c>
      <c r="E15" s="9">
        <f>IF(ISBLANK($B$19),D15,D15/25.4)</f>
        <v>2</v>
      </c>
    </row>
    <row r="16" spans="3:16" x14ac:dyDescent="0.55000000000000004">
      <c r="C16" s="127" t="str">
        <f>"Load (" &amp; IF(ISBLANK(B19),"lbs","kg") &amp; ")"</f>
        <v>Load (lbs)</v>
      </c>
      <c r="D16" s="129">
        <v>3</v>
      </c>
      <c r="E16" s="9">
        <f>IF(ISBLANK($B$19),D16,D16*2.205)</f>
        <v>3</v>
      </c>
    </row>
    <row r="19" spans="2:5" x14ac:dyDescent="0.55000000000000004">
      <c r="B19" s="129"/>
      <c r="C19" s="25" t="s">
        <v>35</v>
      </c>
    </row>
    <row r="22" spans="2:5" x14ac:dyDescent="0.55000000000000004">
      <c r="D22" s="13" t="s">
        <v>283</v>
      </c>
      <c r="E22" s="126"/>
    </row>
    <row r="23" spans="2:5" x14ac:dyDescent="0.55000000000000004">
      <c r="D23" s="129"/>
      <c r="E23" s="129">
        <v>3</v>
      </c>
    </row>
    <row r="24" spans="2:5" x14ac:dyDescent="0.55000000000000004">
      <c r="D24" s="129">
        <v>20</v>
      </c>
      <c r="E24" s="129">
        <v>48</v>
      </c>
    </row>
    <row r="25" spans="2:5" x14ac:dyDescent="0.55000000000000004">
      <c r="D25" s="129"/>
      <c r="E25" s="129"/>
    </row>
    <row r="26" spans="2:5" x14ac:dyDescent="0.55000000000000004">
      <c r="D26" s="129"/>
      <c r="E26" s="129"/>
    </row>
    <row r="27" spans="2:5" x14ac:dyDescent="0.55000000000000004">
      <c r="D27" s="126" t="s">
        <v>248</v>
      </c>
      <c r="E27" s="197">
        <f>IFERROR(IF(PRODUCT(E23:E26)=0, 1, PRODUCT(E23:E26))/IF(PRODUCT(D23:D26)=0, 1, PRODUCT(D23:D26)), "")</f>
        <v>7.2</v>
      </c>
    </row>
  </sheetData>
  <mergeCells count="1">
    <mergeCell ref="C4:D4"/>
  </mergeCells>
  <conditionalFormatting sqref="D11">
    <cfRule type="expression" dxfId="38" priority="15">
      <formula>$D$11&lt;=0</formula>
    </cfRule>
  </conditionalFormatting>
  <conditionalFormatting sqref="D12">
    <cfRule type="expression" dxfId="37" priority="14">
      <formula>$D$12&lt;=0</formula>
    </cfRule>
  </conditionalFormatting>
  <conditionalFormatting sqref="D13">
    <cfRule type="expression" dxfId="36" priority="13">
      <formula>OR($D$13&lt;=0, $D$13&gt;1)</formula>
    </cfRule>
  </conditionalFormatting>
  <conditionalFormatting sqref="D15">
    <cfRule type="expression" dxfId="35" priority="12">
      <formula>$D$15&lt;=0</formula>
    </cfRule>
  </conditionalFormatting>
  <conditionalFormatting sqref="D16">
    <cfRule type="expression" dxfId="34" priority="11">
      <formula>$D$16&lt;0</formula>
    </cfRule>
  </conditionalFormatting>
  <conditionalFormatting sqref="N10">
    <cfRule type="expression" dxfId="33" priority="8">
      <formula>OR($N$5&lt;=0, $N$10&gt;$E$7)</formula>
    </cfRule>
  </conditionalFormatting>
  <conditionalFormatting sqref="E27">
    <cfRule type="expression" dxfId="32" priority="5">
      <formula>$H$7&lt;=0</formula>
    </cfRule>
  </conditionalFormatting>
  <conditionalFormatting sqref="O11">
    <cfRule type="expression" dxfId="31" priority="3">
      <formula>$O$11&lt;=0</formula>
    </cfRule>
  </conditionalFormatting>
  <conditionalFormatting sqref="L7">
    <cfRule type="expression" dxfId="30" priority="2">
      <formula>OR(ISERROR($L$6), $L$7&lt;0)</formula>
    </cfRule>
  </conditionalFormatting>
  <conditionalFormatting sqref="M9">
    <cfRule type="expression" dxfId="29" priority="1">
      <formula>OR(ISERROR($M$5), $M$9&lt;0)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UsefulValues!$X$5:$X$22</xm:f>
          </x14:formula1>
          <xm:sqref>C4:D4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7518B-F7D7-4AC1-A978-8A33502B0E84}">
  <sheetPr codeName="Sheet5">
    <tabColor rgb="FFFFFF00"/>
  </sheetPr>
  <dimension ref="B2:K183"/>
  <sheetViews>
    <sheetView workbookViewId="0">
      <selection activeCell="C2" sqref="C2"/>
    </sheetView>
  </sheetViews>
  <sheetFormatPr defaultColWidth="9.15625" defaultRowHeight="14.4" x14ac:dyDescent="0.55000000000000004"/>
  <cols>
    <col min="1" max="1" width="9.15625" style="168"/>
    <col min="2" max="2" width="2.68359375" style="168" customWidth="1"/>
    <col min="3" max="3" width="22.9453125" style="168" customWidth="1"/>
    <col min="4" max="4" width="8" style="168" customWidth="1"/>
    <col min="5" max="5" width="9.41796875" style="168" customWidth="1"/>
    <col min="6" max="6" width="9.15625" style="168"/>
    <col min="7" max="7" width="23.15625" style="168" customWidth="1"/>
    <col min="8" max="9" width="9.15625" style="168"/>
    <col min="10" max="10" width="2.734375" style="168" customWidth="1"/>
    <col min="11" max="16384" width="9.15625" style="168"/>
  </cols>
  <sheetData>
    <row r="2" spans="2:11" ht="30.6" x14ac:dyDescent="1.1000000000000001">
      <c r="C2" s="170" t="s">
        <v>401</v>
      </c>
    </row>
    <row r="4" spans="2:11" x14ac:dyDescent="0.55000000000000004">
      <c r="B4" s="207" t="s">
        <v>383</v>
      </c>
      <c r="C4" s="168" t="s">
        <v>35</v>
      </c>
      <c r="J4" s="171"/>
      <c r="K4" s="168" t="s">
        <v>327</v>
      </c>
    </row>
    <row r="5" spans="2:11" x14ac:dyDescent="0.55000000000000004">
      <c r="B5" s="172"/>
      <c r="C5" s="9">
        <f>IF(ISBLANK($B$4), 32.174, 9.807)</f>
        <v>9.8070000000000004</v>
      </c>
    </row>
    <row r="6" spans="2:11" ht="18.3" x14ac:dyDescent="0.7">
      <c r="C6" s="169" t="s">
        <v>325</v>
      </c>
      <c r="G6" s="169" t="s">
        <v>326</v>
      </c>
    </row>
    <row r="7" spans="2:11" x14ac:dyDescent="0.55000000000000004">
      <c r="C7" s="171" t="str">
        <f>IF(ISBLANK($B$4),"Distance to Target (ft)", "Distance to Target (m)")</f>
        <v>Distance to Target (m)</v>
      </c>
      <c r="D7" s="201">
        <v>1</v>
      </c>
      <c r="G7" s="171" t="str">
        <f>IF(ISBLANK($B$4),"Distance to Target (ft)", "Distance to Target (m)")</f>
        <v>Distance to Target (m)</v>
      </c>
      <c r="H7" s="201">
        <v>1</v>
      </c>
    </row>
    <row r="8" spans="2:11" x14ac:dyDescent="0.55000000000000004">
      <c r="C8" s="171" t="str">
        <f>IF(ISBLANK($B$4), "Release Height (ft)", "Release Height (m)")</f>
        <v>Release Height (m)</v>
      </c>
      <c r="D8" s="202">
        <v>0.5</v>
      </c>
      <c r="G8" s="171" t="str">
        <f>IF(ISBLANK($B$4), "Target Height (ft)", "Target Height (m)")</f>
        <v>Target Height (m)</v>
      </c>
      <c r="H8" s="201">
        <v>2.5</v>
      </c>
      <c r="I8" s="167">
        <f>H8-H9</f>
        <v>2</v>
      </c>
    </row>
    <row r="9" spans="2:11" x14ac:dyDescent="0.55000000000000004">
      <c r="C9" s="171" t="str">
        <f>IF(ISBLANK($B$4), "Release Velocity (ft/s)", "Release Velocity (m/s)")</f>
        <v>Release Velocity (m/s)</v>
      </c>
      <c r="D9" s="203">
        <v>7.3</v>
      </c>
      <c r="G9" s="171" t="str">
        <f>IF(ISBLANK($B$4), "Release Height (ft)", "Release Height (m)")</f>
        <v>Release Height (m)</v>
      </c>
      <c r="H9" s="202">
        <v>0.5</v>
      </c>
    </row>
    <row r="10" spans="2:11" x14ac:dyDescent="0.55000000000000004">
      <c r="C10" s="171" t="s">
        <v>323</v>
      </c>
      <c r="D10" s="204">
        <v>83</v>
      </c>
      <c r="G10" s="171" t="s">
        <v>324</v>
      </c>
      <c r="H10" s="207">
        <v>-80</v>
      </c>
    </row>
    <row r="13" spans="2:11" x14ac:dyDescent="0.55000000000000004">
      <c r="C13" s="171" t="str">
        <f>IF(ISBLANK($B$4), "Target Height (ft)", "Target Height (m)")</f>
        <v>Target Height (m)</v>
      </c>
      <c r="D13" s="205">
        <f>$D$7*TAN(RADIANS($D$10))-($C$5*$D$7^2)/(2*$D$9^2*COS(RADIANS($D$10))^2)+$D$8</f>
        <v>2.448915537638463</v>
      </c>
      <c r="G13" s="171" t="str">
        <f>IF(ISBLANK($B$4), "Release Velocity (ft/s)", "Release Velocity (m/s)")</f>
        <v>Release Velocity (m/s)</v>
      </c>
      <c r="H13" s="206">
        <f>_xlfn.SEC(RADIANS($H$14))*SQRT(($C$5*$H$7)/(ABS(TAN(RADIANS($H$14))-TAN(RADIANS($H$10)))))</f>
        <v>7.7734253236114039</v>
      </c>
    </row>
    <row r="14" spans="2:11" x14ac:dyDescent="0.55000000000000004">
      <c r="C14" s="171" t="s">
        <v>324</v>
      </c>
      <c r="D14" s="206">
        <f>IF($D$7=0, $D$10, DEGREES(ATAN(2*($D$13-$D$8)/$D$7-TAN(RADIANS($D$10)))))</f>
        <v>-76.748998205977173</v>
      </c>
      <c r="G14" s="171" t="s">
        <v>323</v>
      </c>
      <c r="H14" s="208">
        <f>DEGREES(ATAN(2*$I$8/$H$7-TAN(RADIANS($H$10))))</f>
        <v>84.096657398485178</v>
      </c>
    </row>
    <row r="17" spans="3:3" x14ac:dyDescent="0.55000000000000004">
      <c r="C17" s="6" t="s">
        <v>402</v>
      </c>
    </row>
    <row r="80" spans="4:6" x14ac:dyDescent="0.55000000000000004">
      <c r="D80" s="173" t="s">
        <v>329</v>
      </c>
      <c r="E80" s="174"/>
      <c r="F80" s="175"/>
    </row>
    <row r="81" spans="4:6" x14ac:dyDescent="0.55000000000000004">
      <c r="D81" s="176" t="s">
        <v>328</v>
      </c>
      <c r="E81" s="172" t="s">
        <v>320</v>
      </c>
      <c r="F81" s="177" t="s">
        <v>11</v>
      </c>
    </row>
    <row r="82" spans="4:6" x14ac:dyDescent="0.55000000000000004">
      <c r="D82" s="178">
        <v>0</v>
      </c>
      <c r="E82" s="56">
        <f t="shared" ref="E82:E113" si="0">IF(ISBLANK($J$4), $D$7, $H$7)/100*D82</f>
        <v>0</v>
      </c>
      <c r="F82" s="179">
        <f t="shared" ref="F82:F113" si="1">IF(E82*TAN(RADIANS(IF(ISBLANK($J$4), $D$10, $H$14))) - ($C$5*E82^2)/(2*IF(ISBLANK($J$4), $D$9, $H$13)^2 * COS(RADIANS(IF(ISBLANK($J$4), $D$10, $H$14)))^2) + IF(ISBLANK($J$4), $D$8, $H$9)&gt;=0, E82*TAN(RADIANS(IF(ISBLANK($J$4), $D$10, $H$14))) - ($C$5*E82^2)/(2*IF(ISBLANK($J$4), $D$9, $H$13)^2 * COS(RADIANS(IF(ISBLANK($J$4), $D$10, $H$14)))^2) + IF(ISBLANK($J$4), $D$8, $H$9), 0)</f>
        <v>0.5</v>
      </c>
    </row>
    <row r="83" spans="4:6" x14ac:dyDescent="0.55000000000000004">
      <c r="D83" s="178">
        <v>1</v>
      </c>
      <c r="E83" s="56">
        <f t="shared" si="0"/>
        <v>0.01</v>
      </c>
      <c r="F83" s="179">
        <f t="shared" si="1"/>
        <v>0.58082392119071236</v>
      </c>
    </row>
    <row r="84" spans="4:6" x14ac:dyDescent="0.55000000000000004">
      <c r="D84" s="178">
        <v>2</v>
      </c>
      <c r="E84" s="56">
        <f t="shared" si="0"/>
        <v>0.02</v>
      </c>
      <c r="F84" s="179">
        <f t="shared" si="1"/>
        <v>0.66040875620335737</v>
      </c>
    </row>
    <row r="85" spans="4:6" x14ac:dyDescent="0.55000000000000004">
      <c r="D85" s="178">
        <v>3</v>
      </c>
      <c r="E85" s="56">
        <f t="shared" si="0"/>
        <v>0.03</v>
      </c>
      <c r="F85" s="179">
        <f t="shared" si="1"/>
        <v>0.73875450503793527</v>
      </c>
    </row>
    <row r="86" spans="4:6" x14ac:dyDescent="0.55000000000000004">
      <c r="D86" s="178">
        <v>4</v>
      </c>
      <c r="E86" s="56">
        <f t="shared" si="0"/>
        <v>0.04</v>
      </c>
      <c r="F86" s="179">
        <f t="shared" si="1"/>
        <v>0.81586116769444583</v>
      </c>
    </row>
    <row r="87" spans="4:6" x14ac:dyDescent="0.55000000000000004">
      <c r="D87" s="178">
        <v>5</v>
      </c>
      <c r="E87" s="56">
        <f t="shared" si="0"/>
        <v>0.05</v>
      </c>
      <c r="F87" s="179">
        <f t="shared" si="1"/>
        <v>0.89172874417288939</v>
      </c>
    </row>
    <row r="88" spans="4:6" x14ac:dyDescent="0.55000000000000004">
      <c r="D88" s="178">
        <v>6</v>
      </c>
      <c r="E88" s="56">
        <f t="shared" si="0"/>
        <v>0.06</v>
      </c>
      <c r="F88" s="179">
        <f t="shared" si="1"/>
        <v>0.9663572344732656</v>
      </c>
    </row>
    <row r="89" spans="4:6" x14ac:dyDescent="0.55000000000000004">
      <c r="D89" s="178">
        <v>7</v>
      </c>
      <c r="E89" s="56">
        <f t="shared" si="0"/>
        <v>7.0000000000000007E-2</v>
      </c>
      <c r="F89" s="179">
        <f t="shared" si="1"/>
        <v>1.0397466385955747</v>
      </c>
    </row>
    <row r="90" spans="4:6" x14ac:dyDescent="0.55000000000000004">
      <c r="D90" s="178">
        <v>8</v>
      </c>
      <c r="E90" s="56">
        <f t="shared" si="0"/>
        <v>0.08</v>
      </c>
      <c r="F90" s="179">
        <f t="shared" si="1"/>
        <v>1.1118969565398162</v>
      </c>
    </row>
    <row r="91" spans="4:6" x14ac:dyDescent="0.55000000000000004">
      <c r="D91" s="178">
        <v>9</v>
      </c>
      <c r="E91" s="56">
        <f t="shared" si="0"/>
        <v>0.09</v>
      </c>
      <c r="F91" s="179">
        <f t="shared" si="1"/>
        <v>1.1828081883059907</v>
      </c>
    </row>
    <row r="92" spans="4:6" x14ac:dyDescent="0.55000000000000004">
      <c r="D92" s="178">
        <v>10</v>
      </c>
      <c r="E92" s="56">
        <f t="shared" si="0"/>
        <v>0.1</v>
      </c>
      <c r="F92" s="179">
        <f t="shared" si="1"/>
        <v>1.252480333894098</v>
      </c>
    </row>
    <row r="93" spans="4:6" x14ac:dyDescent="0.55000000000000004">
      <c r="D93" s="178">
        <v>11</v>
      </c>
      <c r="E93" s="56">
        <f t="shared" si="0"/>
        <v>0.11</v>
      </c>
      <c r="F93" s="179">
        <f t="shared" si="1"/>
        <v>1.3209133933041382</v>
      </c>
    </row>
    <row r="94" spans="4:6" x14ac:dyDescent="0.55000000000000004">
      <c r="D94" s="178">
        <v>12</v>
      </c>
      <c r="E94" s="56">
        <f t="shared" si="0"/>
        <v>0.12</v>
      </c>
      <c r="F94" s="179">
        <f t="shared" si="1"/>
        <v>1.388107366536111</v>
      </c>
    </row>
    <row r="95" spans="4:6" x14ac:dyDescent="0.55000000000000004">
      <c r="D95" s="178">
        <v>13</v>
      </c>
      <c r="E95" s="56">
        <f t="shared" si="0"/>
        <v>0.13</v>
      </c>
      <c r="F95" s="179">
        <f t="shared" si="1"/>
        <v>1.4540622535900165</v>
      </c>
    </row>
    <row r="96" spans="4:6" x14ac:dyDescent="0.55000000000000004">
      <c r="D96" s="178">
        <v>14</v>
      </c>
      <c r="E96" s="56">
        <f t="shared" si="0"/>
        <v>0.14000000000000001</v>
      </c>
      <c r="F96" s="179">
        <f t="shared" si="1"/>
        <v>1.5187780544658551</v>
      </c>
    </row>
    <row r="97" spans="4:6" x14ac:dyDescent="0.55000000000000004">
      <c r="D97" s="178">
        <v>15</v>
      </c>
      <c r="E97" s="56">
        <f t="shared" si="0"/>
        <v>0.15</v>
      </c>
      <c r="F97" s="179">
        <f t="shared" si="1"/>
        <v>1.582254769163626</v>
      </c>
    </row>
    <row r="98" spans="4:6" x14ac:dyDescent="0.55000000000000004">
      <c r="D98" s="178">
        <v>16</v>
      </c>
      <c r="E98" s="56">
        <f t="shared" si="0"/>
        <v>0.16</v>
      </c>
      <c r="F98" s="179">
        <f t="shared" si="1"/>
        <v>1.6444923976833299</v>
      </c>
    </row>
    <row r="99" spans="4:6" x14ac:dyDescent="0.55000000000000004">
      <c r="D99" s="178">
        <v>17</v>
      </c>
      <c r="E99" s="56">
        <f t="shared" si="0"/>
        <v>0.17</v>
      </c>
      <c r="F99" s="179">
        <f t="shared" si="1"/>
        <v>1.7054909400249667</v>
      </c>
    </row>
    <row r="100" spans="4:6" x14ac:dyDescent="0.55000000000000004">
      <c r="D100" s="178">
        <v>18</v>
      </c>
      <c r="E100" s="56">
        <f t="shared" si="0"/>
        <v>0.18</v>
      </c>
      <c r="F100" s="179">
        <f t="shared" si="1"/>
        <v>1.765250396188536</v>
      </c>
    </row>
    <row r="101" spans="4:6" x14ac:dyDescent="0.55000000000000004">
      <c r="D101" s="178">
        <v>19</v>
      </c>
      <c r="E101" s="56">
        <f t="shared" si="0"/>
        <v>0.19</v>
      </c>
      <c r="F101" s="179">
        <f t="shared" si="1"/>
        <v>1.8237707661740385</v>
      </c>
    </row>
    <row r="102" spans="4:6" x14ac:dyDescent="0.55000000000000004">
      <c r="D102" s="178">
        <v>20</v>
      </c>
      <c r="E102" s="56">
        <f t="shared" si="0"/>
        <v>0.2</v>
      </c>
      <c r="F102" s="179">
        <f t="shared" si="1"/>
        <v>1.8810520499814736</v>
      </c>
    </row>
    <row r="103" spans="4:6" x14ac:dyDescent="0.55000000000000004">
      <c r="D103" s="178">
        <v>21</v>
      </c>
      <c r="E103" s="56">
        <f t="shared" si="0"/>
        <v>0.21</v>
      </c>
      <c r="F103" s="179">
        <f t="shared" si="1"/>
        <v>1.937094247610841</v>
      </c>
    </row>
    <row r="104" spans="4:6" x14ac:dyDescent="0.55000000000000004">
      <c r="D104" s="178">
        <v>22</v>
      </c>
      <c r="E104" s="56">
        <f t="shared" si="0"/>
        <v>0.22</v>
      </c>
      <c r="F104" s="179">
        <f t="shared" si="1"/>
        <v>1.9918973590621418</v>
      </c>
    </row>
    <row r="105" spans="4:6" x14ac:dyDescent="0.55000000000000004">
      <c r="D105" s="178">
        <v>23</v>
      </c>
      <c r="E105" s="56">
        <f t="shared" si="0"/>
        <v>0.23</v>
      </c>
      <c r="F105" s="179">
        <f t="shared" si="1"/>
        <v>2.0454613843353751</v>
      </c>
    </row>
    <row r="106" spans="4:6" x14ac:dyDescent="0.55000000000000004">
      <c r="D106" s="178">
        <v>24</v>
      </c>
      <c r="E106" s="56">
        <f t="shared" si="0"/>
        <v>0.24</v>
      </c>
      <c r="F106" s="179">
        <f t="shared" si="1"/>
        <v>2.0977863234305412</v>
      </c>
    </row>
    <row r="107" spans="4:6" x14ac:dyDescent="0.55000000000000004">
      <c r="D107" s="178">
        <v>25</v>
      </c>
      <c r="E107" s="56">
        <f t="shared" si="0"/>
        <v>0.25</v>
      </c>
      <c r="F107" s="179">
        <f t="shared" si="1"/>
        <v>2.1488721763476404</v>
      </c>
    </row>
    <row r="108" spans="4:6" x14ac:dyDescent="0.55000000000000004">
      <c r="D108" s="178">
        <v>26</v>
      </c>
      <c r="E108" s="56">
        <f t="shared" si="0"/>
        <v>0.26</v>
      </c>
      <c r="F108" s="179">
        <f t="shared" si="1"/>
        <v>2.1987189430866718</v>
      </c>
    </row>
    <row r="109" spans="4:6" x14ac:dyDescent="0.55000000000000004">
      <c r="D109" s="178">
        <v>27</v>
      </c>
      <c r="E109" s="56">
        <f t="shared" si="0"/>
        <v>0.27</v>
      </c>
      <c r="F109" s="179">
        <f t="shared" si="1"/>
        <v>2.2473266236476359</v>
      </c>
    </row>
    <row r="110" spans="4:6" x14ac:dyDescent="0.55000000000000004">
      <c r="D110" s="178">
        <v>28</v>
      </c>
      <c r="E110" s="56">
        <f t="shared" si="0"/>
        <v>0.28000000000000003</v>
      </c>
      <c r="F110" s="179">
        <f t="shared" si="1"/>
        <v>2.294695218030534</v>
      </c>
    </row>
    <row r="111" spans="4:6" x14ac:dyDescent="0.55000000000000004">
      <c r="D111" s="178">
        <v>29</v>
      </c>
      <c r="E111" s="56">
        <f t="shared" si="0"/>
        <v>0.28999999999999998</v>
      </c>
      <c r="F111" s="179">
        <f t="shared" si="1"/>
        <v>2.3408247262353634</v>
      </c>
    </row>
    <row r="112" spans="4:6" x14ac:dyDescent="0.55000000000000004">
      <c r="D112" s="178">
        <v>30</v>
      </c>
      <c r="E112" s="56">
        <f t="shared" si="0"/>
        <v>0.3</v>
      </c>
      <c r="F112" s="179">
        <f t="shared" si="1"/>
        <v>2.3857151482621264</v>
      </c>
    </row>
    <row r="113" spans="4:6" x14ac:dyDescent="0.55000000000000004">
      <c r="D113" s="178">
        <v>31</v>
      </c>
      <c r="E113" s="56">
        <f t="shared" si="0"/>
        <v>0.31</v>
      </c>
      <c r="F113" s="179">
        <f t="shared" si="1"/>
        <v>2.4293664841108216</v>
      </c>
    </row>
    <row r="114" spans="4:6" x14ac:dyDescent="0.55000000000000004">
      <c r="D114" s="178">
        <v>32</v>
      </c>
      <c r="E114" s="56">
        <f t="shared" ref="E114:E145" si="2">IF(ISBLANK($J$4), $D$7, $H$7)/100*D114</f>
        <v>0.32</v>
      </c>
      <c r="F114" s="179">
        <f t="shared" ref="F114:F145" si="3">IF(E114*TAN(RADIANS(IF(ISBLANK($J$4), $D$10, $H$14))) - ($C$5*E114^2)/(2*IF(ISBLANK($J$4), $D$9, $H$13)^2 * COS(RADIANS(IF(ISBLANK($J$4), $D$10, $H$14)))^2) + IF(ISBLANK($J$4), $D$8, $H$9)&gt;=0, E114*TAN(RADIANS(IF(ISBLANK($J$4), $D$10, $H$14))) - ($C$5*E114^2)/(2*IF(ISBLANK($J$4), $D$9, $H$13)^2 * COS(RADIANS(IF(ISBLANK($J$4), $D$10, $H$14)))^2) + IF(ISBLANK($J$4), $D$8, $H$9), 0)</f>
        <v>2.4717787337814499</v>
      </c>
    </row>
    <row r="115" spans="4:6" x14ac:dyDescent="0.55000000000000004">
      <c r="D115" s="178">
        <v>33</v>
      </c>
      <c r="E115" s="56">
        <f t="shared" si="2"/>
        <v>0.33</v>
      </c>
      <c r="F115" s="179">
        <f t="shared" si="3"/>
        <v>2.5129518972740112</v>
      </c>
    </row>
    <row r="116" spans="4:6" x14ac:dyDescent="0.55000000000000004">
      <c r="D116" s="178">
        <v>34</v>
      </c>
      <c r="E116" s="56">
        <f t="shared" si="2"/>
        <v>0.34</v>
      </c>
      <c r="F116" s="179">
        <f t="shared" si="3"/>
        <v>2.5528859745885049</v>
      </c>
    </row>
    <row r="117" spans="4:6" x14ac:dyDescent="0.55000000000000004">
      <c r="D117" s="178">
        <v>35</v>
      </c>
      <c r="E117" s="56">
        <f t="shared" si="2"/>
        <v>0.35000000000000003</v>
      </c>
      <c r="F117" s="179">
        <f t="shared" si="3"/>
        <v>2.5915809657249316</v>
      </c>
    </row>
    <row r="118" spans="4:6" x14ac:dyDescent="0.55000000000000004">
      <c r="D118" s="178">
        <v>36</v>
      </c>
      <c r="E118" s="56">
        <f t="shared" si="2"/>
        <v>0.36</v>
      </c>
      <c r="F118" s="179">
        <f t="shared" si="3"/>
        <v>2.6290368706832909</v>
      </c>
    </row>
    <row r="119" spans="4:6" x14ac:dyDescent="0.55000000000000004">
      <c r="D119" s="178">
        <v>37</v>
      </c>
      <c r="E119" s="56">
        <f t="shared" si="2"/>
        <v>0.37</v>
      </c>
      <c r="F119" s="179">
        <f t="shared" si="3"/>
        <v>2.665253689463583</v>
      </c>
    </row>
    <row r="120" spans="4:6" x14ac:dyDescent="0.55000000000000004">
      <c r="D120" s="178">
        <v>38</v>
      </c>
      <c r="E120" s="56">
        <f t="shared" si="2"/>
        <v>0.38</v>
      </c>
      <c r="F120" s="179">
        <f t="shared" si="3"/>
        <v>2.7002314220658086</v>
      </c>
    </row>
    <row r="121" spans="4:6" x14ac:dyDescent="0.55000000000000004">
      <c r="D121" s="178">
        <v>39</v>
      </c>
      <c r="E121" s="56">
        <f t="shared" si="2"/>
        <v>0.39</v>
      </c>
      <c r="F121" s="179">
        <f t="shared" si="3"/>
        <v>2.7339700684899659</v>
      </c>
    </row>
    <row r="122" spans="4:6" x14ac:dyDescent="0.55000000000000004">
      <c r="D122" s="178">
        <v>40</v>
      </c>
      <c r="E122" s="56">
        <f t="shared" si="2"/>
        <v>0.4</v>
      </c>
      <c r="F122" s="179">
        <f t="shared" si="3"/>
        <v>2.7664696287360564</v>
      </c>
    </row>
    <row r="123" spans="4:6" x14ac:dyDescent="0.55000000000000004">
      <c r="D123" s="178">
        <v>41</v>
      </c>
      <c r="E123" s="56">
        <f t="shared" si="2"/>
        <v>0.41000000000000003</v>
      </c>
      <c r="F123" s="179">
        <f t="shared" si="3"/>
        <v>2.7977301028040795</v>
      </c>
    </row>
    <row r="124" spans="4:6" x14ac:dyDescent="0.55000000000000004">
      <c r="D124" s="178">
        <v>42</v>
      </c>
      <c r="E124" s="56">
        <f t="shared" si="2"/>
        <v>0.42</v>
      </c>
      <c r="F124" s="179">
        <f t="shared" si="3"/>
        <v>2.8277514906940358</v>
      </c>
    </row>
    <row r="125" spans="4:6" x14ac:dyDescent="0.55000000000000004">
      <c r="D125" s="178">
        <v>43</v>
      </c>
      <c r="E125" s="56">
        <f t="shared" si="2"/>
        <v>0.43</v>
      </c>
      <c r="F125" s="179">
        <f t="shared" si="3"/>
        <v>2.8565337924059246</v>
      </c>
    </row>
    <row r="126" spans="4:6" x14ac:dyDescent="0.55000000000000004">
      <c r="D126" s="178">
        <v>44</v>
      </c>
      <c r="E126" s="56">
        <f t="shared" si="2"/>
        <v>0.44</v>
      </c>
      <c r="F126" s="179">
        <f t="shared" si="3"/>
        <v>2.8840770079397462</v>
      </c>
    </row>
    <row r="127" spans="4:6" x14ac:dyDescent="0.55000000000000004">
      <c r="D127" s="178">
        <v>45</v>
      </c>
      <c r="E127" s="56">
        <f t="shared" si="2"/>
        <v>0.45</v>
      </c>
      <c r="F127" s="179">
        <f t="shared" si="3"/>
        <v>2.9103811372955004</v>
      </c>
    </row>
    <row r="128" spans="4:6" x14ac:dyDescent="0.55000000000000004">
      <c r="D128" s="178">
        <v>46</v>
      </c>
      <c r="E128" s="56">
        <f t="shared" si="2"/>
        <v>0.46</v>
      </c>
      <c r="F128" s="179">
        <f t="shared" si="3"/>
        <v>2.9354461804731877</v>
      </c>
    </row>
    <row r="129" spans="4:6" x14ac:dyDescent="0.55000000000000004">
      <c r="D129" s="178">
        <v>47</v>
      </c>
      <c r="E129" s="56">
        <f t="shared" si="2"/>
        <v>0.47000000000000003</v>
      </c>
      <c r="F129" s="179">
        <f t="shared" si="3"/>
        <v>2.9592721374728077</v>
      </c>
    </row>
    <row r="130" spans="4:6" x14ac:dyDescent="0.55000000000000004">
      <c r="D130" s="178">
        <v>48</v>
      </c>
      <c r="E130" s="56">
        <f t="shared" si="2"/>
        <v>0.48</v>
      </c>
      <c r="F130" s="179">
        <f t="shared" si="3"/>
        <v>2.9818590082943603</v>
      </c>
    </row>
    <row r="131" spans="4:6" x14ac:dyDescent="0.55000000000000004">
      <c r="D131" s="178">
        <v>49</v>
      </c>
      <c r="E131" s="56">
        <f t="shared" si="2"/>
        <v>0.49</v>
      </c>
      <c r="F131" s="179">
        <f t="shared" si="3"/>
        <v>3.0032067929378456</v>
      </c>
    </row>
    <row r="132" spans="4:6" x14ac:dyDescent="0.55000000000000004">
      <c r="D132" s="178">
        <v>50</v>
      </c>
      <c r="E132" s="56">
        <f t="shared" si="2"/>
        <v>0.5</v>
      </c>
      <c r="F132" s="179">
        <f t="shared" si="3"/>
        <v>3.0233154914032641</v>
      </c>
    </row>
    <row r="133" spans="4:6" x14ac:dyDescent="0.55000000000000004">
      <c r="D133" s="178">
        <v>51</v>
      </c>
      <c r="E133" s="56">
        <f t="shared" si="2"/>
        <v>0.51</v>
      </c>
      <c r="F133" s="179">
        <f t="shared" si="3"/>
        <v>3.0421851036906156</v>
      </c>
    </row>
    <row r="134" spans="4:6" x14ac:dyDescent="0.55000000000000004">
      <c r="D134" s="178">
        <v>52</v>
      </c>
      <c r="E134" s="56">
        <f t="shared" si="2"/>
        <v>0.52</v>
      </c>
      <c r="F134" s="179">
        <f t="shared" si="3"/>
        <v>3.0598156297998984</v>
      </c>
    </row>
    <row r="135" spans="4:6" x14ac:dyDescent="0.55000000000000004">
      <c r="D135" s="178">
        <v>53</v>
      </c>
      <c r="E135" s="56">
        <f t="shared" si="2"/>
        <v>0.53</v>
      </c>
      <c r="F135" s="179">
        <f t="shared" si="3"/>
        <v>3.0762070697311152</v>
      </c>
    </row>
    <row r="136" spans="4:6" x14ac:dyDescent="0.55000000000000004">
      <c r="D136" s="178">
        <v>54</v>
      </c>
      <c r="E136" s="56">
        <f t="shared" si="2"/>
        <v>0.54</v>
      </c>
      <c r="F136" s="179">
        <f t="shared" si="3"/>
        <v>3.0913594234842643</v>
      </c>
    </row>
    <row r="137" spans="4:6" x14ac:dyDescent="0.55000000000000004">
      <c r="D137" s="178">
        <v>55</v>
      </c>
      <c r="E137" s="56">
        <f t="shared" si="2"/>
        <v>0.55000000000000004</v>
      </c>
      <c r="F137" s="179">
        <f t="shared" si="3"/>
        <v>3.1052726910593469</v>
      </c>
    </row>
    <row r="138" spans="4:6" x14ac:dyDescent="0.55000000000000004">
      <c r="D138" s="178">
        <v>56</v>
      </c>
      <c r="E138" s="56">
        <f t="shared" si="2"/>
        <v>0.56000000000000005</v>
      </c>
      <c r="F138" s="179">
        <f t="shared" si="3"/>
        <v>3.1179468724563622</v>
      </c>
    </row>
    <row r="139" spans="4:6" x14ac:dyDescent="0.55000000000000004">
      <c r="D139" s="178">
        <v>57</v>
      </c>
      <c r="E139" s="56">
        <f t="shared" si="2"/>
        <v>0.57000000000000006</v>
      </c>
      <c r="F139" s="179">
        <f t="shared" si="3"/>
        <v>3.1293819676753092</v>
      </c>
    </row>
    <row r="140" spans="4:6" x14ac:dyDescent="0.55000000000000004">
      <c r="D140" s="178">
        <v>58</v>
      </c>
      <c r="E140" s="56">
        <f t="shared" si="2"/>
        <v>0.57999999999999996</v>
      </c>
      <c r="F140" s="179">
        <f t="shared" si="3"/>
        <v>3.1395779767161898</v>
      </c>
    </row>
    <row r="141" spans="4:6" x14ac:dyDescent="0.55000000000000004">
      <c r="D141" s="178">
        <v>59</v>
      </c>
      <c r="E141" s="56">
        <f t="shared" si="2"/>
        <v>0.59</v>
      </c>
      <c r="F141" s="179">
        <f t="shared" si="3"/>
        <v>3.1485348995790026</v>
      </c>
    </row>
    <row r="142" spans="4:6" x14ac:dyDescent="0.55000000000000004">
      <c r="D142" s="178">
        <v>60</v>
      </c>
      <c r="E142" s="56">
        <f t="shared" si="2"/>
        <v>0.6</v>
      </c>
      <c r="F142" s="179">
        <f t="shared" si="3"/>
        <v>3.1562527362637489</v>
      </c>
    </row>
    <row r="143" spans="4:6" x14ac:dyDescent="0.55000000000000004">
      <c r="D143" s="178">
        <v>61</v>
      </c>
      <c r="E143" s="56">
        <f t="shared" si="2"/>
        <v>0.61</v>
      </c>
      <c r="F143" s="179">
        <f t="shared" si="3"/>
        <v>3.1627314867704279</v>
      </c>
    </row>
    <row r="144" spans="4:6" x14ac:dyDescent="0.55000000000000004">
      <c r="D144" s="178">
        <v>62</v>
      </c>
      <c r="E144" s="56">
        <f t="shared" si="2"/>
        <v>0.62</v>
      </c>
      <c r="F144" s="179">
        <f t="shared" si="3"/>
        <v>3.1679711510990392</v>
      </c>
    </row>
    <row r="145" spans="4:6" x14ac:dyDescent="0.55000000000000004">
      <c r="D145" s="178">
        <v>63</v>
      </c>
      <c r="E145" s="56">
        <f t="shared" si="2"/>
        <v>0.63</v>
      </c>
      <c r="F145" s="179">
        <f t="shared" si="3"/>
        <v>3.1719717292495835</v>
      </c>
    </row>
    <row r="146" spans="4:6" x14ac:dyDescent="0.55000000000000004">
      <c r="D146" s="178">
        <v>64</v>
      </c>
      <c r="E146" s="56">
        <f t="shared" ref="E146:E177" si="4">IF(ISBLANK($J$4), $D$7, $H$7)/100*D146</f>
        <v>0.64</v>
      </c>
      <c r="F146" s="179">
        <f t="shared" ref="F146:F177" si="5">IF(E146*TAN(RADIANS(IF(ISBLANK($J$4), $D$10, $H$14))) - ($C$5*E146^2)/(2*IF(ISBLANK($J$4), $D$9, $H$13)^2 * COS(RADIANS(IF(ISBLANK($J$4), $D$10, $H$14)))^2) + IF(ISBLANK($J$4), $D$8, $H$9)&gt;=0, E146*TAN(RADIANS(IF(ISBLANK($J$4), $D$10, $H$14))) - ($C$5*E146^2)/(2*IF(ISBLANK($J$4), $D$9, $H$13)^2 * COS(RADIANS(IF(ISBLANK($J$4), $D$10, $H$14)))^2) + IF(ISBLANK($J$4), $D$8, $H$9), 0)</f>
        <v>3.17473322122206</v>
      </c>
    </row>
    <row r="147" spans="4:6" x14ac:dyDescent="0.55000000000000004">
      <c r="D147" s="178">
        <v>65</v>
      </c>
      <c r="E147" s="56">
        <f t="shared" si="4"/>
        <v>0.65</v>
      </c>
      <c r="F147" s="179">
        <f t="shared" si="5"/>
        <v>3.1762556270164706</v>
      </c>
    </row>
    <row r="148" spans="4:6" x14ac:dyDescent="0.55000000000000004">
      <c r="D148" s="178">
        <v>66</v>
      </c>
      <c r="E148" s="56">
        <f t="shared" si="4"/>
        <v>0.66</v>
      </c>
      <c r="F148" s="179">
        <f t="shared" si="5"/>
        <v>3.1765389466328133</v>
      </c>
    </row>
    <row r="149" spans="4:6" x14ac:dyDescent="0.55000000000000004">
      <c r="D149" s="178">
        <v>67</v>
      </c>
      <c r="E149" s="56">
        <f t="shared" si="4"/>
        <v>0.67</v>
      </c>
      <c r="F149" s="179">
        <f t="shared" si="5"/>
        <v>3.1755831800710883</v>
      </c>
    </row>
    <row r="150" spans="4:6" x14ac:dyDescent="0.55000000000000004">
      <c r="D150" s="178">
        <v>68</v>
      </c>
      <c r="E150" s="56">
        <f t="shared" si="4"/>
        <v>0.68</v>
      </c>
      <c r="F150" s="179">
        <f t="shared" si="5"/>
        <v>3.1733883273312964</v>
      </c>
    </row>
    <row r="151" spans="4:6" x14ac:dyDescent="0.55000000000000004">
      <c r="D151" s="178">
        <v>69</v>
      </c>
      <c r="E151" s="56">
        <f t="shared" si="4"/>
        <v>0.69000000000000006</v>
      </c>
      <c r="F151" s="179">
        <f t="shared" si="5"/>
        <v>3.1699543884134371</v>
      </c>
    </row>
    <row r="152" spans="4:6" x14ac:dyDescent="0.55000000000000004">
      <c r="D152" s="178">
        <v>70</v>
      </c>
      <c r="E152" s="56">
        <f t="shared" si="4"/>
        <v>0.70000000000000007</v>
      </c>
      <c r="F152" s="179">
        <f t="shared" si="5"/>
        <v>3.165281363317511</v>
      </c>
    </row>
    <row r="153" spans="4:6" x14ac:dyDescent="0.55000000000000004">
      <c r="D153" s="178">
        <v>71</v>
      </c>
      <c r="E153" s="56">
        <f t="shared" si="4"/>
        <v>0.71</v>
      </c>
      <c r="F153" s="179">
        <f t="shared" si="5"/>
        <v>3.1593692520435179</v>
      </c>
    </row>
    <row r="154" spans="4:6" x14ac:dyDescent="0.55000000000000004">
      <c r="D154" s="178">
        <v>72</v>
      </c>
      <c r="E154" s="56">
        <f t="shared" si="4"/>
        <v>0.72</v>
      </c>
      <c r="F154" s="179">
        <f t="shared" si="5"/>
        <v>3.1522180545914567</v>
      </c>
    </row>
    <row r="155" spans="4:6" x14ac:dyDescent="0.55000000000000004">
      <c r="D155" s="178">
        <v>73</v>
      </c>
      <c r="E155" s="56">
        <f t="shared" si="4"/>
        <v>0.73</v>
      </c>
      <c r="F155" s="179">
        <f t="shared" si="5"/>
        <v>3.1438277709613294</v>
      </c>
    </row>
    <row r="156" spans="4:6" x14ac:dyDescent="0.55000000000000004">
      <c r="D156" s="178">
        <v>74</v>
      </c>
      <c r="E156" s="56">
        <f t="shared" si="4"/>
        <v>0.74</v>
      </c>
      <c r="F156" s="179">
        <f t="shared" si="5"/>
        <v>3.1341984011531334</v>
      </c>
    </row>
    <row r="157" spans="4:6" x14ac:dyDescent="0.55000000000000004">
      <c r="D157" s="178">
        <v>75</v>
      </c>
      <c r="E157" s="56">
        <f t="shared" si="4"/>
        <v>0.75</v>
      </c>
      <c r="F157" s="179">
        <f t="shared" si="5"/>
        <v>3.1233299451668715</v>
      </c>
    </row>
    <row r="158" spans="4:6" x14ac:dyDescent="0.55000000000000004">
      <c r="D158" s="178">
        <v>76</v>
      </c>
      <c r="E158" s="56">
        <f t="shared" si="4"/>
        <v>0.76</v>
      </c>
      <c r="F158" s="179">
        <f t="shared" si="5"/>
        <v>3.1112224030025422</v>
      </c>
    </row>
    <row r="159" spans="4:6" x14ac:dyDescent="0.55000000000000004">
      <c r="D159" s="178">
        <v>77</v>
      </c>
      <c r="E159" s="56">
        <f t="shared" si="4"/>
        <v>0.77</v>
      </c>
      <c r="F159" s="179">
        <f t="shared" si="5"/>
        <v>3.0978757746601451</v>
      </c>
    </row>
    <row r="160" spans="4:6" x14ac:dyDescent="0.55000000000000004">
      <c r="D160" s="178">
        <v>78</v>
      </c>
      <c r="E160" s="56">
        <f t="shared" si="4"/>
        <v>0.78</v>
      </c>
      <c r="F160" s="179">
        <f t="shared" si="5"/>
        <v>3.0832900601396811</v>
      </c>
    </row>
    <row r="161" spans="4:6" x14ac:dyDescent="0.55000000000000004">
      <c r="D161" s="178">
        <v>79</v>
      </c>
      <c r="E161" s="56">
        <f t="shared" si="4"/>
        <v>0.79</v>
      </c>
      <c r="F161" s="179">
        <f t="shared" si="5"/>
        <v>3.0674652594411489</v>
      </c>
    </row>
    <row r="162" spans="4:6" x14ac:dyDescent="0.55000000000000004">
      <c r="D162" s="178">
        <v>80</v>
      </c>
      <c r="E162" s="56">
        <f t="shared" si="4"/>
        <v>0.8</v>
      </c>
      <c r="F162" s="179">
        <f t="shared" si="5"/>
        <v>3.0504013725645507</v>
      </c>
    </row>
    <row r="163" spans="4:6" x14ac:dyDescent="0.55000000000000004">
      <c r="D163" s="178">
        <v>81</v>
      </c>
      <c r="E163" s="56">
        <f t="shared" si="4"/>
        <v>0.81</v>
      </c>
      <c r="F163" s="179">
        <f t="shared" si="5"/>
        <v>3.0320983995098851</v>
      </c>
    </row>
    <row r="164" spans="4:6" x14ac:dyDescent="0.55000000000000004">
      <c r="D164" s="178">
        <v>82</v>
      </c>
      <c r="E164" s="56">
        <f t="shared" si="4"/>
        <v>0.82000000000000006</v>
      </c>
      <c r="F164" s="179">
        <f t="shared" si="5"/>
        <v>3.0125563402771522</v>
      </c>
    </row>
    <row r="165" spans="4:6" x14ac:dyDescent="0.55000000000000004">
      <c r="D165" s="178">
        <v>83</v>
      </c>
      <c r="E165" s="56">
        <f t="shared" si="4"/>
        <v>0.83000000000000007</v>
      </c>
      <c r="F165" s="179">
        <f t="shared" si="5"/>
        <v>2.9917751948663529</v>
      </c>
    </row>
    <row r="166" spans="4:6" x14ac:dyDescent="0.55000000000000004">
      <c r="D166" s="178">
        <v>84</v>
      </c>
      <c r="E166" s="56">
        <f t="shared" si="4"/>
        <v>0.84</v>
      </c>
      <c r="F166" s="179">
        <f t="shared" si="5"/>
        <v>2.9697549632774844</v>
      </c>
    </row>
    <row r="167" spans="4:6" x14ac:dyDescent="0.55000000000000004">
      <c r="D167" s="178">
        <v>85</v>
      </c>
      <c r="E167" s="56">
        <f t="shared" si="4"/>
        <v>0.85</v>
      </c>
      <c r="F167" s="179">
        <f t="shared" si="5"/>
        <v>2.9464956455105504</v>
      </c>
    </row>
    <row r="168" spans="4:6" x14ac:dyDescent="0.55000000000000004">
      <c r="D168" s="178">
        <v>86</v>
      </c>
      <c r="E168" s="56">
        <f t="shared" si="4"/>
        <v>0.86</v>
      </c>
      <c r="F168" s="179">
        <f t="shared" si="5"/>
        <v>2.9219972415655491</v>
      </c>
    </row>
    <row r="169" spans="4:6" x14ac:dyDescent="0.55000000000000004">
      <c r="D169" s="178">
        <v>87</v>
      </c>
      <c r="E169" s="56">
        <f t="shared" si="4"/>
        <v>0.87</v>
      </c>
      <c r="F169" s="179">
        <f t="shared" si="5"/>
        <v>2.8962597514424786</v>
      </c>
    </row>
    <row r="170" spans="4:6" x14ac:dyDescent="0.55000000000000004">
      <c r="D170" s="178">
        <v>88</v>
      </c>
      <c r="E170" s="56">
        <f t="shared" si="4"/>
        <v>0.88</v>
      </c>
      <c r="F170" s="179">
        <f t="shared" si="5"/>
        <v>2.8692831751413435</v>
      </c>
    </row>
    <row r="171" spans="4:6" x14ac:dyDescent="0.55000000000000004">
      <c r="D171" s="178">
        <v>89</v>
      </c>
      <c r="E171" s="56">
        <f t="shared" si="4"/>
        <v>0.89</v>
      </c>
      <c r="F171" s="179">
        <f t="shared" si="5"/>
        <v>2.8410675126621383</v>
      </c>
    </row>
    <row r="172" spans="4:6" x14ac:dyDescent="0.55000000000000004">
      <c r="D172" s="178">
        <v>90</v>
      </c>
      <c r="E172" s="56">
        <f t="shared" si="4"/>
        <v>0.9</v>
      </c>
      <c r="F172" s="179">
        <f t="shared" si="5"/>
        <v>2.8116127640048676</v>
      </c>
    </row>
    <row r="173" spans="4:6" x14ac:dyDescent="0.55000000000000004">
      <c r="D173" s="178">
        <v>91</v>
      </c>
      <c r="E173" s="56">
        <f t="shared" si="4"/>
        <v>0.91</v>
      </c>
      <c r="F173" s="179">
        <f t="shared" si="5"/>
        <v>2.7809189291695304</v>
      </c>
    </row>
    <row r="174" spans="4:6" x14ac:dyDescent="0.55000000000000004">
      <c r="D174" s="178">
        <v>92</v>
      </c>
      <c r="E174" s="56">
        <f t="shared" si="4"/>
        <v>0.92</v>
      </c>
      <c r="F174" s="179">
        <f t="shared" si="5"/>
        <v>2.748986008156125</v>
      </c>
    </row>
    <row r="175" spans="4:6" x14ac:dyDescent="0.55000000000000004">
      <c r="D175" s="178">
        <v>93</v>
      </c>
      <c r="E175" s="56">
        <f t="shared" si="4"/>
        <v>0.93</v>
      </c>
      <c r="F175" s="179">
        <f t="shared" si="5"/>
        <v>2.7158140009646523</v>
      </c>
    </row>
    <row r="176" spans="4:6" x14ac:dyDescent="0.55000000000000004">
      <c r="D176" s="178">
        <v>94</v>
      </c>
      <c r="E176" s="56">
        <f t="shared" si="4"/>
        <v>0.94000000000000006</v>
      </c>
      <c r="F176" s="179">
        <f t="shared" si="5"/>
        <v>2.6814029075951122</v>
      </c>
    </row>
    <row r="177" spans="4:6" x14ac:dyDescent="0.55000000000000004">
      <c r="D177" s="178">
        <v>95</v>
      </c>
      <c r="E177" s="56">
        <f t="shared" si="4"/>
        <v>0.95000000000000007</v>
      </c>
      <c r="F177" s="179">
        <f t="shared" si="5"/>
        <v>2.6457527280475057</v>
      </c>
    </row>
    <row r="178" spans="4:6" x14ac:dyDescent="0.55000000000000004">
      <c r="D178" s="178">
        <v>96</v>
      </c>
      <c r="E178" s="56">
        <f>IF(ISBLANK($J$4), $D$7, $H$7)/100*D178</f>
        <v>0.96</v>
      </c>
      <c r="F178" s="179">
        <f>IF(E178*TAN(RADIANS(IF(ISBLANK($J$4), $D$10, $H$14))) - ($C$5*E178^2)/(2*IF(ISBLANK($J$4), $D$9, $H$13)^2 * COS(RADIANS(IF(ISBLANK($J$4), $D$10, $H$14)))^2) + IF(ISBLANK($J$4), $D$8, $H$9)&gt;=0, E178*TAN(RADIANS(IF(ISBLANK($J$4), $D$10, $H$14))) - ($C$5*E178^2)/(2*IF(ISBLANK($J$4), $D$9, $H$13)^2 * COS(RADIANS(IF(ISBLANK($J$4), $D$10, $H$14)))^2) + IF(ISBLANK($J$4), $D$8, $H$9), 0)</f>
        <v>2.6088634623218319</v>
      </c>
    </row>
    <row r="179" spans="4:6" x14ac:dyDescent="0.55000000000000004">
      <c r="D179" s="178">
        <v>97</v>
      </c>
      <c r="E179" s="56">
        <f>IF(ISBLANK($J$4), $D$7, $H$7)/100*D179</f>
        <v>0.97</v>
      </c>
      <c r="F179" s="179">
        <f>IF(E179*TAN(RADIANS(IF(ISBLANK($J$4), $D$10, $H$14))) - ($C$5*E179^2)/(2*IF(ISBLANK($J$4), $D$9, $H$13)^2 * COS(RADIANS(IF(ISBLANK($J$4), $D$10, $H$14)))^2) + IF(ISBLANK($J$4), $D$8, $H$9)&gt;=0, E179*TAN(RADIANS(IF(ISBLANK($J$4), $D$10, $H$14))) - ($C$5*E179^2)/(2*IF(ISBLANK($J$4), $D$9, $H$13)^2 * COS(RADIANS(IF(ISBLANK($J$4), $D$10, $H$14)))^2) + IF(ISBLANK($J$4), $D$8, $H$9), 0)</f>
        <v>2.5707351104180898</v>
      </c>
    </row>
    <row r="180" spans="4:6" x14ac:dyDescent="0.55000000000000004">
      <c r="D180" s="178">
        <v>98</v>
      </c>
      <c r="E180" s="56">
        <f>IF(ISBLANK($J$4), $D$7, $H$7)/100*D180</f>
        <v>0.98</v>
      </c>
      <c r="F180" s="179">
        <f>IF(E180*TAN(RADIANS(IF(ISBLANK($J$4), $D$10, $H$14))) - ($C$5*E180^2)/(2*IF(ISBLANK($J$4), $D$9, $H$13)^2 * COS(RADIANS(IF(ISBLANK($J$4), $D$10, $H$14)))^2) + IF(ISBLANK($J$4), $D$8, $H$9)&gt;=0, E180*TAN(RADIANS(IF(ISBLANK($J$4), $D$10, $H$14))) - ($C$5*E180^2)/(2*IF(ISBLANK($J$4), $D$9, $H$13)^2 * COS(RADIANS(IF(ISBLANK($J$4), $D$10, $H$14)))^2) + IF(ISBLANK($J$4), $D$8, $H$9), 0)</f>
        <v>2.5313676723362821</v>
      </c>
    </row>
    <row r="181" spans="4:6" x14ac:dyDescent="0.55000000000000004">
      <c r="D181" s="178">
        <v>99</v>
      </c>
      <c r="E181" s="56">
        <f>IF(ISBLANK($J$4), $D$7, $H$7)/100*D181</f>
        <v>0.99</v>
      </c>
      <c r="F181" s="179">
        <f>IF(E181*TAN(RADIANS(IF(ISBLANK($J$4), $D$10, $H$14))) - ($C$5*E181^2)/(2*IF(ISBLANK($J$4), $D$9, $H$13)^2 * COS(RADIANS(IF(ISBLANK($J$4), $D$10, $H$14)))^2) + IF(ISBLANK($J$4), $D$8, $H$9)&gt;=0, E181*TAN(RADIANS(IF(ISBLANK($J$4), $D$10, $H$14))) - ($C$5*E181^2)/(2*IF(ISBLANK($J$4), $D$9, $H$13)^2 * COS(RADIANS(IF(ISBLANK($J$4), $D$10, $H$14)))^2) + IF(ISBLANK($J$4), $D$8, $H$9), 0)</f>
        <v>2.4907611480764063</v>
      </c>
    </row>
    <row r="182" spans="4:6" x14ac:dyDescent="0.55000000000000004">
      <c r="D182" s="178">
        <v>100</v>
      </c>
      <c r="E182" s="56">
        <f>IF(ISBLANK($J$4), $D$7, $H$7)/100*D182</f>
        <v>1</v>
      </c>
      <c r="F182" s="179">
        <f>IF(E182*TAN(RADIANS(IF(ISBLANK($J$4), $D$10, $H$14))) - ($C$5*E182^2)/(2*IF(ISBLANK($J$4), $D$9, $H$13)^2 * COS(RADIANS(IF(ISBLANK($J$4), $D$10, $H$14)))^2) + IF(ISBLANK($J$4), $D$8, $H$9)&gt;=0, E182*TAN(RADIANS(IF(ISBLANK($J$4), $D$10, $H$14))) - ($C$5*E182^2)/(2*IF(ISBLANK($J$4), $D$9, $H$13)^2 * COS(RADIANS(IF(ISBLANK($J$4), $D$10, $H$14)))^2) + IF(ISBLANK($J$4), $D$8, $H$9), 0)</f>
        <v>2.448915537638463</v>
      </c>
    </row>
    <row r="183" spans="4:6" x14ac:dyDescent="0.55000000000000004">
      <c r="D183" s="181"/>
      <c r="E183" s="182">
        <f>MAX(MAX(E82:E182), MAX(F82:F182))*1</f>
        <v>3.1765389466328133</v>
      </c>
      <c r="F183" s="180"/>
    </row>
  </sheetData>
  <conditionalFormatting sqref="H7">
    <cfRule type="expression" dxfId="28" priority="22">
      <formula>$H$7&lt;0</formula>
    </cfRule>
  </conditionalFormatting>
  <conditionalFormatting sqref="H8">
    <cfRule type="expression" dxfId="27" priority="21">
      <formula>$H$8&lt;=0</formula>
    </cfRule>
  </conditionalFormatting>
  <conditionalFormatting sqref="H9">
    <cfRule type="expression" dxfId="26" priority="20">
      <formula>$H$9&lt;0</formula>
    </cfRule>
  </conditionalFormatting>
  <conditionalFormatting sqref="H10">
    <cfRule type="expression" dxfId="25" priority="19">
      <formula>OR($H$10&gt;=90, $H$10&lt;=-90)</formula>
    </cfRule>
  </conditionalFormatting>
  <conditionalFormatting sqref="D7">
    <cfRule type="expression" dxfId="24" priority="8">
      <formula>$D$7&lt;0</formula>
    </cfRule>
  </conditionalFormatting>
  <conditionalFormatting sqref="D8">
    <cfRule type="expression" dxfId="23" priority="7">
      <formula>$D$8&lt;0</formula>
    </cfRule>
  </conditionalFormatting>
  <conditionalFormatting sqref="D10">
    <cfRule type="expression" dxfId="22" priority="6">
      <formula>OR($D$10&gt;=90, $D$10&lt;=-90)</formula>
    </cfRule>
  </conditionalFormatting>
  <conditionalFormatting sqref="D9">
    <cfRule type="expression" dxfId="21" priority="5">
      <formula>$D$9&lt;=0</formula>
    </cfRule>
  </conditionalFormatting>
  <conditionalFormatting sqref="D13:D14">
    <cfRule type="expression" dxfId="20" priority="3">
      <formula>$D$13&lt;=0</formula>
    </cfRule>
  </conditionalFormatting>
  <conditionalFormatting sqref="H13:H14">
    <cfRule type="expression" dxfId="19" priority="1">
      <formula>OR($H$13&lt;=0, OR(ABS(($H$7*TAN(RADIANS($H$14))-($C$5*$H$7^2)/(2*$H$13^2*COS(RADIANS($H$14))^2)+$H$9)/$H$8-1)&gt;0.05), ABS(DEGREES(ATAN(2*$I$8/$H$7-TAN(RADIANS($H$14))))/$H$10-1)&gt;0.05)</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5"/>
  </sheetPr>
  <dimension ref="B2:Q32"/>
  <sheetViews>
    <sheetView workbookViewId="0"/>
  </sheetViews>
  <sheetFormatPr defaultColWidth="9.15625" defaultRowHeight="14.4" x14ac:dyDescent="0.55000000000000004"/>
  <cols>
    <col min="1" max="6" width="9.15625" style="25"/>
    <col min="7" max="7" width="12.26171875" style="25" customWidth="1"/>
    <col min="8" max="8" width="8" style="25" customWidth="1"/>
    <col min="9" max="9" width="9.15625" style="25"/>
    <col min="10" max="10" width="12.26171875" style="25" customWidth="1"/>
    <col min="11" max="11" width="8" style="25" customWidth="1"/>
    <col min="12" max="14" width="9.15625" style="25"/>
    <col min="15" max="15" width="9.15625" style="25" customWidth="1"/>
    <col min="16" max="18" width="9.26171875" style="25" bestFit="1" customWidth="1"/>
    <col min="19" max="19" width="9" style="25" bestFit="1" customWidth="1"/>
    <col min="20" max="20" width="9.15625" style="25" customWidth="1"/>
    <col min="21" max="21" width="9.26171875" style="25" customWidth="1"/>
    <col min="22" max="23" width="9.26171875" style="25" bestFit="1" customWidth="1"/>
    <col min="24" max="24" width="9" style="25" bestFit="1" customWidth="1"/>
    <col min="25" max="16384" width="9.15625" style="25"/>
  </cols>
  <sheetData>
    <row r="2" spans="2:16" ht="30.6" x14ac:dyDescent="1.1000000000000001">
      <c r="B2" s="5" t="s">
        <v>15</v>
      </c>
    </row>
    <row r="4" spans="2:16" x14ac:dyDescent="0.55000000000000004">
      <c r="G4" s="161" t="s">
        <v>308</v>
      </c>
      <c r="H4" s="126" t="s">
        <v>0</v>
      </c>
      <c r="I4" s="207">
        <v>9.5299999999999994</v>
      </c>
      <c r="L4" s="6" t="s">
        <v>16</v>
      </c>
    </row>
    <row r="5" spans="2:16" x14ac:dyDescent="0.55000000000000004">
      <c r="G5" s="161"/>
      <c r="L5" s="6" t="s">
        <v>376</v>
      </c>
    </row>
    <row r="6" spans="2:16" x14ac:dyDescent="0.55000000000000004">
      <c r="G6" s="161"/>
      <c r="H6" s="126" t="s">
        <v>1</v>
      </c>
      <c r="I6" s="129">
        <v>15</v>
      </c>
      <c r="M6" s="7" t="s">
        <v>281</v>
      </c>
    </row>
    <row r="7" spans="2:16" x14ac:dyDescent="0.55000000000000004">
      <c r="G7" s="161" t="s">
        <v>309</v>
      </c>
      <c r="H7" s="126" t="s">
        <v>307</v>
      </c>
      <c r="I7" s="130">
        <f>I6*I$4/PI()</f>
        <v>45.502398229972876</v>
      </c>
      <c r="L7" s="147"/>
      <c r="M7" s="120" t="s">
        <v>51</v>
      </c>
      <c r="N7" s="121" t="s">
        <v>54</v>
      </c>
      <c r="O7" s="121" t="s">
        <v>55</v>
      </c>
      <c r="P7" s="121" t="s">
        <v>61</v>
      </c>
    </row>
    <row r="8" spans="2:16" x14ac:dyDescent="0.55000000000000004">
      <c r="G8" s="161"/>
      <c r="L8" s="163" t="s">
        <v>279</v>
      </c>
      <c r="M8" s="148">
        <v>0.25</v>
      </c>
      <c r="N8" s="149">
        <v>0.375</v>
      </c>
      <c r="O8" s="149">
        <v>0.19700000000000001</v>
      </c>
      <c r="P8" s="149">
        <v>0.11799999999999999</v>
      </c>
    </row>
    <row r="9" spans="2:16" x14ac:dyDescent="0.55000000000000004">
      <c r="G9" s="161"/>
      <c r="H9" s="126" t="s">
        <v>2</v>
      </c>
      <c r="I9" s="129">
        <v>15</v>
      </c>
      <c r="L9" s="164" t="s">
        <v>280</v>
      </c>
      <c r="M9" s="152">
        <v>6.35</v>
      </c>
      <c r="N9" s="153">
        <v>9.5299999999999994</v>
      </c>
      <c r="O9" s="153">
        <v>5</v>
      </c>
      <c r="P9" s="153">
        <v>3</v>
      </c>
    </row>
    <row r="10" spans="2:16" x14ac:dyDescent="0.55000000000000004">
      <c r="G10" s="161" t="s">
        <v>310</v>
      </c>
      <c r="H10" s="126" t="s">
        <v>307</v>
      </c>
      <c r="I10" s="130">
        <f>I9*I$4/PI()</f>
        <v>45.502398229972876</v>
      </c>
      <c r="M10" s="7" t="s">
        <v>278</v>
      </c>
    </row>
    <row r="11" spans="2:16" x14ac:dyDescent="0.55000000000000004">
      <c r="M11" s="120" t="s">
        <v>51</v>
      </c>
      <c r="N11" s="121" t="s">
        <v>54</v>
      </c>
      <c r="O11" s="121" t="s">
        <v>55</v>
      </c>
      <c r="P11" s="121" t="s">
        <v>56</v>
      </c>
    </row>
    <row r="12" spans="2:16" x14ac:dyDescent="0.55000000000000004">
      <c r="L12" s="163" t="s">
        <v>279</v>
      </c>
      <c r="M12" s="150">
        <v>1.2E-2</v>
      </c>
      <c r="N12" s="149">
        <v>1.6E-2</v>
      </c>
      <c r="O12" s="151">
        <v>-1E-3</v>
      </c>
      <c r="P12" s="149">
        <v>0</v>
      </c>
    </row>
    <row r="13" spans="2:16" x14ac:dyDescent="0.55000000000000004">
      <c r="L13" s="164" t="s">
        <v>280</v>
      </c>
      <c r="M13" s="154">
        <v>0.31</v>
      </c>
      <c r="N13" s="153">
        <v>0.41</v>
      </c>
      <c r="O13" s="155">
        <v>-0.03</v>
      </c>
      <c r="P13" s="153">
        <v>0</v>
      </c>
    </row>
    <row r="14" spans="2:16" x14ac:dyDescent="0.55000000000000004">
      <c r="L14" s="186"/>
      <c r="M14" s="187"/>
      <c r="N14" s="187"/>
      <c r="O14" s="188"/>
      <c r="P14" s="187"/>
    </row>
    <row r="15" spans="2:16" ht="18.3" x14ac:dyDescent="0.7">
      <c r="G15" s="169" t="s">
        <v>326</v>
      </c>
      <c r="J15" s="169" t="s">
        <v>325</v>
      </c>
    </row>
    <row r="16" spans="2:16" ht="16.8" x14ac:dyDescent="0.75">
      <c r="F16" s="161" t="s">
        <v>296</v>
      </c>
      <c r="G16" s="126" t="s">
        <v>293</v>
      </c>
      <c r="H16" s="129">
        <v>400</v>
      </c>
      <c r="J16" s="126" t="s">
        <v>6</v>
      </c>
      <c r="K16" s="129">
        <v>100</v>
      </c>
      <c r="L16" s="165" t="s">
        <v>300</v>
      </c>
    </row>
    <row r="17" spans="2:17" x14ac:dyDescent="0.55000000000000004">
      <c r="F17" s="161" t="s">
        <v>297</v>
      </c>
      <c r="G17" s="126" t="s">
        <v>3</v>
      </c>
      <c r="H17" s="209" t="s">
        <v>375</v>
      </c>
    </row>
    <row r="18" spans="2:17" x14ac:dyDescent="0.55000000000000004">
      <c r="F18" s="161" t="s">
        <v>298</v>
      </c>
      <c r="G18" s="126" t="s">
        <v>4</v>
      </c>
      <c r="H18" s="129">
        <v>2</v>
      </c>
    </row>
    <row r="19" spans="2:17" x14ac:dyDescent="0.55000000000000004">
      <c r="F19" s="161"/>
    </row>
    <row r="20" spans="2:17" ht="16.8" x14ac:dyDescent="0.75">
      <c r="F20" s="161" t="s">
        <v>303</v>
      </c>
      <c r="G20" s="126" t="s">
        <v>14</v>
      </c>
      <c r="H20" s="162">
        <f>B32</f>
        <v>405.02499999999975</v>
      </c>
      <c r="J20" s="126" t="s">
        <v>14</v>
      </c>
      <c r="K20" s="162">
        <f>K32</f>
        <v>405.02499999999787</v>
      </c>
      <c r="L20" s="165" t="s">
        <v>299</v>
      </c>
    </row>
    <row r="21" spans="2:17" x14ac:dyDescent="0.55000000000000004">
      <c r="F21" s="161" t="s">
        <v>304</v>
      </c>
      <c r="G21" s="126" t="s">
        <v>5</v>
      </c>
      <c r="H21" s="162">
        <f>E32*I4</f>
        <v>952.99999999999955</v>
      </c>
      <c r="J21" s="126" t="s">
        <v>5</v>
      </c>
      <c r="K21" s="162">
        <f>K16*I4</f>
        <v>952.99999999999989</v>
      </c>
      <c r="L21" s="165" t="s">
        <v>301</v>
      </c>
    </row>
    <row r="22" spans="2:17" x14ac:dyDescent="0.55000000000000004">
      <c r="F22" s="161" t="s">
        <v>305</v>
      </c>
      <c r="G22" s="126" t="s">
        <v>6</v>
      </c>
      <c r="H22" s="162">
        <f>E32</f>
        <v>99.999999999999957</v>
      </c>
      <c r="J22" s="127" t="s">
        <v>7</v>
      </c>
      <c r="K22" s="162">
        <f>K20-(I7+I10)/2</f>
        <v>359.52260177002501</v>
      </c>
      <c r="L22" s="165" t="s">
        <v>302</v>
      </c>
    </row>
    <row r="23" spans="2:17" x14ac:dyDescent="0.55000000000000004">
      <c r="F23" s="161" t="s">
        <v>306</v>
      </c>
      <c r="G23" s="127" t="s">
        <v>7</v>
      </c>
      <c r="H23" s="162">
        <f>H20-(I7+I10)/2</f>
        <v>359.52260177002688</v>
      </c>
    </row>
    <row r="25" spans="2:17" ht="14.7" x14ac:dyDescent="0.55000000000000004">
      <c r="B25" s="139" t="s">
        <v>13</v>
      </c>
      <c r="C25" s="140" t="s">
        <v>8</v>
      </c>
      <c r="D25" s="141" t="s">
        <v>9</v>
      </c>
      <c r="E25" s="141" t="s">
        <v>12</v>
      </c>
      <c r="F25" s="141" t="s">
        <v>10</v>
      </c>
      <c r="G25" s="142" t="s">
        <v>11</v>
      </c>
      <c r="H25" s="143" t="s">
        <v>292</v>
      </c>
      <c r="K25" s="139" t="s">
        <v>13</v>
      </c>
      <c r="L25" s="140" t="s">
        <v>8</v>
      </c>
      <c r="M25" s="141" t="s">
        <v>9</v>
      </c>
      <c r="N25" s="141" t="s">
        <v>12</v>
      </c>
      <c r="O25" s="141" t="s">
        <v>10</v>
      </c>
      <c r="P25" s="142" t="s">
        <v>11</v>
      </c>
      <c r="Q25" s="143" t="s">
        <v>292</v>
      </c>
    </row>
    <row r="26" spans="2:17" x14ac:dyDescent="0.55000000000000004">
      <c r="B26" s="144">
        <f>H16</f>
        <v>400</v>
      </c>
      <c r="C26" s="145">
        <f t="shared" ref="C26:C32" si="0">ACOS((I$10-I$7)/(2*B26))</f>
        <v>1.5707963267948966</v>
      </c>
      <c r="D26" s="145">
        <f t="shared" ref="D26:D32" si="1">SQRT(B26^2-(I$7/2-I$10/2)^2)</f>
        <v>400</v>
      </c>
      <c r="E26" s="145">
        <f t="shared" ref="E26:E32" si="2">(2*D26+I$6*I$4*C26/PI()+I$9*I$4*(PI()-C26)/PI())/$I$4</f>
        <v>98.945435466946492</v>
      </c>
      <c r="F26" s="145">
        <f>IF(H17="Nearest", MROUND(E26, H18), IF(H17="Up",CEILING(E26, H18),FLOOR(E26, H18)))</f>
        <v>100</v>
      </c>
      <c r="G26" s="145">
        <f t="shared" ref="G26:G32" si="3">E26-F26</f>
        <v>-1.0545645330535081</v>
      </c>
      <c r="H26" s="146"/>
      <c r="K26" s="144">
        <f>K16*I4/2</f>
        <v>476.49999999999994</v>
      </c>
      <c r="L26" s="145">
        <f t="shared" ref="L26:L32" si="4">ACOS((I$10-I$7)/(2*K26))</f>
        <v>1.5707963267948966</v>
      </c>
      <c r="M26" s="145">
        <f t="shared" ref="M26:M32" si="5">SQRT(K26^2-(I$7/2-I$10/2)^2)</f>
        <v>476.49999999999994</v>
      </c>
      <c r="N26" s="145">
        <f t="shared" ref="N26:N32" si="6">(2*M26+I$6*I$4*L26/PI()+I$9*I$4*(PI()-L26)/PI())/$I$4</f>
        <v>114.99999999999999</v>
      </c>
      <c r="O26" s="145">
        <f>K16</f>
        <v>100</v>
      </c>
      <c r="P26" s="145">
        <f t="shared" ref="P26:P32" si="7">N26-O26</f>
        <v>14.999999999999986</v>
      </c>
      <c r="Q26" s="146"/>
    </row>
    <row r="27" spans="2:17" x14ac:dyDescent="0.55000000000000004">
      <c r="B27" s="144">
        <f>IF(F26&gt;E26, B26+I4/10, B26-I4/10)</f>
        <v>400.95299999999997</v>
      </c>
      <c r="C27" s="145">
        <f t="shared" si="0"/>
        <v>1.5707963267948966</v>
      </c>
      <c r="D27" s="145">
        <f t="shared" si="1"/>
        <v>400.95299999999997</v>
      </c>
      <c r="E27" s="145">
        <f t="shared" si="2"/>
        <v>99.145435466946495</v>
      </c>
      <c r="F27" s="145">
        <f t="shared" ref="F27:F32" si="8">F26</f>
        <v>100</v>
      </c>
      <c r="G27" s="145">
        <f t="shared" si="3"/>
        <v>-0.85456453305350522</v>
      </c>
      <c r="H27" s="146">
        <f t="shared" ref="H27:H32" si="9">(G27-G26)/(B27-B26)</f>
        <v>0.20986358866737481</v>
      </c>
      <c r="K27" s="144">
        <f>IF(O26&gt;N26, K26+I4/10, K26-I4/10)</f>
        <v>475.54699999999997</v>
      </c>
      <c r="L27" s="145">
        <f t="shared" si="4"/>
        <v>1.5707963267948966</v>
      </c>
      <c r="M27" s="145">
        <f t="shared" si="5"/>
        <v>475.54699999999997</v>
      </c>
      <c r="N27" s="145">
        <f t="shared" si="6"/>
        <v>114.8</v>
      </c>
      <c r="O27" s="145">
        <f t="shared" ref="O27:O32" si="10">O26</f>
        <v>100</v>
      </c>
      <c r="P27" s="145">
        <f t="shared" si="7"/>
        <v>14.799999999999997</v>
      </c>
      <c r="Q27" s="146">
        <f t="shared" ref="Q27:Q32" si="11">(P27-P26)/(K27-K26)</f>
        <v>0.20986358866735988</v>
      </c>
    </row>
    <row r="28" spans="2:17" x14ac:dyDescent="0.55000000000000004">
      <c r="B28" s="144">
        <f>IF(ABS(G27)&lt;0.000000000001,B27,B27-G27/H27)</f>
        <v>405.02499999999975</v>
      </c>
      <c r="C28" s="145">
        <f t="shared" si="0"/>
        <v>1.5707963267948966</v>
      </c>
      <c r="D28" s="145">
        <f t="shared" si="1"/>
        <v>405.02499999999975</v>
      </c>
      <c r="E28" s="145">
        <f t="shared" si="2"/>
        <v>99.999999999999957</v>
      </c>
      <c r="F28" s="145">
        <f t="shared" si="8"/>
        <v>100</v>
      </c>
      <c r="G28" s="145">
        <f t="shared" si="3"/>
        <v>0</v>
      </c>
      <c r="H28" s="146">
        <f t="shared" si="9"/>
        <v>0.20986358866737534</v>
      </c>
      <c r="K28" s="144">
        <f>IF(ABS(P27)&lt;0.000000000001,K27,K27-P27/Q27)</f>
        <v>405.02499999999787</v>
      </c>
      <c r="L28" s="145">
        <f t="shared" si="4"/>
        <v>1.5707963267948966</v>
      </c>
      <c r="M28" s="145">
        <f t="shared" si="5"/>
        <v>405.02499999999787</v>
      </c>
      <c r="N28" s="145">
        <f t="shared" si="6"/>
        <v>99.999999999999559</v>
      </c>
      <c r="O28" s="145">
        <f t="shared" si="10"/>
        <v>100</v>
      </c>
      <c r="P28" s="145">
        <f t="shared" si="7"/>
        <v>-4.4053649617126212E-13</v>
      </c>
      <c r="Q28" s="146">
        <f t="shared" si="11"/>
        <v>0.20986358866736618</v>
      </c>
    </row>
    <row r="29" spans="2:17" x14ac:dyDescent="0.55000000000000004">
      <c r="B29" s="144">
        <f>IF(ABS(G28)&lt;0.000000000001,B28,B28-G28/H28)</f>
        <v>405.02499999999975</v>
      </c>
      <c r="C29" s="145">
        <f t="shared" si="0"/>
        <v>1.5707963267948966</v>
      </c>
      <c r="D29" s="145">
        <f t="shared" si="1"/>
        <v>405.02499999999975</v>
      </c>
      <c r="E29" s="145">
        <f t="shared" si="2"/>
        <v>99.999999999999957</v>
      </c>
      <c r="F29" s="145">
        <f t="shared" si="8"/>
        <v>100</v>
      </c>
      <c r="G29" s="145">
        <f t="shared" si="3"/>
        <v>0</v>
      </c>
      <c r="H29" s="146" t="e">
        <f t="shared" si="9"/>
        <v>#DIV/0!</v>
      </c>
      <c r="K29" s="144">
        <f>IF(ABS(P28)&lt;0.000000000001,K28,K28-P28/Q28)</f>
        <v>405.02499999999787</v>
      </c>
      <c r="L29" s="145">
        <f t="shared" si="4"/>
        <v>1.5707963267948966</v>
      </c>
      <c r="M29" s="145">
        <f t="shared" si="5"/>
        <v>405.02499999999787</v>
      </c>
      <c r="N29" s="145">
        <f t="shared" si="6"/>
        <v>99.999999999999559</v>
      </c>
      <c r="O29" s="145">
        <f t="shared" si="10"/>
        <v>100</v>
      </c>
      <c r="P29" s="145">
        <f t="shared" si="7"/>
        <v>-4.4053649617126212E-13</v>
      </c>
      <c r="Q29" s="146" t="e">
        <f t="shared" si="11"/>
        <v>#DIV/0!</v>
      </c>
    </row>
    <row r="30" spans="2:17" x14ac:dyDescent="0.55000000000000004">
      <c r="B30" s="144">
        <f>IF(ABS(G29)&lt;0.000000000001,B29,B29-G29/H29)</f>
        <v>405.02499999999975</v>
      </c>
      <c r="C30" s="145">
        <f t="shared" si="0"/>
        <v>1.5707963267948966</v>
      </c>
      <c r="D30" s="145">
        <f t="shared" si="1"/>
        <v>405.02499999999975</v>
      </c>
      <c r="E30" s="145">
        <f t="shared" si="2"/>
        <v>99.999999999999957</v>
      </c>
      <c r="F30" s="145">
        <f t="shared" si="8"/>
        <v>100</v>
      </c>
      <c r="G30" s="145">
        <f t="shared" si="3"/>
        <v>0</v>
      </c>
      <c r="H30" s="146" t="e">
        <f t="shared" si="9"/>
        <v>#DIV/0!</v>
      </c>
      <c r="K30" s="144">
        <f>IF(ABS(P29)&lt;0.000000000001,K29,K29-P29/Q29)</f>
        <v>405.02499999999787</v>
      </c>
      <c r="L30" s="145">
        <f t="shared" si="4"/>
        <v>1.5707963267948966</v>
      </c>
      <c r="M30" s="145">
        <f t="shared" si="5"/>
        <v>405.02499999999787</v>
      </c>
      <c r="N30" s="145">
        <f t="shared" si="6"/>
        <v>99.999999999999559</v>
      </c>
      <c r="O30" s="145">
        <f t="shared" si="10"/>
        <v>100</v>
      </c>
      <c r="P30" s="145">
        <f t="shared" si="7"/>
        <v>-4.4053649617126212E-13</v>
      </c>
      <c r="Q30" s="146" t="e">
        <f t="shared" si="11"/>
        <v>#DIV/0!</v>
      </c>
    </row>
    <row r="31" spans="2:17" x14ac:dyDescent="0.55000000000000004">
      <c r="B31" s="144">
        <f>IF(ABS(G30)&lt;0.000000000001,B30,B30-G30/H30)</f>
        <v>405.02499999999975</v>
      </c>
      <c r="C31" s="145">
        <f t="shared" si="0"/>
        <v>1.5707963267948966</v>
      </c>
      <c r="D31" s="145">
        <f t="shared" si="1"/>
        <v>405.02499999999975</v>
      </c>
      <c r="E31" s="145">
        <f t="shared" si="2"/>
        <v>99.999999999999957</v>
      </c>
      <c r="F31" s="145">
        <f t="shared" si="8"/>
        <v>100</v>
      </c>
      <c r="G31" s="145">
        <f t="shared" si="3"/>
        <v>0</v>
      </c>
      <c r="H31" s="146" t="e">
        <f t="shared" si="9"/>
        <v>#DIV/0!</v>
      </c>
      <c r="K31" s="144">
        <f>IF(ABS(P30)&lt;0.000000000001,K30,K30-P30/Q30)</f>
        <v>405.02499999999787</v>
      </c>
      <c r="L31" s="145">
        <f t="shared" si="4"/>
        <v>1.5707963267948966</v>
      </c>
      <c r="M31" s="145">
        <f t="shared" si="5"/>
        <v>405.02499999999787</v>
      </c>
      <c r="N31" s="145">
        <f t="shared" si="6"/>
        <v>99.999999999999559</v>
      </c>
      <c r="O31" s="145">
        <f t="shared" si="10"/>
        <v>100</v>
      </c>
      <c r="P31" s="145">
        <f t="shared" si="7"/>
        <v>-4.4053649617126212E-13</v>
      </c>
      <c r="Q31" s="146" t="e">
        <f t="shared" si="11"/>
        <v>#DIV/0!</v>
      </c>
    </row>
    <row r="32" spans="2:17" x14ac:dyDescent="0.55000000000000004">
      <c r="B32" s="156">
        <f>IF(ABS(G31)&lt;0.000000000001,B31,B31-G31/H31)</f>
        <v>405.02499999999975</v>
      </c>
      <c r="C32" s="157">
        <f t="shared" si="0"/>
        <v>1.5707963267948966</v>
      </c>
      <c r="D32" s="157">
        <f t="shared" si="1"/>
        <v>405.02499999999975</v>
      </c>
      <c r="E32" s="157">
        <f t="shared" si="2"/>
        <v>99.999999999999957</v>
      </c>
      <c r="F32" s="157">
        <f t="shared" si="8"/>
        <v>100</v>
      </c>
      <c r="G32" s="157">
        <f t="shared" si="3"/>
        <v>0</v>
      </c>
      <c r="H32" s="158" t="e">
        <f t="shared" si="9"/>
        <v>#DIV/0!</v>
      </c>
      <c r="K32" s="156">
        <f>IF(ABS(P31)&lt;0.000000000001,K31,K31-P31/Q31)</f>
        <v>405.02499999999787</v>
      </c>
      <c r="L32" s="145">
        <f t="shared" si="4"/>
        <v>1.5707963267948966</v>
      </c>
      <c r="M32" s="145">
        <f t="shared" si="5"/>
        <v>405.02499999999787</v>
      </c>
      <c r="N32" s="145">
        <f t="shared" si="6"/>
        <v>99.999999999999559</v>
      </c>
      <c r="O32" s="157">
        <f t="shared" si="10"/>
        <v>100</v>
      </c>
      <c r="P32" s="157">
        <f t="shared" si="7"/>
        <v>-4.4053649617126212E-13</v>
      </c>
      <c r="Q32" s="158" t="e">
        <f t="shared" si="11"/>
        <v>#DIV/0!</v>
      </c>
    </row>
  </sheetData>
  <conditionalFormatting sqref="I4">
    <cfRule type="expression" dxfId="18" priority="8">
      <formula>$I$4&lt;=0</formula>
    </cfRule>
  </conditionalFormatting>
  <conditionalFormatting sqref="I6">
    <cfRule type="expression" dxfId="17" priority="7">
      <formula>$I$6&lt;=0</formula>
    </cfRule>
  </conditionalFormatting>
  <conditionalFormatting sqref="I9">
    <cfRule type="expression" dxfId="16" priority="6">
      <formula>$I$9&lt;=0</formula>
    </cfRule>
  </conditionalFormatting>
  <conditionalFormatting sqref="H16">
    <cfRule type="expression" dxfId="15" priority="5">
      <formula>$H$16&lt;=0</formula>
    </cfRule>
  </conditionalFormatting>
  <conditionalFormatting sqref="H18">
    <cfRule type="expression" dxfId="14" priority="4">
      <formula>OR($H$18&lt;=0, NOT(INT($H$18)=$H$18))</formula>
    </cfRule>
  </conditionalFormatting>
  <conditionalFormatting sqref="H23">
    <cfRule type="expression" dxfId="13" priority="3">
      <formula>$H$23&lt;=0</formula>
    </cfRule>
  </conditionalFormatting>
  <conditionalFormatting sqref="K16">
    <cfRule type="expression" dxfId="12" priority="2">
      <formula>$K$16&lt;=0</formula>
    </cfRule>
  </conditionalFormatting>
  <conditionalFormatting sqref="K22">
    <cfRule type="expression" dxfId="11" priority="1">
      <formula>$K$22&lt;=0</formula>
    </cfRule>
  </conditionalFormatting>
  <dataValidations disablePrompts="1" count="1">
    <dataValidation type="list" allowBlank="1" showInputMessage="1" showErrorMessage="1" sqref="H17" xr:uid="{00000000-0002-0000-0400-000000000000}">
      <formula1>"Nearest, Up, Down"</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9"/>
  </sheetPr>
  <dimension ref="C2:N20"/>
  <sheetViews>
    <sheetView workbookViewId="0"/>
  </sheetViews>
  <sheetFormatPr defaultRowHeight="14.4" x14ac:dyDescent="0.55000000000000004"/>
  <cols>
    <col min="3" max="3" width="2.68359375" customWidth="1"/>
    <col min="4" max="4" width="17" customWidth="1"/>
    <col min="6" max="6" width="7.26171875" customWidth="1"/>
    <col min="7" max="7" width="8.83984375" customWidth="1"/>
    <col min="8" max="8" width="9.68359375" customWidth="1"/>
    <col min="10" max="10" width="16.89453125" customWidth="1"/>
    <col min="11" max="11" width="9.578125" customWidth="1"/>
    <col min="13" max="13" width="13.41796875" customWidth="1"/>
    <col min="15" max="15" width="4.62890625" customWidth="1"/>
  </cols>
  <sheetData>
    <row r="2" spans="3:14" x14ac:dyDescent="0.55000000000000004">
      <c r="C2" s="2"/>
      <c r="D2" s="168" t="s">
        <v>35</v>
      </c>
    </row>
    <row r="4" spans="3:14" ht="30.6" x14ac:dyDescent="1.1000000000000001">
      <c r="D4" s="5" t="s">
        <v>277</v>
      </c>
      <c r="J4" s="5" t="s">
        <v>276</v>
      </c>
    </row>
    <row r="5" spans="3:14" x14ac:dyDescent="0.55000000000000004">
      <c r="F5" s="8"/>
    </row>
    <row r="6" spans="3:14" x14ac:dyDescent="0.55000000000000004">
      <c r="D6" s="1" t="s">
        <v>378</v>
      </c>
      <c r="E6" s="2">
        <v>20</v>
      </c>
      <c r="J6" s="1" t="s">
        <v>266</v>
      </c>
      <c r="K6" s="2">
        <v>100</v>
      </c>
    </row>
    <row r="7" spans="3:14" x14ac:dyDescent="0.55000000000000004">
      <c r="J7" s="1" t="s">
        <v>267</v>
      </c>
      <c r="K7" s="2">
        <v>32</v>
      </c>
    </row>
    <row r="8" spans="3:14" x14ac:dyDescent="0.55000000000000004">
      <c r="D8" s="1" t="s">
        <v>40</v>
      </c>
      <c r="E8" s="210">
        <v>3</v>
      </c>
      <c r="F8" s="8"/>
    </row>
    <row r="9" spans="3:14" x14ac:dyDescent="0.55000000000000004">
      <c r="D9" s="211" t="str">
        <f>IF(ISBLANK(C2), "Desired Distance (in)", "Desired Distance (mm)")</f>
        <v>Desired Distance (in)</v>
      </c>
      <c r="E9" s="2">
        <v>2.9</v>
      </c>
      <c r="J9" s="1" t="s">
        <v>268</v>
      </c>
      <c r="K9" s="2">
        <v>30</v>
      </c>
    </row>
    <row r="10" spans="3:14" x14ac:dyDescent="0.55000000000000004">
      <c r="J10" s="1" t="s">
        <v>269</v>
      </c>
      <c r="K10" s="2">
        <v>60</v>
      </c>
    </row>
    <row r="11" spans="3:14" x14ac:dyDescent="0.55000000000000004">
      <c r="D11" s="1" t="s">
        <v>379</v>
      </c>
      <c r="E11" s="222">
        <f>2*IF(D9="inches",E9,E9/25.4)*E6/(E8+1)</f>
        <v>1.1417322834645669</v>
      </c>
      <c r="J11" s="1" t="s">
        <v>270</v>
      </c>
      <c r="K11" s="2">
        <v>20</v>
      </c>
    </row>
    <row r="12" spans="3:14" x14ac:dyDescent="0.55000000000000004">
      <c r="D12" s="211" t="str">
        <f>IF(ISBLANK(C9), "Pitch Diameter (in)", "Pitch Diameter (mm)")</f>
        <v>Pitch Diameter (in)</v>
      </c>
      <c r="E12" s="225">
        <f>E11/$E$6*IF($D$9="mm",25.4,1)</f>
        <v>5.7086614173228342E-2</v>
      </c>
    </row>
    <row r="13" spans="3:14" x14ac:dyDescent="0.55000000000000004">
      <c r="D13" s="211" t="str">
        <f>IF(ISBLANK(C10), "Outer Diameter (in)", "Outer Diameter (mm)")</f>
        <v>Outer Diameter (in)</v>
      </c>
      <c r="E13" s="225">
        <f>(E11+2)/$E$6*IF($D$9="mm",25.4,1)</f>
        <v>0.15708661417322833</v>
      </c>
    </row>
    <row r="15" spans="3:14" x14ac:dyDescent="0.55000000000000004">
      <c r="D15" s="1" t="s">
        <v>379</v>
      </c>
      <c r="E15" s="222">
        <f>E11*E8</f>
        <v>3.4251968503937009</v>
      </c>
    </row>
    <row r="16" spans="3:14" x14ac:dyDescent="0.55000000000000004">
      <c r="D16" s="211" t="str">
        <f>IF(ISBLANK(C13), "Pitch Diameter (in)", "Pitch Diameter (mm)")</f>
        <v>Pitch Diameter (in)</v>
      </c>
      <c r="E16" s="225">
        <f>E15/E$6*IF(F15="mm",25.4,1)</f>
        <v>0.17125984251968504</v>
      </c>
      <c r="J16" s="1" t="s">
        <v>273</v>
      </c>
      <c r="K16" s="212" t="s">
        <v>274</v>
      </c>
      <c r="M16" s="1" t="s">
        <v>271</v>
      </c>
      <c r="N16" s="2">
        <v>20</v>
      </c>
    </row>
    <row r="17" spans="4:14" x14ac:dyDescent="0.55000000000000004">
      <c r="D17" s="211" t="str">
        <f>IF(ISBLANK(C14), "Outer Diameter (in)", "Outer Diameter (mm)")</f>
        <v>Outer Diameter (in)</v>
      </c>
      <c r="E17" s="225">
        <f>(E15+2)/E$6*IF(D$9="mm",25.4,1)</f>
        <v>0.27125984251968505</v>
      </c>
      <c r="J17" s="211" t="str">
        <f>IF(ISBLANK(C2), "Custom Diam. (in)", "Custom Diam. (mm)")</f>
        <v>Custom Diam. (in)</v>
      </c>
      <c r="K17" s="2"/>
      <c r="M17" s="1" t="s">
        <v>272</v>
      </c>
      <c r="N17" s="2">
        <v>20</v>
      </c>
    </row>
    <row r="19" spans="4:14" x14ac:dyDescent="0.55000000000000004">
      <c r="J19" s="1" t="str">
        <f>IF(ISBLANK(C2), "Axle Clearance (in)", "Axle Clearance (mm)")</f>
        <v>Axle Clearance (in)</v>
      </c>
      <c r="K19" s="225">
        <f>((K9+K10)/(2*K11) - (K6+2)/(2*K7) - IF(K16="1/2 Hex", 0.577, IF(K16="1/2 Round", 0.5, IF(K16="3/8 Hex", 0.433, IF(K16="1/4 Round", 0.25, K17/IF(ISBLANK(C2), 1, 25.4)))))/2)*IF(ISBLANK(C2), 1, 25.4)</f>
        <v>0.36775000000000002</v>
      </c>
      <c r="M19" s="1" t="str">
        <f>IF(ISBLANK(C2), "Clearance (in)", "Clearance (mm)")</f>
        <v>Clearance (in)</v>
      </c>
      <c r="N19" s="225">
        <f>((K9+K10)/(2*K11) - (K6+2)/(2*K7) - (N16+2)/(2*N17))*IF(ISBLANK(C2), 1, 25.4)</f>
        <v>0.10624999999999996</v>
      </c>
    </row>
    <row r="20" spans="4:14" x14ac:dyDescent="0.55000000000000004">
      <c r="J20" s="1" t="s">
        <v>275</v>
      </c>
      <c r="K20" s="112" t="b">
        <f>K19&gt;0</f>
        <v>1</v>
      </c>
      <c r="M20" s="1" t="s">
        <v>288</v>
      </c>
      <c r="N20" s="112" t="b">
        <f>N19&gt;0</f>
        <v>1</v>
      </c>
    </row>
  </sheetData>
  <conditionalFormatting sqref="E6">
    <cfRule type="expression" dxfId="10" priority="10">
      <formula>$E$6&lt;=0</formula>
    </cfRule>
  </conditionalFormatting>
  <conditionalFormatting sqref="E8">
    <cfRule type="expression" dxfId="9" priority="9">
      <formula>$E$8&lt;=0</formula>
    </cfRule>
  </conditionalFormatting>
  <conditionalFormatting sqref="E9">
    <cfRule type="expression" dxfId="8" priority="8">
      <formula>$E$9&lt;=0</formula>
    </cfRule>
  </conditionalFormatting>
  <conditionalFormatting sqref="K6">
    <cfRule type="expression" dxfId="7" priority="7">
      <formula>$K$6&lt;=0</formula>
    </cfRule>
  </conditionalFormatting>
  <conditionalFormatting sqref="K7">
    <cfRule type="expression" dxfId="6" priority="6">
      <formula>$K$7&lt;=0</formula>
    </cfRule>
  </conditionalFormatting>
  <conditionalFormatting sqref="K9">
    <cfRule type="expression" dxfId="5" priority="5">
      <formula>K9&lt;=0</formula>
    </cfRule>
  </conditionalFormatting>
  <conditionalFormatting sqref="K10:K11">
    <cfRule type="expression" dxfId="4" priority="4">
      <formula>K10&lt;=0</formula>
    </cfRule>
  </conditionalFormatting>
  <conditionalFormatting sqref="N16:N17">
    <cfRule type="expression" dxfId="3" priority="3">
      <formula>N16&lt;=0</formula>
    </cfRule>
  </conditionalFormatting>
  <conditionalFormatting sqref="K19:K20">
    <cfRule type="expression" dxfId="2" priority="2">
      <formula>$K$19&lt;=0</formula>
    </cfRule>
  </conditionalFormatting>
  <conditionalFormatting sqref="N19:N20">
    <cfRule type="expression" dxfId="1" priority="1">
      <formula>$N$19&lt;=0</formula>
    </cfRule>
  </conditionalFormatting>
  <dataValidations count="1">
    <dataValidation type="list" allowBlank="1" showInputMessage="1" showErrorMessage="1" sqref="K16" xr:uid="{00000000-0002-0000-0700-000001000000}">
      <formula1>"1/2 Hex, 1/2 Round, 3/8 Hex, 1/4 Round, Custom"</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732B-15D5-4411-87ED-83014EC989CF}">
  <sheetPr codeName="Sheet8">
    <tabColor theme="7"/>
  </sheetPr>
  <dimension ref="A2:P26"/>
  <sheetViews>
    <sheetView workbookViewId="0"/>
  </sheetViews>
  <sheetFormatPr defaultRowHeight="14.4" x14ac:dyDescent="0.55000000000000004"/>
  <cols>
    <col min="2" max="2" width="20.1015625" customWidth="1"/>
    <col min="3" max="10" width="7.41796875" customWidth="1"/>
    <col min="11" max="11" width="6.734375" customWidth="1"/>
    <col min="12" max="12" width="20.89453125" customWidth="1"/>
    <col min="13" max="16" width="6.734375" customWidth="1"/>
  </cols>
  <sheetData>
    <row r="2" spans="1:16" ht="30.6" x14ac:dyDescent="1.1000000000000001">
      <c r="B2" s="5" t="s">
        <v>330</v>
      </c>
    </row>
    <row r="4" spans="1:16" x14ac:dyDescent="0.55000000000000004">
      <c r="C4" s="1" t="s">
        <v>331</v>
      </c>
      <c r="D4" s="1" t="s">
        <v>332</v>
      </c>
      <c r="E4" s="1" t="s">
        <v>333</v>
      </c>
      <c r="F4" s="1" t="s">
        <v>334</v>
      </c>
      <c r="G4" s="1" t="s">
        <v>335</v>
      </c>
      <c r="H4" s="1" t="s">
        <v>336</v>
      </c>
      <c r="I4" s="1" t="s">
        <v>337</v>
      </c>
      <c r="J4" s="1" t="s">
        <v>338</v>
      </c>
      <c r="M4" s="1" t="s">
        <v>339</v>
      </c>
      <c r="N4" s="1" t="s">
        <v>340</v>
      </c>
      <c r="O4" s="1" t="s">
        <v>341</v>
      </c>
      <c r="P4" s="1" t="s">
        <v>342</v>
      </c>
    </row>
    <row r="5" spans="1:16" x14ac:dyDescent="0.55000000000000004">
      <c r="B5" s="1" t="s">
        <v>343</v>
      </c>
      <c r="C5" s="2">
        <v>1</v>
      </c>
      <c r="D5" s="2">
        <v>0.25</v>
      </c>
      <c r="E5" s="2"/>
      <c r="F5" s="2"/>
      <c r="G5" s="2"/>
      <c r="H5" s="2"/>
      <c r="I5" s="2"/>
      <c r="J5" s="2"/>
      <c r="L5" s="185" t="s">
        <v>344</v>
      </c>
      <c r="M5" s="3">
        <v>35</v>
      </c>
      <c r="N5" s="2"/>
      <c r="O5" s="2"/>
      <c r="P5" s="2"/>
    </row>
    <row r="6" spans="1:16" x14ac:dyDescent="0.55000000000000004">
      <c r="A6" s="183"/>
      <c r="B6" s="1" t="s">
        <v>345</v>
      </c>
      <c r="C6" s="2">
        <v>0.375</v>
      </c>
      <c r="D6" s="2">
        <v>0.125</v>
      </c>
      <c r="E6" s="2"/>
      <c r="F6" s="2"/>
      <c r="G6" s="2"/>
      <c r="H6" s="2"/>
      <c r="I6" s="2"/>
      <c r="J6" s="2"/>
      <c r="L6" s="185" t="s">
        <v>346</v>
      </c>
      <c r="M6" s="3">
        <v>5</v>
      </c>
      <c r="N6" s="2"/>
      <c r="O6" s="2"/>
      <c r="P6" s="2"/>
    </row>
    <row r="7" spans="1:16" x14ac:dyDescent="0.55000000000000004">
      <c r="B7" s="1" t="s">
        <v>347</v>
      </c>
      <c r="C7" s="2">
        <v>8</v>
      </c>
      <c r="D7" s="2">
        <v>2</v>
      </c>
      <c r="E7" s="2"/>
      <c r="F7" s="2"/>
      <c r="G7" s="2"/>
      <c r="H7" s="2"/>
      <c r="I7" s="2"/>
      <c r="J7" s="2"/>
      <c r="L7" s="185" t="s">
        <v>348</v>
      </c>
      <c r="M7" s="3">
        <v>120</v>
      </c>
      <c r="N7" s="2"/>
      <c r="O7" s="2"/>
      <c r="P7" s="2"/>
    </row>
    <row r="8" spans="1:16" x14ac:dyDescent="0.55000000000000004">
      <c r="B8" s="1" t="s">
        <v>350</v>
      </c>
      <c r="C8" s="2">
        <v>50</v>
      </c>
      <c r="D8" s="2">
        <v>30</v>
      </c>
      <c r="E8" s="2"/>
      <c r="F8" s="2"/>
      <c r="G8" s="2"/>
      <c r="H8" s="2"/>
      <c r="I8" s="2"/>
      <c r="J8" s="2"/>
      <c r="K8" s="184"/>
      <c r="L8" s="185" t="s">
        <v>344</v>
      </c>
      <c r="M8" s="4">
        <f>M5*M6*(M7+14.7)/14.7</f>
        <v>1603.5714285714284</v>
      </c>
      <c r="N8" s="112">
        <f>N5*N6*(N7+14.7)/14.7</f>
        <v>0</v>
      </c>
      <c r="O8" s="112">
        <f>O5*O6*(O7+14.7)/14.7</f>
        <v>0</v>
      </c>
      <c r="P8" s="112">
        <f>P5*P6*(P7+14.7)/14.7</f>
        <v>0</v>
      </c>
    </row>
    <row r="9" spans="1:16" x14ac:dyDescent="0.55000000000000004">
      <c r="A9" s="183"/>
      <c r="B9" s="211" t="s">
        <v>351</v>
      </c>
      <c r="C9" s="112">
        <f t="shared" ref="C9:J9" si="0">(C5/2)^2*PI()*C8</f>
        <v>39.269908169872416</v>
      </c>
      <c r="D9" s="112">
        <f t="shared" si="0"/>
        <v>1.4726215563702154</v>
      </c>
      <c r="E9" s="112">
        <f t="shared" si="0"/>
        <v>0</v>
      </c>
      <c r="F9" s="112">
        <f t="shared" si="0"/>
        <v>0</v>
      </c>
      <c r="G9" s="112">
        <f t="shared" si="0"/>
        <v>0</v>
      </c>
      <c r="H9" s="112">
        <f t="shared" si="0"/>
        <v>0</v>
      </c>
      <c r="I9" s="112">
        <f t="shared" si="0"/>
        <v>0</v>
      </c>
      <c r="J9" s="112">
        <f t="shared" si="0"/>
        <v>0</v>
      </c>
      <c r="K9" s="184"/>
      <c r="L9" s="185" t="s">
        <v>349</v>
      </c>
      <c r="M9" s="112">
        <f>SUM(M8:P8)</f>
        <v>1603.5714285714284</v>
      </c>
    </row>
    <row r="10" spans="1:16" x14ac:dyDescent="0.55000000000000004">
      <c r="A10" s="183"/>
      <c r="B10" s="1" t="s">
        <v>355</v>
      </c>
      <c r="C10" s="2">
        <v>15</v>
      </c>
      <c r="D10" s="2">
        <v>30</v>
      </c>
      <c r="E10" s="2"/>
      <c r="F10" s="2"/>
      <c r="G10" s="2"/>
      <c r="H10" s="2"/>
      <c r="I10" s="2"/>
      <c r="J10" s="2"/>
      <c r="K10" s="184"/>
    </row>
    <row r="11" spans="1:16" x14ac:dyDescent="0.55000000000000004">
      <c r="B11" s="211" t="s">
        <v>356</v>
      </c>
      <c r="C11" s="112">
        <f t="shared" ref="C11:J11" si="1">((C5/2)^2-(C6/2)^2)*PI()*C10</f>
        <v>10.124273200045232</v>
      </c>
      <c r="D11" s="112">
        <f t="shared" si="1"/>
        <v>1.1044661672776617</v>
      </c>
      <c r="E11" s="112">
        <f t="shared" si="1"/>
        <v>0</v>
      </c>
      <c r="F11" s="112">
        <f t="shared" si="1"/>
        <v>0</v>
      </c>
      <c r="G11" s="112">
        <f t="shared" si="1"/>
        <v>0</v>
      </c>
      <c r="H11" s="112">
        <f t="shared" si="1"/>
        <v>0</v>
      </c>
      <c r="I11" s="112">
        <f t="shared" si="1"/>
        <v>0</v>
      </c>
      <c r="J11" s="112">
        <f t="shared" si="1"/>
        <v>0</v>
      </c>
      <c r="K11" s="184"/>
      <c r="L11" s="185" t="s">
        <v>352</v>
      </c>
      <c r="M11" s="2">
        <v>0.3</v>
      </c>
      <c r="N11" t="s">
        <v>369</v>
      </c>
    </row>
    <row r="12" spans="1:16" x14ac:dyDescent="0.55000000000000004">
      <c r="A12" s="183"/>
      <c r="B12" s="1" t="s">
        <v>358</v>
      </c>
      <c r="C12" s="2">
        <v>1</v>
      </c>
      <c r="D12" s="2">
        <v>1</v>
      </c>
      <c r="E12" s="2"/>
      <c r="F12" s="2"/>
      <c r="G12" s="2"/>
      <c r="H12" s="2"/>
      <c r="I12" s="2"/>
      <c r="J12" s="2"/>
      <c r="L12" s="185" t="s">
        <v>353</v>
      </c>
      <c r="M12" s="2">
        <v>135</v>
      </c>
      <c r="N12" t="s">
        <v>371</v>
      </c>
    </row>
    <row r="13" spans="1:16" x14ac:dyDescent="0.55000000000000004">
      <c r="B13" s="1" t="s">
        <v>360</v>
      </c>
      <c r="C13" s="2">
        <v>1</v>
      </c>
      <c r="D13" s="2">
        <v>1</v>
      </c>
      <c r="E13" s="2"/>
      <c r="F13" s="2"/>
      <c r="G13" s="2"/>
      <c r="H13" s="2"/>
      <c r="I13" s="2"/>
      <c r="J13" s="2"/>
      <c r="L13" s="185" t="s">
        <v>354</v>
      </c>
      <c r="M13" s="112">
        <f>IF(C19&lt;0, M11*12^3/60*M12, MIN(M11*12^3/60*M12, C19))</f>
        <v>150.83651870717728</v>
      </c>
    </row>
    <row r="14" spans="1:16" x14ac:dyDescent="0.55000000000000004">
      <c r="A14" s="183"/>
      <c r="B14" s="1" t="s">
        <v>362</v>
      </c>
      <c r="C14" s="2">
        <v>35</v>
      </c>
      <c r="D14" s="2">
        <v>20</v>
      </c>
      <c r="E14" s="2"/>
      <c r="F14" s="2"/>
      <c r="G14" s="2"/>
      <c r="H14" s="2"/>
      <c r="I14" s="2"/>
      <c r="J14" s="2"/>
    </row>
    <row r="15" spans="1:16" x14ac:dyDescent="0.55000000000000004">
      <c r="B15" s="1" t="s">
        <v>363</v>
      </c>
      <c r="C15" s="2">
        <v>135</v>
      </c>
      <c r="D15" s="2">
        <v>80</v>
      </c>
      <c r="E15" s="2"/>
      <c r="F15" s="2"/>
      <c r="G15" s="2"/>
      <c r="H15" s="2"/>
      <c r="I15" s="2"/>
      <c r="J15" s="2"/>
      <c r="L15" s="185" t="s">
        <v>357</v>
      </c>
      <c r="M15" s="112">
        <f>M9+M13</f>
        <v>1754.4079472786057</v>
      </c>
    </row>
    <row r="16" spans="1:16" x14ac:dyDescent="0.55000000000000004">
      <c r="B16" s="211" t="s">
        <v>365</v>
      </c>
      <c r="C16" s="112">
        <f t="shared" ref="C16:J16" si="2">IFERROR(( (C5/2)^2*PI()*C7*(C8+14.7)/14.7*C12 + ((C5/2)^2-(C6/2)^2)*PI()*C7*(C10+14.7)/14.7*C13)/C14, 0)</f>
        <v>1.1018281377322365</v>
      </c>
      <c r="D16" s="112">
        <f t="shared" si="2"/>
        <v>2.6121501416566922E-2</v>
      </c>
      <c r="E16" s="112">
        <f t="shared" si="2"/>
        <v>0</v>
      </c>
      <c r="F16" s="112">
        <f t="shared" si="2"/>
        <v>0</v>
      </c>
      <c r="G16" s="112">
        <f t="shared" si="2"/>
        <v>0</v>
      </c>
      <c r="H16" s="112">
        <f t="shared" si="2"/>
        <v>0</v>
      </c>
      <c r="I16" s="112">
        <f t="shared" si="2"/>
        <v>0</v>
      </c>
      <c r="J16" s="112">
        <f t="shared" si="2"/>
        <v>0</v>
      </c>
    </row>
    <row r="17" spans="2:14" x14ac:dyDescent="0.55000000000000004">
      <c r="B17" s="211" t="s">
        <v>367</v>
      </c>
      <c r="C17" s="112">
        <f>C16*C15</f>
        <v>148.74679859385193</v>
      </c>
      <c r="D17" s="112">
        <f t="shared" ref="D17:J17" si="3">D16*D15</f>
        <v>2.0897201133253538</v>
      </c>
      <c r="E17" s="112">
        <f t="shared" si="3"/>
        <v>0</v>
      </c>
      <c r="F17" s="112">
        <f t="shared" si="3"/>
        <v>0</v>
      </c>
      <c r="G17" s="112">
        <f t="shared" si="3"/>
        <v>0</v>
      </c>
      <c r="H17" s="112">
        <f t="shared" si="3"/>
        <v>0</v>
      </c>
      <c r="I17" s="112">
        <f t="shared" si="3"/>
        <v>0</v>
      </c>
      <c r="J17" s="112">
        <f t="shared" si="3"/>
        <v>0</v>
      </c>
    </row>
    <row r="18" spans="2:14" x14ac:dyDescent="0.55000000000000004">
      <c r="L18" s="1" t="s">
        <v>359</v>
      </c>
      <c r="M18" s="112">
        <f>M15-C19</f>
        <v>1603.5714285714284</v>
      </c>
    </row>
    <row r="19" spans="2:14" x14ac:dyDescent="0.55000000000000004">
      <c r="B19" s="211" t="s">
        <v>368</v>
      </c>
      <c r="C19" s="112">
        <f>SUM(C17:J17)</f>
        <v>150.83651870717728</v>
      </c>
      <c r="L19" s="1" t="s">
        <v>361</v>
      </c>
      <c r="M19" s="112">
        <f>M18/M9*120</f>
        <v>120</v>
      </c>
      <c r="N19" t="s">
        <v>372</v>
      </c>
    </row>
    <row r="21" spans="2:14" x14ac:dyDescent="0.55000000000000004">
      <c r="L21" s="1" t="s">
        <v>364</v>
      </c>
      <c r="M21" s="112">
        <f>(M9-M18)/(M11*12^3/60)</f>
        <v>0</v>
      </c>
      <c r="N21" t="s">
        <v>373</v>
      </c>
    </row>
    <row r="22" spans="2:14" x14ac:dyDescent="0.55000000000000004">
      <c r="L22" s="1" t="s">
        <v>366</v>
      </c>
      <c r="M22" s="112">
        <f>M9/(M11*12^3/60)</f>
        <v>185.59854497354499</v>
      </c>
      <c r="N22" t="s">
        <v>374</v>
      </c>
    </row>
    <row r="26" spans="2:14" x14ac:dyDescent="0.55000000000000004">
      <c r="L26" t="s">
        <v>370</v>
      </c>
    </row>
  </sheetData>
  <conditionalFormatting sqref="M18:M19">
    <cfRule type="expression" dxfId="0" priority="1">
      <formula>$M$18&lt;=0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AR32"/>
  <sheetViews>
    <sheetView zoomScaleNormal="100" workbookViewId="0"/>
  </sheetViews>
  <sheetFormatPr defaultRowHeight="14.4" x14ac:dyDescent="0.55000000000000004"/>
  <cols>
    <col min="2" max="2" width="8.15625" customWidth="1"/>
    <col min="3" max="9" width="11.26171875" customWidth="1"/>
    <col min="10" max="10" width="12.68359375" customWidth="1"/>
    <col min="11" max="23" width="11.26171875" customWidth="1"/>
    <col min="24" max="24" width="14.68359375" customWidth="1"/>
    <col min="25" max="25" width="15.578125" customWidth="1"/>
    <col min="26" max="26" width="16" customWidth="1"/>
    <col min="27" max="28" width="14.41796875" customWidth="1"/>
    <col min="29" max="29" width="9.83984375" customWidth="1"/>
    <col min="30" max="35" width="11.26171875" customWidth="1"/>
    <col min="36" max="36" width="12.15625" customWidth="1"/>
    <col min="37" max="41" width="11.26171875" customWidth="1"/>
    <col min="42" max="42" width="13.26171875" customWidth="1"/>
    <col min="43" max="43" width="15.15625" customWidth="1"/>
    <col min="44" max="46" width="11.26171875" customWidth="1"/>
  </cols>
  <sheetData>
    <row r="2" spans="2:44" ht="30.6" x14ac:dyDescent="1.1000000000000001">
      <c r="B2" s="5" t="s">
        <v>50</v>
      </c>
      <c r="H2" s="5" t="s">
        <v>149</v>
      </c>
      <c r="P2" s="5" t="s">
        <v>67</v>
      </c>
      <c r="X2" s="5" t="s">
        <v>168</v>
      </c>
      <c r="AE2" s="5" t="s">
        <v>171</v>
      </c>
      <c r="AF2" s="5"/>
    </row>
    <row r="4" spans="2:44" ht="14.5" customHeight="1" x14ac:dyDescent="0.55000000000000004">
      <c r="C4" s="13" t="s">
        <v>51</v>
      </c>
      <c r="D4" s="13" t="s">
        <v>54</v>
      </c>
      <c r="E4" s="13" t="s">
        <v>55</v>
      </c>
      <c r="F4" s="13" t="s">
        <v>61</v>
      </c>
      <c r="H4" s="44" t="s">
        <v>132</v>
      </c>
      <c r="I4" s="44" t="s">
        <v>133</v>
      </c>
      <c r="J4" s="44" t="s">
        <v>134</v>
      </c>
      <c r="K4" s="49" t="s">
        <v>135</v>
      </c>
      <c r="L4" s="44" t="s">
        <v>140</v>
      </c>
      <c r="M4" s="44" t="s">
        <v>141</v>
      </c>
      <c r="N4" s="44" t="s">
        <v>148</v>
      </c>
      <c r="P4" s="44" t="s">
        <v>68</v>
      </c>
      <c r="Q4" s="44" t="s">
        <v>69</v>
      </c>
      <c r="R4" s="44" t="s">
        <v>85</v>
      </c>
      <c r="S4" s="44" t="s">
        <v>86</v>
      </c>
      <c r="T4" s="44" t="s">
        <v>89</v>
      </c>
      <c r="U4" s="44" t="s">
        <v>90</v>
      </c>
      <c r="V4" s="44" t="s">
        <v>91</v>
      </c>
      <c r="X4" s="12"/>
      <c r="Y4" s="122" t="s">
        <v>286</v>
      </c>
      <c r="Z4" s="123" t="s">
        <v>287</v>
      </c>
      <c r="AA4" s="123" t="s">
        <v>28</v>
      </c>
      <c r="AB4" s="123" t="s">
        <v>30</v>
      </c>
      <c r="AC4" s="124" t="s">
        <v>31</v>
      </c>
      <c r="AE4" s="89" t="s">
        <v>172</v>
      </c>
      <c r="AF4" s="89" t="s">
        <v>214</v>
      </c>
      <c r="AG4" s="100" t="s">
        <v>229</v>
      </c>
      <c r="AH4" s="89" t="s">
        <v>226</v>
      </c>
      <c r="AI4" s="102" t="s">
        <v>218</v>
      </c>
      <c r="AJ4" s="94" t="s">
        <v>220</v>
      </c>
      <c r="AK4" s="104" t="s">
        <v>215</v>
      </c>
    </row>
    <row r="5" spans="2:44" x14ac:dyDescent="0.55000000000000004">
      <c r="B5" s="1" t="s">
        <v>0</v>
      </c>
      <c r="C5" s="16" t="s">
        <v>57</v>
      </c>
      <c r="D5" s="20" t="s">
        <v>58</v>
      </c>
      <c r="E5" s="20" t="s">
        <v>59</v>
      </c>
      <c r="F5" s="17" t="s">
        <v>60</v>
      </c>
      <c r="H5" s="63" t="s">
        <v>162</v>
      </c>
      <c r="I5" s="40">
        <v>32</v>
      </c>
      <c r="J5" s="31" t="s">
        <v>165</v>
      </c>
      <c r="K5" s="57">
        <v>22</v>
      </c>
      <c r="L5" s="52" t="s">
        <v>142</v>
      </c>
      <c r="M5" s="50" t="s">
        <v>142</v>
      </c>
      <c r="N5" s="51" t="s">
        <v>99</v>
      </c>
      <c r="P5" s="31" t="s">
        <v>153</v>
      </c>
      <c r="Q5" s="31" t="s">
        <v>156</v>
      </c>
      <c r="R5" s="36">
        <v>48</v>
      </c>
      <c r="S5" s="31" t="s">
        <v>109</v>
      </c>
      <c r="T5" s="42">
        <v>34</v>
      </c>
      <c r="U5" s="36" t="s">
        <v>110</v>
      </c>
      <c r="V5" s="43" t="s">
        <v>99</v>
      </c>
      <c r="X5" s="74" t="s">
        <v>17</v>
      </c>
      <c r="Y5" s="84">
        <v>5330</v>
      </c>
      <c r="Z5" s="77">
        <v>2.41</v>
      </c>
      <c r="AA5" s="77">
        <v>131</v>
      </c>
      <c r="AB5" s="77">
        <v>2.7</v>
      </c>
      <c r="AC5" s="78">
        <f>Y5/2*(1/60*2*PI())*Z5/2</f>
        <v>336.28916760964142</v>
      </c>
      <c r="AE5" s="101">
        <v>15.306122448979592</v>
      </c>
      <c r="AF5" s="101" t="s">
        <v>196</v>
      </c>
      <c r="AG5" s="107" t="s">
        <v>234</v>
      </c>
      <c r="AH5" s="62" t="s">
        <v>180</v>
      </c>
      <c r="AI5" s="29">
        <v>5.95</v>
      </c>
      <c r="AJ5" s="62" t="s">
        <v>224</v>
      </c>
      <c r="AK5" s="90">
        <v>4.7699999999999996</v>
      </c>
    </row>
    <row r="6" spans="2:44" x14ac:dyDescent="0.55000000000000004">
      <c r="B6" s="1" t="s">
        <v>52</v>
      </c>
      <c r="C6" s="24" t="s">
        <v>62</v>
      </c>
      <c r="D6" s="11" t="s">
        <v>65</v>
      </c>
      <c r="E6" s="22" t="s">
        <v>66</v>
      </c>
      <c r="F6" s="23" t="s">
        <v>62</v>
      </c>
      <c r="H6" s="31" t="s">
        <v>136</v>
      </c>
      <c r="I6" s="38">
        <v>34</v>
      </c>
      <c r="J6" s="31" t="s">
        <v>139</v>
      </c>
      <c r="K6" s="58">
        <v>24</v>
      </c>
      <c r="L6" s="30" t="s">
        <v>144</v>
      </c>
      <c r="M6" s="50" t="s">
        <v>144</v>
      </c>
      <c r="N6" s="30" t="s">
        <v>144</v>
      </c>
      <c r="P6" s="32" t="s">
        <v>70</v>
      </c>
      <c r="Q6" s="32" t="s">
        <v>83</v>
      </c>
      <c r="R6" s="32" t="s">
        <v>111</v>
      </c>
      <c r="S6" s="32" t="s">
        <v>87</v>
      </c>
      <c r="T6" s="38">
        <v>44</v>
      </c>
      <c r="U6" s="32" t="s">
        <v>112</v>
      </c>
      <c r="V6" s="40">
        <v>19</v>
      </c>
      <c r="X6" s="75" t="s">
        <v>42</v>
      </c>
      <c r="Y6" s="71">
        <v>5840</v>
      </c>
      <c r="Z6" s="65">
        <v>1.41</v>
      </c>
      <c r="AA6" s="65">
        <v>89</v>
      </c>
      <c r="AB6" s="65">
        <v>3</v>
      </c>
      <c r="AC6" s="79">
        <f>Y6/2*(1/60*2*PI())*Z6/2</f>
        <v>215.57608788933157</v>
      </c>
      <c r="AE6" s="90">
        <v>16.483516483516482</v>
      </c>
      <c r="AF6" s="90" t="s">
        <v>195</v>
      </c>
      <c r="AH6" s="27" t="s">
        <v>181</v>
      </c>
      <c r="AI6" s="29">
        <v>6.94</v>
      </c>
      <c r="AJ6" s="27" t="s">
        <v>223</v>
      </c>
      <c r="AK6" s="90">
        <v>6</v>
      </c>
    </row>
    <row r="7" spans="2:44" x14ac:dyDescent="0.55000000000000004">
      <c r="B7" s="1" t="s">
        <v>53</v>
      </c>
      <c r="C7" s="19" t="s">
        <v>63</v>
      </c>
      <c r="D7" s="21" t="s">
        <v>64</v>
      </c>
      <c r="E7" s="21" t="s">
        <v>60</v>
      </c>
      <c r="F7" s="18" t="s">
        <v>60</v>
      </c>
      <c r="H7" s="30" t="s">
        <v>161</v>
      </c>
      <c r="I7" s="58">
        <v>36</v>
      </c>
      <c r="J7" s="32" t="s">
        <v>167</v>
      </c>
      <c r="K7" s="58">
        <v>26</v>
      </c>
      <c r="L7" s="30" t="s">
        <v>145</v>
      </c>
      <c r="M7" s="50" t="s">
        <v>145</v>
      </c>
      <c r="N7" s="30" t="s">
        <v>143</v>
      </c>
      <c r="P7" s="33" t="s">
        <v>71</v>
      </c>
      <c r="Q7" s="32" t="s">
        <v>113</v>
      </c>
      <c r="R7" s="32">
        <v>54</v>
      </c>
      <c r="S7" s="32" t="s">
        <v>114</v>
      </c>
      <c r="T7" s="38">
        <v>50</v>
      </c>
      <c r="U7" s="32" t="s">
        <v>115</v>
      </c>
      <c r="V7" s="35">
        <v>20</v>
      </c>
      <c r="X7" s="75" t="s">
        <v>43</v>
      </c>
      <c r="Y7" s="71">
        <v>13180</v>
      </c>
      <c r="Z7" s="65">
        <v>0.43</v>
      </c>
      <c r="AA7" s="65">
        <v>53</v>
      </c>
      <c r="AB7" s="65">
        <v>1.8</v>
      </c>
      <c r="AC7" s="79">
        <f>Y7/2*(1/60*2*PI())*Z7/2</f>
        <v>148.37218504128995</v>
      </c>
      <c r="AE7" s="90">
        <v>17.857142857142858</v>
      </c>
      <c r="AF7" s="90" t="s">
        <v>198</v>
      </c>
      <c r="AG7" s="89" t="s">
        <v>173</v>
      </c>
      <c r="AH7" s="27" t="s">
        <v>182</v>
      </c>
      <c r="AI7" s="29">
        <v>8.4499999999999993</v>
      </c>
      <c r="AJ7" s="27" t="s">
        <v>222</v>
      </c>
      <c r="AK7" s="90">
        <v>7.56</v>
      </c>
    </row>
    <row r="8" spans="2:44" x14ac:dyDescent="0.55000000000000004">
      <c r="H8" s="51" t="s">
        <v>163</v>
      </c>
      <c r="I8" s="38">
        <v>38</v>
      </c>
      <c r="J8" s="45" t="s">
        <v>166</v>
      </c>
      <c r="K8" s="58">
        <v>28</v>
      </c>
      <c r="L8" s="52" t="s">
        <v>143</v>
      </c>
      <c r="M8" s="50" t="s">
        <v>143</v>
      </c>
      <c r="N8" s="30" t="s">
        <v>147</v>
      </c>
      <c r="P8" s="32" t="s">
        <v>72</v>
      </c>
      <c r="Q8" s="32" t="s">
        <v>84</v>
      </c>
      <c r="R8" s="32">
        <v>60</v>
      </c>
      <c r="S8" s="32" t="s">
        <v>116</v>
      </c>
      <c r="T8" s="38">
        <v>54</v>
      </c>
      <c r="U8" s="32" t="s">
        <v>117</v>
      </c>
      <c r="V8" s="32" t="s">
        <v>118</v>
      </c>
      <c r="X8" s="75" t="s">
        <v>284</v>
      </c>
      <c r="Y8" s="70">
        <v>18730</v>
      </c>
      <c r="Z8" s="64">
        <v>0.71</v>
      </c>
      <c r="AA8" s="64">
        <v>134</v>
      </c>
      <c r="AB8" s="64">
        <v>0.7</v>
      </c>
      <c r="AC8" s="79">
        <f>Y8/2*(1/60*2*PI())*Z8/2</f>
        <v>348.14867987694288</v>
      </c>
      <c r="AE8" s="90">
        <v>19.480519480519483</v>
      </c>
      <c r="AF8" s="90" t="s">
        <v>197</v>
      </c>
      <c r="AG8" s="103">
        <v>5.33</v>
      </c>
      <c r="AH8" s="27" t="s">
        <v>183</v>
      </c>
      <c r="AI8" s="29">
        <v>9.8699999999999992</v>
      </c>
      <c r="AJ8" s="28" t="s">
        <v>221</v>
      </c>
      <c r="AK8" s="90">
        <v>10.86</v>
      </c>
      <c r="AR8" s="8"/>
    </row>
    <row r="9" spans="2:44" x14ac:dyDescent="0.55000000000000004">
      <c r="H9" s="32" t="s">
        <v>137</v>
      </c>
      <c r="I9" s="38">
        <v>40</v>
      </c>
      <c r="J9" s="59"/>
      <c r="K9" s="58">
        <v>30</v>
      </c>
      <c r="L9" s="32" t="s">
        <v>158</v>
      </c>
      <c r="M9" s="47">
        <v>39</v>
      </c>
      <c r="N9" s="28" t="s">
        <v>146</v>
      </c>
      <c r="P9" s="32" t="s">
        <v>73</v>
      </c>
      <c r="Q9" s="32" t="s">
        <v>70</v>
      </c>
      <c r="R9" s="32">
        <v>64</v>
      </c>
      <c r="S9" s="32" t="s">
        <v>113</v>
      </c>
      <c r="T9" s="39">
        <v>60</v>
      </c>
      <c r="U9" s="35" t="s">
        <v>100</v>
      </c>
      <c r="V9" s="32">
        <v>40</v>
      </c>
      <c r="X9" s="75" t="s">
        <v>44</v>
      </c>
      <c r="Y9" s="70">
        <v>5800</v>
      </c>
      <c r="Z9" s="68">
        <v>0.28000000000000003</v>
      </c>
      <c r="AA9" s="64">
        <v>18</v>
      </c>
      <c r="AB9" s="64">
        <v>1.6</v>
      </c>
      <c r="AC9" s="79">
        <f>Y9/2*(1/60*2*PI())*Z9/2</f>
        <v>42.516220578581873</v>
      </c>
      <c r="AE9" s="90">
        <v>9.6428571428571441</v>
      </c>
      <c r="AF9" s="90" t="s">
        <v>199</v>
      </c>
      <c r="AG9" s="29">
        <v>6</v>
      </c>
      <c r="AH9" s="27" t="s">
        <v>184</v>
      </c>
      <c r="AI9" s="99">
        <v>10.71</v>
      </c>
      <c r="AK9" s="95">
        <v>16.37</v>
      </c>
      <c r="AR9" s="8"/>
    </row>
    <row r="10" spans="2:44" ht="14.5" customHeight="1" x14ac:dyDescent="0.55000000000000004">
      <c r="C10" s="13" t="s">
        <v>140</v>
      </c>
      <c r="D10" s="13" t="s">
        <v>150</v>
      </c>
      <c r="E10" s="13" t="s">
        <v>148</v>
      </c>
      <c r="H10" s="34" t="s">
        <v>138</v>
      </c>
      <c r="I10" s="38">
        <v>42</v>
      </c>
      <c r="J10" s="59"/>
      <c r="K10" s="58">
        <v>32</v>
      </c>
      <c r="L10" s="45" t="s">
        <v>80</v>
      </c>
      <c r="M10" s="32" t="s">
        <v>158</v>
      </c>
      <c r="P10" s="32" t="s">
        <v>119</v>
      </c>
      <c r="Q10" s="32" t="s">
        <v>120</v>
      </c>
      <c r="R10" s="32">
        <v>66</v>
      </c>
      <c r="S10" s="32" t="s">
        <v>88</v>
      </c>
      <c r="U10" s="32">
        <v>44</v>
      </c>
      <c r="V10" s="32">
        <v>60</v>
      </c>
      <c r="X10" s="75" t="s">
        <v>45</v>
      </c>
      <c r="Y10" s="72">
        <v>14270</v>
      </c>
      <c r="Z10" s="66">
        <v>0.36</v>
      </c>
      <c r="AA10" s="67">
        <v>71</v>
      </c>
      <c r="AB10" s="66">
        <v>3.7</v>
      </c>
      <c r="AC10" s="79">
        <f t="shared" ref="AC10:AC22" si="0">Y10/2*(1/60*2*PI())*Z10/2</f>
        <v>134.49158150017902</v>
      </c>
      <c r="AE10" s="90">
        <v>10.384615384615385</v>
      </c>
      <c r="AF10" s="90" t="s">
        <v>200</v>
      </c>
      <c r="AG10" s="54">
        <v>7</v>
      </c>
      <c r="AH10" s="27" t="s">
        <v>185</v>
      </c>
      <c r="AI10" s="99">
        <v>12.5</v>
      </c>
      <c r="AJ10" s="89" t="s">
        <v>219</v>
      </c>
      <c r="AK10" s="95">
        <v>22.67</v>
      </c>
      <c r="AO10" s="8"/>
      <c r="AQ10" s="8"/>
      <c r="AR10" s="8"/>
    </row>
    <row r="11" spans="2:44" ht="14.5" customHeight="1" x14ac:dyDescent="0.55000000000000004">
      <c r="C11" s="15">
        <v>40</v>
      </c>
      <c r="D11" s="15">
        <v>60</v>
      </c>
      <c r="E11" s="15">
        <v>45</v>
      </c>
      <c r="H11" s="59"/>
      <c r="I11" s="38">
        <v>44</v>
      </c>
      <c r="J11" s="59"/>
      <c r="K11" s="38">
        <v>33</v>
      </c>
      <c r="L11" s="53"/>
      <c r="M11" s="41" t="s">
        <v>80</v>
      </c>
      <c r="P11" s="32" t="s">
        <v>74</v>
      </c>
      <c r="Q11" s="32" t="s">
        <v>121</v>
      </c>
      <c r="R11" s="32">
        <v>70</v>
      </c>
      <c r="S11" s="32" t="s">
        <v>122</v>
      </c>
      <c r="U11" s="32" t="s">
        <v>123</v>
      </c>
      <c r="V11" s="32">
        <v>80</v>
      </c>
      <c r="X11" s="75" t="s">
        <v>231</v>
      </c>
      <c r="Y11" s="73">
        <v>5508</v>
      </c>
      <c r="Z11" s="69">
        <v>3.82</v>
      </c>
      <c r="AA11" s="66">
        <v>220</v>
      </c>
      <c r="AB11" s="66">
        <v>8.16</v>
      </c>
      <c r="AC11" s="79">
        <f t="shared" si="0"/>
        <v>550.84057269512709</v>
      </c>
      <c r="AE11" s="90">
        <v>11.250000000000002</v>
      </c>
      <c r="AF11" s="90" t="s">
        <v>201</v>
      </c>
      <c r="AH11" s="27" t="s">
        <v>186</v>
      </c>
      <c r="AI11" s="90">
        <v>12.75</v>
      </c>
      <c r="AJ11" s="103">
        <v>5.95</v>
      </c>
      <c r="AK11" s="105">
        <v>5.45</v>
      </c>
      <c r="AO11" s="87"/>
      <c r="AQ11" s="87"/>
      <c r="AR11" s="87"/>
    </row>
    <row r="12" spans="2:44" ht="14.5" customHeight="1" x14ac:dyDescent="0.55000000000000004">
      <c r="C12" s="47">
        <v>45</v>
      </c>
      <c r="D12" s="47">
        <v>70</v>
      </c>
      <c r="E12" s="47">
        <v>50</v>
      </c>
      <c r="H12" s="59"/>
      <c r="I12" s="38">
        <v>48</v>
      </c>
      <c r="J12" s="59"/>
      <c r="K12" s="38">
        <v>36</v>
      </c>
      <c r="P12" s="32" t="s">
        <v>75</v>
      </c>
      <c r="Q12" s="32" t="s">
        <v>73</v>
      </c>
      <c r="R12" s="45">
        <v>72</v>
      </c>
      <c r="S12" s="32" t="s">
        <v>108</v>
      </c>
      <c r="U12" s="32" t="s">
        <v>106</v>
      </c>
      <c r="V12" s="32" t="s">
        <v>124</v>
      </c>
      <c r="X12" s="75" t="s">
        <v>232</v>
      </c>
      <c r="Y12" s="73">
        <v>5593</v>
      </c>
      <c r="Z12" s="66">
        <v>5.23</v>
      </c>
      <c r="AA12" s="66">
        <v>309</v>
      </c>
      <c r="AB12" s="66">
        <v>9.6199999999999992</v>
      </c>
      <c r="AC12" s="79">
        <f t="shared" si="0"/>
        <v>765.79959942741618</v>
      </c>
      <c r="AE12" s="90">
        <v>12.272727272727275</v>
      </c>
      <c r="AF12" s="90" t="s">
        <v>202</v>
      </c>
      <c r="AG12" s="102" t="s">
        <v>174</v>
      </c>
      <c r="AH12" s="27" t="s">
        <v>187</v>
      </c>
      <c r="AI12" s="92">
        <v>14.88</v>
      </c>
      <c r="AJ12" s="29">
        <v>7.31</v>
      </c>
      <c r="AK12" s="95">
        <v>6.86</v>
      </c>
      <c r="AQ12" s="87"/>
      <c r="AR12" s="87"/>
    </row>
    <row r="13" spans="2:44" ht="14.5" customHeight="1" x14ac:dyDescent="0.55000000000000004">
      <c r="C13" s="47">
        <v>48</v>
      </c>
      <c r="D13" s="47">
        <v>80</v>
      </c>
      <c r="E13" s="47">
        <v>55</v>
      </c>
      <c r="H13" s="59"/>
      <c r="I13" s="38">
        <v>54</v>
      </c>
      <c r="J13" s="59"/>
      <c r="K13" s="38">
        <v>42</v>
      </c>
      <c r="P13" s="32" t="s">
        <v>125</v>
      </c>
      <c r="Q13" s="32" t="s">
        <v>75</v>
      </c>
      <c r="S13" s="34" t="s">
        <v>115</v>
      </c>
      <c r="U13" s="32">
        <v>50</v>
      </c>
      <c r="V13" s="34">
        <v>100</v>
      </c>
      <c r="X13" s="75" t="s">
        <v>233</v>
      </c>
      <c r="Y13" s="73">
        <v>5437</v>
      </c>
      <c r="Z13" s="66">
        <v>6.23</v>
      </c>
      <c r="AA13" s="66">
        <v>351</v>
      </c>
      <c r="AB13" s="66">
        <v>9.15</v>
      </c>
      <c r="AC13" s="79">
        <f t="shared" si="0"/>
        <v>886.78023812205663</v>
      </c>
      <c r="AE13" s="90">
        <v>7.4404761904761916</v>
      </c>
      <c r="AF13" s="90" t="s">
        <v>203</v>
      </c>
      <c r="AG13" s="29">
        <v>4.17</v>
      </c>
      <c r="AH13" s="27" t="s">
        <v>188</v>
      </c>
      <c r="AJ13" s="29">
        <v>8.4499999999999993</v>
      </c>
      <c r="AK13" s="95">
        <v>8.6300000000000008</v>
      </c>
      <c r="AQ13" s="87"/>
      <c r="AR13" s="87"/>
    </row>
    <row r="14" spans="2:44" s="25" customFormat="1" ht="14.5" customHeight="1" x14ac:dyDescent="0.55000000000000004">
      <c r="C14" s="47">
        <v>60</v>
      </c>
      <c r="D14" s="48">
        <v>85</v>
      </c>
      <c r="E14" s="48">
        <v>60</v>
      </c>
      <c r="H14" s="60"/>
      <c r="I14" s="38">
        <v>58</v>
      </c>
      <c r="J14" s="60"/>
      <c r="K14" s="37">
        <v>44</v>
      </c>
      <c r="P14" s="32" t="s">
        <v>76</v>
      </c>
      <c r="Q14" s="32" t="s">
        <v>76</v>
      </c>
      <c r="R14"/>
      <c r="S14"/>
      <c r="T14"/>
      <c r="U14" s="32" t="s">
        <v>126</v>
      </c>
      <c r="V14"/>
      <c r="X14" s="75" t="s">
        <v>46</v>
      </c>
      <c r="Y14" s="70">
        <v>13050</v>
      </c>
      <c r="Z14" s="64">
        <v>0.72</v>
      </c>
      <c r="AA14" s="64">
        <v>97</v>
      </c>
      <c r="AB14" s="64">
        <v>2.7</v>
      </c>
      <c r="AC14" s="79">
        <f t="shared" si="0"/>
        <v>245.98670477608078</v>
      </c>
      <c r="AE14" s="91">
        <v>8.0128205128205128</v>
      </c>
      <c r="AF14" s="91" t="s">
        <v>204</v>
      </c>
      <c r="AG14" s="29">
        <v>5.67</v>
      </c>
      <c r="AH14" s="26" t="s">
        <v>189</v>
      </c>
      <c r="AI14" s="89" t="s">
        <v>217</v>
      </c>
      <c r="AJ14" s="99">
        <v>10.71</v>
      </c>
      <c r="AK14" s="96">
        <v>12.41</v>
      </c>
      <c r="AQ14" s="87"/>
      <c r="AR14" s="87"/>
    </row>
    <row r="15" spans="2:44" ht="14.5" customHeight="1" x14ac:dyDescent="0.55000000000000004">
      <c r="C15" s="47">
        <v>70</v>
      </c>
      <c r="D15" s="48">
        <v>90</v>
      </c>
      <c r="E15" s="48">
        <v>70</v>
      </c>
      <c r="H15" s="59"/>
      <c r="I15" s="37">
        <v>60</v>
      </c>
      <c r="J15" s="59"/>
      <c r="K15" s="37">
        <v>48</v>
      </c>
      <c r="M15" s="55" t="s">
        <v>160</v>
      </c>
      <c r="N15" s="56"/>
      <c r="P15" s="32" t="s">
        <v>77</v>
      </c>
      <c r="Q15" s="32" t="s">
        <v>115</v>
      </c>
      <c r="U15" s="32" t="s">
        <v>127</v>
      </c>
      <c r="X15" s="75" t="s">
        <v>169</v>
      </c>
      <c r="Y15" s="70">
        <v>100</v>
      </c>
      <c r="Z15" s="64">
        <v>7.91</v>
      </c>
      <c r="AA15" s="64">
        <v>24</v>
      </c>
      <c r="AB15" s="64">
        <v>5</v>
      </c>
      <c r="AC15" s="79">
        <f t="shared" si="0"/>
        <v>20.708331574912716</v>
      </c>
      <c r="AE15" s="90">
        <v>8.6805555555555571</v>
      </c>
      <c r="AF15" s="90" t="s">
        <v>205</v>
      </c>
      <c r="AG15" s="14">
        <v>9.52</v>
      </c>
      <c r="AH15" s="26" t="s">
        <v>190</v>
      </c>
      <c r="AI15" s="103">
        <v>5.95</v>
      </c>
      <c r="AJ15" s="98">
        <v>12.75</v>
      </c>
      <c r="AK15" s="96">
        <v>18.71</v>
      </c>
    </row>
    <row r="16" spans="2:44" ht="14.5" customHeight="1" x14ac:dyDescent="0.55000000000000004">
      <c r="C16" s="47">
        <v>80</v>
      </c>
      <c r="D16" s="48">
        <v>100</v>
      </c>
      <c r="E16" s="48">
        <v>85</v>
      </c>
      <c r="H16" s="59"/>
      <c r="I16" s="37">
        <v>64</v>
      </c>
      <c r="J16" s="59"/>
      <c r="K16" s="37">
        <v>54</v>
      </c>
      <c r="M16" s="108" t="s">
        <v>157</v>
      </c>
      <c r="N16" s="108"/>
      <c r="P16" s="32" t="s">
        <v>115</v>
      </c>
      <c r="Q16" s="32" t="s">
        <v>102</v>
      </c>
      <c r="U16" s="34">
        <v>60</v>
      </c>
      <c r="X16" s="75" t="s">
        <v>47</v>
      </c>
      <c r="Y16" s="73">
        <v>6600</v>
      </c>
      <c r="Z16" s="66">
        <v>6.1800000000000001E-2</v>
      </c>
      <c r="AA16" s="66">
        <v>11.5</v>
      </c>
      <c r="AB16" s="66">
        <v>2</v>
      </c>
      <c r="AC16" s="79">
        <f t="shared" si="0"/>
        <v>10.678273429551705</v>
      </c>
      <c r="AE16" s="90">
        <v>9.4696969696969706</v>
      </c>
      <c r="AF16" s="90" t="s">
        <v>206</v>
      </c>
      <c r="AH16" s="26" t="s">
        <v>191</v>
      </c>
      <c r="AI16" s="29">
        <v>8.4499999999999993</v>
      </c>
      <c r="AK16" s="106">
        <v>25.9</v>
      </c>
    </row>
    <row r="17" spans="3:38" x14ac:dyDescent="0.55000000000000004">
      <c r="C17" s="48">
        <v>90</v>
      </c>
      <c r="D17" s="48">
        <v>104</v>
      </c>
      <c r="E17" s="48">
        <v>90</v>
      </c>
      <c r="H17" s="59"/>
      <c r="I17" s="37">
        <v>66</v>
      </c>
      <c r="J17" s="59"/>
      <c r="K17" s="61">
        <v>60</v>
      </c>
      <c r="M17" s="109" t="s">
        <v>164</v>
      </c>
      <c r="N17" s="110"/>
      <c r="P17" s="32" t="s">
        <v>103</v>
      </c>
      <c r="Q17" s="32" t="s">
        <v>100</v>
      </c>
      <c r="X17" s="76" t="s">
        <v>48</v>
      </c>
      <c r="Y17" s="73">
        <v>5300</v>
      </c>
      <c r="Z17" s="66">
        <v>0.13</v>
      </c>
      <c r="AA17" s="66">
        <v>7</v>
      </c>
      <c r="AB17" s="66">
        <v>1</v>
      </c>
      <c r="AC17" s="79">
        <f t="shared" si="0"/>
        <v>18.037977819361398</v>
      </c>
      <c r="AE17" s="90">
        <v>5.2380952380952381</v>
      </c>
      <c r="AF17" s="90" t="s">
        <v>207</v>
      </c>
      <c r="AG17" s="102" t="s">
        <v>225</v>
      </c>
      <c r="AH17" s="26" t="s">
        <v>192</v>
      </c>
      <c r="AI17" s="29">
        <v>10.71</v>
      </c>
      <c r="AJ17" s="102" t="s">
        <v>227</v>
      </c>
      <c r="AK17" s="96">
        <v>9.5399999999999991</v>
      </c>
    </row>
    <row r="18" spans="3:38" x14ac:dyDescent="0.55000000000000004">
      <c r="C18" s="48">
        <v>93</v>
      </c>
      <c r="D18" s="48">
        <v>107</v>
      </c>
      <c r="E18" s="48">
        <v>100</v>
      </c>
      <c r="I18" s="61">
        <v>72</v>
      </c>
      <c r="M18" s="232" t="s">
        <v>159</v>
      </c>
      <c r="N18" s="233"/>
      <c r="P18" s="32" t="s">
        <v>92</v>
      </c>
      <c r="Q18" s="32" t="s">
        <v>78</v>
      </c>
      <c r="S18" s="55" t="s">
        <v>160</v>
      </c>
      <c r="T18" s="8"/>
      <c r="X18" s="76" t="s">
        <v>49</v>
      </c>
      <c r="Y18" s="73">
        <v>24</v>
      </c>
      <c r="Z18" s="66">
        <v>22</v>
      </c>
      <c r="AA18" s="66">
        <v>12</v>
      </c>
      <c r="AB18" s="66">
        <v>3</v>
      </c>
      <c r="AC18" s="79">
        <f t="shared" si="0"/>
        <v>13.82300767579509</v>
      </c>
      <c r="AE18" s="90">
        <v>5.6410256410256405</v>
      </c>
      <c r="AF18" s="90" t="s">
        <v>208</v>
      </c>
      <c r="AG18" s="27" t="s">
        <v>175</v>
      </c>
      <c r="AH18" s="26" t="s">
        <v>193</v>
      </c>
      <c r="AI18" s="98">
        <v>12.75</v>
      </c>
      <c r="AJ18" s="29">
        <v>5.95</v>
      </c>
      <c r="AK18" s="96">
        <v>12</v>
      </c>
    </row>
    <row r="19" spans="3:38" x14ac:dyDescent="0.55000000000000004">
      <c r="C19" s="48">
        <v>100</v>
      </c>
      <c r="D19" s="48">
        <v>110</v>
      </c>
      <c r="E19" s="48">
        <v>105</v>
      </c>
      <c r="P19" s="32" t="s">
        <v>128</v>
      </c>
      <c r="Q19" s="32" t="s">
        <v>101</v>
      </c>
      <c r="S19" s="229" t="s">
        <v>151</v>
      </c>
      <c r="T19" s="229"/>
      <c r="X19" s="83" t="s">
        <v>285</v>
      </c>
      <c r="Y19" s="73">
        <v>3084</v>
      </c>
      <c r="Z19" s="66">
        <v>0.32</v>
      </c>
      <c r="AA19" s="66">
        <v>6.5</v>
      </c>
      <c r="AB19" s="66">
        <v>0.28000000000000003</v>
      </c>
      <c r="AC19" s="79">
        <f t="shared" si="0"/>
        <v>25.836457983122461</v>
      </c>
      <c r="AE19" s="90">
        <v>6.1111111111111107</v>
      </c>
      <c r="AF19" s="90" t="s">
        <v>209</v>
      </c>
      <c r="AG19" s="27" t="s">
        <v>176</v>
      </c>
      <c r="AH19" s="93" t="s">
        <v>194</v>
      </c>
      <c r="AJ19" s="29">
        <v>7.31</v>
      </c>
      <c r="AK19" s="96">
        <v>15.11</v>
      </c>
    </row>
    <row r="20" spans="3:38" x14ac:dyDescent="0.55000000000000004">
      <c r="C20" s="48">
        <v>104</v>
      </c>
      <c r="D20" s="48">
        <v>117</v>
      </c>
      <c r="E20" s="48">
        <v>110</v>
      </c>
      <c r="P20" s="32" t="s">
        <v>93</v>
      </c>
      <c r="Q20" s="32" t="s">
        <v>79</v>
      </c>
      <c r="S20" s="230" t="s">
        <v>152</v>
      </c>
      <c r="T20" s="231"/>
      <c r="X20" s="75" t="s">
        <v>290</v>
      </c>
      <c r="Y20" s="73">
        <v>90</v>
      </c>
      <c r="Z20" s="66">
        <v>9.24</v>
      </c>
      <c r="AA20" s="66">
        <v>1.5</v>
      </c>
      <c r="AB20" s="66">
        <v>16.25</v>
      </c>
      <c r="AC20" s="79">
        <f t="shared" si="0"/>
        <v>21.771237089377266</v>
      </c>
      <c r="AE20" s="90">
        <v>6.666666666666667</v>
      </c>
      <c r="AF20" s="90" t="s">
        <v>210</v>
      </c>
      <c r="AG20" s="27" t="s">
        <v>177</v>
      </c>
      <c r="AH20" s="88"/>
      <c r="AI20" s="102" t="s">
        <v>216</v>
      </c>
      <c r="AJ20" s="29">
        <v>8.4499999999999993</v>
      </c>
      <c r="AK20" s="96">
        <v>21.72</v>
      </c>
    </row>
    <row r="21" spans="3:38" x14ac:dyDescent="0.55000000000000004">
      <c r="C21" s="48">
        <v>110</v>
      </c>
      <c r="D21" s="48">
        <v>120</v>
      </c>
      <c r="E21" s="46">
        <v>120</v>
      </c>
      <c r="H21" s="9"/>
      <c r="I21" s="9"/>
      <c r="J21" s="9"/>
      <c r="K21" s="9"/>
      <c r="L21" s="9"/>
      <c r="P21" s="32" t="s">
        <v>129</v>
      </c>
      <c r="Q21" s="34" t="s">
        <v>130</v>
      </c>
      <c r="S21" s="230" t="s">
        <v>154</v>
      </c>
      <c r="T21" s="231"/>
      <c r="X21" s="86"/>
      <c r="Y21" s="73"/>
      <c r="Z21" s="66"/>
      <c r="AA21" s="66"/>
      <c r="AB21" s="66"/>
      <c r="AC21" s="79">
        <f t="shared" si="0"/>
        <v>0</v>
      </c>
      <c r="AE21" s="90">
        <v>4.2016806722689077</v>
      </c>
      <c r="AF21" s="90" t="s">
        <v>211</v>
      </c>
      <c r="AG21" s="27" t="s">
        <v>178</v>
      </c>
      <c r="AH21" s="27"/>
      <c r="AI21" s="29">
        <v>5.95</v>
      </c>
      <c r="AJ21" s="29">
        <v>10.71</v>
      </c>
      <c r="AK21" s="96">
        <v>32.74</v>
      </c>
    </row>
    <row r="22" spans="3:38" ht="14.5" customHeight="1" x14ac:dyDescent="0.55000000000000004">
      <c r="C22" s="48">
        <v>120</v>
      </c>
      <c r="D22" s="48">
        <v>130</v>
      </c>
      <c r="P22" s="32" t="s">
        <v>105</v>
      </c>
      <c r="S22" s="232" t="s">
        <v>155</v>
      </c>
      <c r="T22" s="233"/>
      <c r="X22" s="82"/>
      <c r="Y22" s="85"/>
      <c r="Z22" s="80"/>
      <c r="AA22" s="80"/>
      <c r="AB22" s="80"/>
      <c r="AC22" s="81">
        <f t="shared" si="0"/>
        <v>0</v>
      </c>
      <c r="AE22" s="90">
        <v>4.5248868778280542</v>
      </c>
      <c r="AF22" s="90" t="s">
        <v>212</v>
      </c>
      <c r="AG22" s="28" t="s">
        <v>179</v>
      </c>
      <c r="AI22" s="29">
        <v>7.31</v>
      </c>
      <c r="AJ22" s="98">
        <v>12.75</v>
      </c>
      <c r="AK22" s="97">
        <v>45.33</v>
      </c>
      <c r="AL22" t="s">
        <v>230</v>
      </c>
    </row>
    <row r="23" spans="3:38" x14ac:dyDescent="0.55000000000000004">
      <c r="C23" s="48">
        <v>130</v>
      </c>
      <c r="D23" s="48">
        <v>131</v>
      </c>
      <c r="P23" s="32" t="s">
        <v>131</v>
      </c>
      <c r="AE23" s="90">
        <v>4.9019607843137258</v>
      </c>
      <c r="AF23" s="90" t="s">
        <v>228</v>
      </c>
      <c r="AI23" s="29">
        <v>8.4499999999999993</v>
      </c>
    </row>
    <row r="24" spans="3:38" x14ac:dyDescent="0.55000000000000004">
      <c r="C24" s="48">
        <v>140</v>
      </c>
      <c r="D24" s="48">
        <v>140</v>
      </c>
      <c r="P24" s="33" t="s">
        <v>107</v>
      </c>
      <c r="AE24" s="92">
        <v>5.3475935828877015</v>
      </c>
      <c r="AF24" s="92" t="s">
        <v>213</v>
      </c>
      <c r="AI24" s="29">
        <v>10.71</v>
      </c>
    </row>
    <row r="25" spans="3:38" x14ac:dyDescent="0.55000000000000004">
      <c r="C25" s="48">
        <v>150</v>
      </c>
      <c r="D25" s="48">
        <v>150</v>
      </c>
      <c r="P25" s="32" t="s">
        <v>94</v>
      </c>
      <c r="U25" s="8"/>
      <c r="AI25" s="98">
        <v>12.75</v>
      </c>
    </row>
    <row r="26" spans="3:38" x14ac:dyDescent="0.55000000000000004">
      <c r="C26" s="48">
        <v>160</v>
      </c>
      <c r="D26" s="48">
        <v>151</v>
      </c>
      <c r="P26" s="32" t="s">
        <v>104</v>
      </c>
    </row>
    <row r="27" spans="3:38" x14ac:dyDescent="0.55000000000000004">
      <c r="C27" s="48">
        <v>170</v>
      </c>
      <c r="D27" s="48">
        <v>160</v>
      </c>
      <c r="P27" s="32" t="s">
        <v>95</v>
      </c>
    </row>
    <row r="28" spans="3:38" x14ac:dyDescent="0.55000000000000004">
      <c r="C28" s="48">
        <v>180</v>
      </c>
      <c r="D28" s="48">
        <v>170</v>
      </c>
      <c r="P28" s="32" t="s">
        <v>96</v>
      </c>
    </row>
    <row r="29" spans="3:38" x14ac:dyDescent="0.55000000000000004">
      <c r="C29" s="48">
        <v>200</v>
      </c>
      <c r="D29" s="48">
        <v>180</v>
      </c>
      <c r="P29" s="32" t="s">
        <v>81</v>
      </c>
    </row>
    <row r="30" spans="3:38" x14ac:dyDescent="0.55000000000000004">
      <c r="C30" s="48">
        <v>225</v>
      </c>
      <c r="D30" s="48">
        <v>200</v>
      </c>
      <c r="P30" s="32" t="s">
        <v>82</v>
      </c>
    </row>
    <row r="31" spans="3:38" x14ac:dyDescent="0.55000000000000004">
      <c r="C31" s="46">
        <v>250</v>
      </c>
      <c r="D31" s="48">
        <v>225</v>
      </c>
      <c r="P31" s="32" t="s">
        <v>97</v>
      </c>
    </row>
    <row r="32" spans="3:38" x14ac:dyDescent="0.55000000000000004">
      <c r="D32" s="46">
        <v>250</v>
      </c>
      <c r="P32" s="34" t="s">
        <v>98</v>
      </c>
    </row>
  </sheetData>
  <mergeCells count="5">
    <mergeCell ref="S19:T19"/>
    <mergeCell ref="S20:T20"/>
    <mergeCell ref="S21:T21"/>
    <mergeCell ref="S22:T22"/>
    <mergeCell ref="M18:N18"/>
  </mergeCells>
  <hyperlinks>
    <hyperlink ref="AG5" r:id="rId1" xr:uid="{00000000-0004-0000-09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README</vt:lpstr>
      <vt:lpstr>Drivetrain</vt:lpstr>
      <vt:lpstr>SprintDistance</vt:lpstr>
      <vt:lpstr>MechanismRatio</vt:lpstr>
      <vt:lpstr>Projectile</vt:lpstr>
      <vt:lpstr>ChainBelt</vt:lpstr>
      <vt:lpstr>GearSize</vt:lpstr>
      <vt:lpstr>Pneumatics</vt:lpstr>
      <vt:lpstr>UsefulValues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2018-07-26T20:43:21Z</dcterms:modified>
</cp:coreProperties>
</file>