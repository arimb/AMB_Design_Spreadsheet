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0" yWindow="0" windowWidth="12270" windowHeight="9360"/>
  </bookViews>
  <sheets>
    <sheet name="README" sheetId="15" r:id="rId1"/>
    <sheet name="Drivetrain" sheetId="14" r:id="rId2"/>
    <sheet name="SprintDistance" sheetId="28" r:id="rId3"/>
    <sheet name="MechanismRatio" sheetId="17" r:id="rId4"/>
    <sheet name="Projectile" sheetId="25" r:id="rId5"/>
    <sheet name="ChainBelt" sheetId="18" r:id="rId6"/>
    <sheet name="GearSize" sheetId="3" r:id="rId7"/>
    <sheet name="Pneumatics" sheetId="26" r:id="rId8"/>
    <sheet name="UsefulValues" sheetId="5" r:id="rId9"/>
  </sheets>
  <functionGroups builtInGroupCount="17"/>
  <externalReferences>
    <externalReference r:id="rId10"/>
  </externalReferences>
  <definedNames>
    <definedName name="initial2CIM">[1]DATA!$B$66:$D$67</definedName>
    <definedName name="initial2CIMchoice">[1]DATA!$B$66:$B$67</definedName>
    <definedName name="initial3CIM">[1]DATA!$B$48:$D$49</definedName>
    <definedName name="initial3CIMchoice">[1]DATA!$B$48:$B$49</definedName>
    <definedName name="lowgear3CIM">[1]DATA!$B$53:$D$55</definedName>
    <definedName name="lowgear3CIMchoice">[1]DATA!$B$53:$B$55</definedName>
    <definedName name="Motor">[1]DATA!$J$5:$N$13</definedName>
    <definedName name="MotorChoice">[1]DATA!$J$5:$J$13</definedName>
    <definedName name="Motors">[1]DATA!$B$5:$B$20</definedName>
    <definedName name="MotorTwo">[1]DATA!$J$16:$N$20</definedName>
    <definedName name="MotorTwochoice">[1]DATA!$J$16:$J$20</definedName>
    <definedName name="Specs">[1]DATA!$B$4:$G$20</definedName>
    <definedName name="SSDR">[1]DATA!$B$75:$D$77</definedName>
    <definedName name="SSDRchoice">[1]DATA!$B$75:$B$77</definedName>
    <definedName name="thirdstage2CIM">[1]DATA!$B$69:$D$73</definedName>
    <definedName name="thirdstage2CIMchoice">[1]DATA!$B$69:$B$73</definedName>
    <definedName name="thirdstage3CIM">[1]DATA!$B$57:$D$61</definedName>
    <definedName name="thirdstage3CIMchoice">[1]DATA!$B$57:$B$61</definedName>
    <definedName name="WCPDShighgear">[1]DATA!$B$40:$D$42</definedName>
    <definedName name="WCPDShighgearchoice">[1]DATA!$B$40:$B$42</definedName>
    <definedName name="WCPDSinput">[1]DATA!$B$28:$D$33</definedName>
    <definedName name="WCPDSinputchoice">[1]DATA!$B$28:$B$33</definedName>
    <definedName name="WCPDSlowgear">[1]DATA!$B$36:$D$37</definedName>
    <definedName name="WCPDSlowgearchoice">[1]DATA!$B$36:$B$37</definedName>
    <definedName name="WCPSSinput">[1]DATA!$B$82:$D$85</definedName>
    <definedName name="WCPSSinputchoice">[1]DATA!$B$82:$B$85</definedName>
    <definedName name="WCPSSsecond">[1]DATA!$B$88:$D$92</definedName>
    <definedName name="WCPSSsecondchoice">[1]DATA!$B$88:$B$92</definedName>
  </definedNames>
  <calcPr calcId="14562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28" i="28" l="1"/>
  <c r="Q28" i="28"/>
  <c r="D41" i="28"/>
  <c r="D40" i="28"/>
  <c r="C41" i="28"/>
  <c r="C40" i="28"/>
  <c r="D31" i="28"/>
  <c r="C31" i="28"/>
  <c r="F31" i="28"/>
  <c r="M7" i="17"/>
  <c r="L9" i="17"/>
  <c r="I11" i="17"/>
  <c r="K23" i="14"/>
  <c r="K16" i="14"/>
  <c r="K15" i="14"/>
  <c r="D39" i="28"/>
  <c r="N19" i="3" l="1"/>
  <c r="K19" i="3"/>
  <c r="M19" i="3"/>
  <c r="J19" i="3"/>
  <c r="J17" i="3"/>
  <c r="AC22" i="5" l="1"/>
  <c r="AC21" i="5"/>
  <c r="AC20" i="5"/>
  <c r="AC19" i="5"/>
  <c r="AC18" i="5"/>
  <c r="AC17" i="5"/>
  <c r="AC16" i="5"/>
  <c r="AC15" i="5"/>
  <c r="AC14" i="5"/>
  <c r="AC13" i="5"/>
  <c r="AC12" i="5"/>
  <c r="AC11" i="5"/>
  <c r="AC10" i="5"/>
  <c r="AC9" i="5"/>
  <c r="AC8" i="5"/>
  <c r="AC7" i="5"/>
  <c r="AC6" i="5"/>
  <c r="AC5" i="5"/>
  <c r="E17" i="26"/>
  <c r="D17" i="26"/>
  <c r="J16" i="26"/>
  <c r="J17" i="26" s="1"/>
  <c r="I16" i="26"/>
  <c r="I17" i="26" s="1"/>
  <c r="H16" i="26"/>
  <c r="H17" i="26" s="1"/>
  <c r="G16" i="26"/>
  <c r="G17" i="26" s="1"/>
  <c r="F16" i="26"/>
  <c r="F17" i="26" s="1"/>
  <c r="E16" i="26"/>
  <c r="D16" i="26"/>
  <c r="C16" i="26"/>
  <c r="C17" i="26" s="1"/>
  <c r="J11" i="26"/>
  <c r="I11" i="26"/>
  <c r="H11" i="26"/>
  <c r="G11" i="26"/>
  <c r="F11" i="26"/>
  <c r="E11" i="26"/>
  <c r="D11" i="26"/>
  <c r="C11" i="26"/>
  <c r="J9" i="26"/>
  <c r="I9" i="26"/>
  <c r="H9" i="26"/>
  <c r="G9" i="26"/>
  <c r="F9" i="26"/>
  <c r="E9" i="26"/>
  <c r="D9" i="26"/>
  <c r="C9" i="26"/>
  <c r="P8" i="26"/>
  <c r="O8" i="26"/>
  <c r="N8" i="26"/>
  <c r="M8" i="26"/>
  <c r="M9" i="26" s="1"/>
  <c r="N20" i="3"/>
  <c r="D17" i="3"/>
  <c r="D16" i="3"/>
  <c r="K20" i="3"/>
  <c r="D13" i="3"/>
  <c r="D12" i="3"/>
  <c r="D9" i="3"/>
  <c r="E11" i="3" s="1"/>
  <c r="O27" i="18"/>
  <c r="O28" i="18" s="1"/>
  <c r="O29" i="18" s="1"/>
  <c r="O30" i="18" s="1"/>
  <c r="O31" i="18" s="1"/>
  <c r="O32" i="18" s="1"/>
  <c r="O26" i="18"/>
  <c r="K26" i="18"/>
  <c r="B26" i="18"/>
  <c r="K21" i="18"/>
  <c r="I10" i="18"/>
  <c r="I7" i="18"/>
  <c r="E182" i="25"/>
  <c r="E181" i="25"/>
  <c r="E180" i="25"/>
  <c r="E179" i="25"/>
  <c r="E178" i="25"/>
  <c r="E177" i="25"/>
  <c r="E176" i="25"/>
  <c r="E175" i="25"/>
  <c r="E174" i="25"/>
  <c r="E173" i="25"/>
  <c r="E172" i="25"/>
  <c r="E171" i="25"/>
  <c r="E170" i="25"/>
  <c r="E169" i="25"/>
  <c r="E168" i="25"/>
  <c r="E167" i="25"/>
  <c r="E166" i="25"/>
  <c r="E165" i="25"/>
  <c r="E164" i="25"/>
  <c r="E163" i="25"/>
  <c r="E162" i="25"/>
  <c r="E161" i="25"/>
  <c r="E160" i="25"/>
  <c r="E159" i="25"/>
  <c r="E158" i="25"/>
  <c r="E157" i="25"/>
  <c r="E156" i="25"/>
  <c r="E155" i="25"/>
  <c r="E154" i="25"/>
  <c r="E153" i="25"/>
  <c r="E152" i="25"/>
  <c r="E151" i="25"/>
  <c r="E150" i="25"/>
  <c r="E149" i="25"/>
  <c r="E148" i="25"/>
  <c r="E147" i="25"/>
  <c r="E146" i="25"/>
  <c r="E145" i="25"/>
  <c r="E144" i="25"/>
  <c r="E143" i="25"/>
  <c r="E142" i="25"/>
  <c r="E141" i="25"/>
  <c r="E140" i="25"/>
  <c r="E139" i="25"/>
  <c r="E138" i="25"/>
  <c r="E137" i="25"/>
  <c r="E136" i="25"/>
  <c r="E135" i="25"/>
  <c r="E134" i="25"/>
  <c r="E133" i="25"/>
  <c r="E132" i="25"/>
  <c r="E131" i="25"/>
  <c r="E130" i="25"/>
  <c r="E129" i="25"/>
  <c r="E128" i="25"/>
  <c r="E127" i="25"/>
  <c r="E126" i="25"/>
  <c r="E125" i="25"/>
  <c r="E124" i="25"/>
  <c r="E123" i="25"/>
  <c r="E122" i="25"/>
  <c r="E121" i="25"/>
  <c r="E120" i="25"/>
  <c r="E119" i="25"/>
  <c r="E118" i="25"/>
  <c r="E117" i="25"/>
  <c r="E116" i="25"/>
  <c r="E115" i="25"/>
  <c r="E114" i="25"/>
  <c r="E113" i="25"/>
  <c r="E112" i="25"/>
  <c r="E111" i="25"/>
  <c r="E110" i="25"/>
  <c r="E109" i="25"/>
  <c r="E108" i="25"/>
  <c r="E107" i="25"/>
  <c r="E106" i="25"/>
  <c r="E105" i="25"/>
  <c r="E104" i="25"/>
  <c r="E103" i="25"/>
  <c r="E102" i="25"/>
  <c r="E101" i="25"/>
  <c r="E100" i="25"/>
  <c r="E99" i="25"/>
  <c r="E98" i="25"/>
  <c r="E97" i="25"/>
  <c r="E96" i="25"/>
  <c r="E95" i="25"/>
  <c r="E94" i="25"/>
  <c r="E93" i="25"/>
  <c r="E92" i="25"/>
  <c r="E91" i="25"/>
  <c r="E90" i="25"/>
  <c r="E89" i="25"/>
  <c r="E88" i="25"/>
  <c r="E87" i="25"/>
  <c r="E86" i="25"/>
  <c r="E85" i="25"/>
  <c r="E84" i="25"/>
  <c r="E83" i="25"/>
  <c r="E82" i="25"/>
  <c r="G13" i="25"/>
  <c r="C13" i="25"/>
  <c r="G9" i="25"/>
  <c r="C9" i="25"/>
  <c r="I8" i="25"/>
  <c r="H14" i="25" s="1"/>
  <c r="G8" i="25"/>
  <c r="C8" i="25"/>
  <c r="G7" i="25"/>
  <c r="C7" i="25"/>
  <c r="B5" i="25"/>
  <c r="E27" i="17"/>
  <c r="H5" i="17" s="1"/>
  <c r="K11" i="17"/>
  <c r="G11" i="17"/>
  <c r="G9" i="17"/>
  <c r="G8" i="17"/>
  <c r="E8" i="17"/>
  <c r="D8" i="17"/>
  <c r="D7" i="17"/>
  <c r="E7" i="17" s="1"/>
  <c r="H6" i="17"/>
  <c r="D6" i="17"/>
  <c r="D5" i="17"/>
  <c r="E5" i="17" s="1"/>
  <c r="L28" i="28"/>
  <c r="J28" i="28"/>
  <c r="C19" i="28"/>
  <c r="C17" i="28"/>
  <c r="D8" i="28"/>
  <c r="D7" i="28"/>
  <c r="D6" i="28"/>
  <c r="D5" i="28"/>
  <c r="H25" i="14"/>
  <c r="H23" i="14"/>
  <c r="L21" i="14"/>
  <c r="L22" i="14"/>
  <c r="K20" i="14"/>
  <c r="K25" i="14" s="1"/>
  <c r="H16" i="14"/>
  <c r="L15" i="14"/>
  <c r="L14" i="14"/>
  <c r="H9" i="14"/>
  <c r="K13" i="14" s="1"/>
  <c r="J8" i="14"/>
  <c r="D8" i="14"/>
  <c r="E8" i="14" s="1"/>
  <c r="J7" i="14"/>
  <c r="D7" i="14"/>
  <c r="E7" i="14" s="1"/>
  <c r="J6" i="14"/>
  <c r="D6" i="14"/>
  <c r="E6" i="14" s="1"/>
  <c r="J5" i="14"/>
  <c r="D5" i="14"/>
  <c r="D9" i="14" s="1"/>
  <c r="D30" i="28"/>
  <c r="K28" i="28"/>
  <c r="H8" i="17" l="1"/>
  <c r="F181" i="25"/>
  <c r="H13" i="25"/>
  <c r="D13" i="25"/>
  <c r="D14" i="25" s="1"/>
  <c r="F86" i="25"/>
  <c r="F96" i="25"/>
  <c r="F112" i="25"/>
  <c r="F128" i="25"/>
  <c r="F144" i="25"/>
  <c r="F160" i="25"/>
  <c r="F176" i="25"/>
  <c r="M28" i="28"/>
  <c r="D9" i="28"/>
  <c r="E5" i="14"/>
  <c r="K22" i="14"/>
  <c r="K21" i="14" s="1"/>
  <c r="F91" i="25"/>
  <c r="F97" i="25"/>
  <c r="F102" i="25"/>
  <c r="F107" i="25"/>
  <c r="F113" i="25"/>
  <c r="F118" i="25"/>
  <c r="F123" i="25"/>
  <c r="F129" i="25"/>
  <c r="F134" i="25"/>
  <c r="F139" i="25"/>
  <c r="F145" i="25"/>
  <c r="F150" i="25"/>
  <c r="F155" i="25"/>
  <c r="F161" i="25"/>
  <c r="F166" i="25"/>
  <c r="F171" i="25"/>
  <c r="F182" i="25"/>
  <c r="F92" i="25"/>
  <c r="F108" i="25"/>
  <c r="F124" i="25"/>
  <c r="F140" i="25"/>
  <c r="F156" i="25"/>
  <c r="F172" i="25"/>
  <c r="F82" i="25"/>
  <c r="F87" i="25"/>
  <c r="F93" i="25"/>
  <c r="F98" i="25"/>
  <c r="F103" i="25"/>
  <c r="F109" i="25"/>
  <c r="F114" i="25"/>
  <c r="F119" i="25"/>
  <c r="F125" i="25"/>
  <c r="F130" i="25"/>
  <c r="F135" i="25"/>
  <c r="F141" i="25"/>
  <c r="F146" i="25"/>
  <c r="F151" i="25"/>
  <c r="F157" i="25"/>
  <c r="F162" i="25"/>
  <c r="F167" i="25"/>
  <c r="F178" i="25"/>
  <c r="F88" i="25"/>
  <c r="F104" i="25"/>
  <c r="F120" i="25"/>
  <c r="F136" i="25"/>
  <c r="F152" i="25"/>
  <c r="F168" i="25"/>
  <c r="F83" i="25"/>
  <c r="F89" i="25"/>
  <c r="F94" i="25"/>
  <c r="F99" i="25"/>
  <c r="F105" i="25"/>
  <c r="F110" i="25"/>
  <c r="F115" i="25"/>
  <c r="F121" i="25"/>
  <c r="F126" i="25"/>
  <c r="F131" i="25"/>
  <c r="F137" i="25"/>
  <c r="F142" i="25"/>
  <c r="F147" i="25"/>
  <c r="F153" i="25"/>
  <c r="F158" i="25"/>
  <c r="F163" i="25"/>
  <c r="F169" i="25"/>
  <c r="F174" i="25"/>
  <c r="F179" i="25"/>
  <c r="F84" i="25"/>
  <c r="F100" i="25"/>
  <c r="F116" i="25"/>
  <c r="F132" i="25"/>
  <c r="F148" i="25"/>
  <c r="F164" i="25"/>
  <c r="F180" i="25"/>
  <c r="F85" i="25"/>
  <c r="F90" i="25"/>
  <c r="F95" i="25"/>
  <c r="F101" i="25"/>
  <c r="F106" i="25"/>
  <c r="F111" i="25"/>
  <c r="F117" i="25"/>
  <c r="F122" i="25"/>
  <c r="F127" i="25"/>
  <c r="F133" i="25"/>
  <c r="F138" i="25"/>
  <c r="F143" i="25"/>
  <c r="F149" i="25"/>
  <c r="F154" i="25"/>
  <c r="F159" i="25"/>
  <c r="F165" i="25"/>
  <c r="F170" i="25"/>
  <c r="F175" i="25"/>
  <c r="N28" i="28"/>
  <c r="O28" i="28"/>
  <c r="J29" i="28"/>
  <c r="P28" i="28"/>
  <c r="C19" i="26"/>
  <c r="M13" i="26" s="1"/>
  <c r="M15" i="26" s="1"/>
  <c r="M18" i="26" s="1"/>
  <c r="M19" i="26" s="1"/>
  <c r="L26" i="18"/>
  <c r="C26" i="18"/>
  <c r="M26" i="18"/>
  <c r="E12" i="3"/>
  <c r="E15" i="3"/>
  <c r="E9" i="14"/>
  <c r="M22" i="26"/>
  <c r="D26" i="18"/>
  <c r="E26" i="18" s="1"/>
  <c r="K14" i="14"/>
  <c r="E13" i="3"/>
  <c r="D9" i="17"/>
  <c r="H12" i="17"/>
  <c r="F173" i="25"/>
  <c r="F177" i="25"/>
  <c r="E6" i="17"/>
  <c r="K29" i="28"/>
  <c r="O5" i="17" l="1"/>
  <c r="O10" i="17" s="1"/>
  <c r="L5" i="17"/>
  <c r="L10" i="17" s="1"/>
  <c r="I5" i="17"/>
  <c r="H11" i="17"/>
  <c r="H7" i="17" s="1"/>
  <c r="H9" i="17" s="1"/>
  <c r="K5" i="17"/>
  <c r="K10" i="17" s="1"/>
  <c r="M5" i="17"/>
  <c r="M6" i="17" s="1"/>
  <c r="M8" i="17" s="1"/>
  <c r="N5" i="17"/>
  <c r="N11" i="17" s="1"/>
  <c r="J5" i="17"/>
  <c r="J10" i="17" s="1"/>
  <c r="H10" i="17"/>
  <c r="E183" i="25"/>
  <c r="L29" i="28"/>
  <c r="E9" i="17"/>
  <c r="F26" i="18"/>
  <c r="G26" i="18" s="1"/>
  <c r="E17" i="3"/>
  <c r="E16" i="3"/>
  <c r="M21" i="26"/>
  <c r="N26" i="18"/>
  <c r="Q29" i="28" l="1"/>
  <c r="R29" i="28"/>
  <c r="L12" i="17"/>
  <c r="L6" i="17"/>
  <c r="L8" i="17" s="1"/>
  <c r="O12" i="17"/>
  <c r="O6" i="17"/>
  <c r="N12" i="17"/>
  <c r="N6" i="17"/>
  <c r="N8" i="17" s="1"/>
  <c r="L11" i="17"/>
  <c r="I10" i="17"/>
  <c r="I12" i="17"/>
  <c r="J12" i="17"/>
  <c r="J6" i="17"/>
  <c r="M10" i="17"/>
  <c r="J11" i="17"/>
  <c r="M11" i="17"/>
  <c r="K12" i="17"/>
  <c r="K6" i="17"/>
  <c r="N29" i="28"/>
  <c r="J30" i="28"/>
  <c r="M29" i="28"/>
  <c r="O29" i="28" s="1"/>
  <c r="K27" i="18"/>
  <c r="P26" i="18"/>
  <c r="M12" i="17"/>
  <c r="B27" i="18"/>
  <c r="F27" i="18"/>
  <c r="F28" i="18" s="1"/>
  <c r="F29" i="18" s="1"/>
  <c r="F30" i="18" s="1"/>
  <c r="F31" i="18" s="1"/>
  <c r="F32" i="18" s="1"/>
  <c r="I6" i="17"/>
  <c r="K30" i="28"/>
  <c r="O8" i="17" l="1"/>
  <c r="O7" i="17"/>
  <c r="O9" i="17" s="1"/>
  <c r="J7" i="17"/>
  <c r="J9" i="17" s="1"/>
  <c r="J8" i="17"/>
  <c r="N7" i="17"/>
  <c r="N9" i="17" s="1"/>
  <c r="K8" i="17"/>
  <c r="K7" i="17"/>
  <c r="K9" i="17" s="1"/>
  <c r="I7" i="17"/>
  <c r="I9" i="17" s="1"/>
  <c r="I8" i="17"/>
  <c r="L30" i="28"/>
  <c r="P29" i="28"/>
  <c r="D27" i="18"/>
  <c r="C27" i="18"/>
  <c r="M27" i="18"/>
  <c r="N27" i="18" s="1"/>
  <c r="P27" i="18" s="1"/>
  <c r="L27" i="18"/>
  <c r="Q30" i="28" l="1"/>
  <c r="R30" i="28"/>
  <c r="J31" i="28"/>
  <c r="N30" i="28"/>
  <c r="M30" i="28"/>
  <c r="Q27" i="18"/>
  <c r="K28" i="18" s="1"/>
  <c r="E27" i="18"/>
  <c r="G27" i="18" s="1"/>
  <c r="K31" i="28"/>
  <c r="P30" i="28" l="1"/>
  <c r="L31" i="28"/>
  <c r="O30" i="28"/>
  <c r="M28" i="18"/>
  <c r="L28" i="18"/>
  <c r="H27" i="18"/>
  <c r="B28" i="18" s="1"/>
  <c r="Q31" i="28" l="1"/>
  <c r="R31" i="28"/>
  <c r="J32" i="28"/>
  <c r="N31" i="28"/>
  <c r="M31" i="28"/>
  <c r="D28" i="18"/>
  <c r="E28" i="18" s="1"/>
  <c r="G28" i="18" s="1"/>
  <c r="C28" i="18"/>
  <c r="N28" i="18"/>
  <c r="P28" i="18" s="1"/>
  <c r="K32" i="28"/>
  <c r="L32" i="28" l="1"/>
  <c r="P31" i="28"/>
  <c r="O31" i="28"/>
  <c r="Q28" i="18"/>
  <c r="K29" i="18"/>
  <c r="B29" i="18"/>
  <c r="H28" i="18"/>
  <c r="J33" i="28" l="1"/>
  <c r="M32" i="28"/>
  <c r="N32" i="28"/>
  <c r="M29" i="18"/>
  <c r="N29" i="18" s="1"/>
  <c r="P29" i="18" s="1"/>
  <c r="L29" i="18"/>
  <c r="D29" i="18"/>
  <c r="C29" i="18"/>
  <c r="K33" i="28"/>
  <c r="O32" i="28" l="1"/>
  <c r="L33" i="28"/>
  <c r="P32" i="28"/>
  <c r="E29" i="18"/>
  <c r="G29" i="18" s="1"/>
  <c r="K30" i="18"/>
  <c r="Q29" i="18"/>
  <c r="Q32" i="28"/>
  <c r="R32" i="28"/>
  <c r="J34" i="28" l="1"/>
  <c r="M33" i="28"/>
  <c r="N33" i="28"/>
  <c r="M30" i="18"/>
  <c r="N30" i="18" s="1"/>
  <c r="P30" i="18" s="1"/>
  <c r="L30" i="18"/>
  <c r="B30" i="18"/>
  <c r="H29" i="18"/>
  <c r="K34" i="28"/>
  <c r="O33" i="28" l="1"/>
  <c r="L34" i="28"/>
  <c r="P33" i="28"/>
  <c r="D30" i="18"/>
  <c r="E30" i="18" s="1"/>
  <c r="G30" i="18" s="1"/>
  <c r="C30" i="18"/>
  <c r="K31" i="18"/>
  <c r="Q30" i="18"/>
  <c r="Q33" i="28"/>
  <c r="R33" i="28"/>
  <c r="K35" i="28" l="1"/>
  <c r="J35" i="28"/>
  <c r="N34" i="28"/>
  <c r="M34" i="28"/>
  <c r="B31" i="18"/>
  <c r="H30" i="18"/>
  <c r="M31" i="18"/>
  <c r="L31" i="18"/>
  <c r="L35" i="28" l="1"/>
  <c r="P34" i="28"/>
  <c r="O34" i="28"/>
  <c r="N31" i="18"/>
  <c r="P31" i="18" s="1"/>
  <c r="D31" i="18"/>
  <c r="C31" i="18"/>
  <c r="R34" i="28"/>
  <c r="Q34" i="28"/>
  <c r="K36" i="28" l="1"/>
  <c r="J36" i="28"/>
  <c r="M35" i="28"/>
  <c r="N35" i="28"/>
  <c r="E31" i="18"/>
  <c r="G31" i="18" s="1"/>
  <c r="K32" i="18"/>
  <c r="Q31" i="18"/>
  <c r="L36" i="28" l="1"/>
  <c r="K37" i="28" s="1"/>
  <c r="O35" i="28"/>
  <c r="P35" i="28"/>
  <c r="M32" i="18"/>
  <c r="K20" i="18"/>
  <c r="K22" i="18" s="1"/>
  <c r="L32" i="18"/>
  <c r="B32" i="18"/>
  <c r="H31" i="18"/>
  <c r="Q35" i="28"/>
  <c r="R35" i="28"/>
  <c r="J37" i="28" l="1"/>
  <c r="M36" i="28"/>
  <c r="N36" i="28"/>
  <c r="D32" i="18"/>
  <c r="H20" i="18"/>
  <c r="H23" i="18" s="1"/>
  <c r="C32" i="18"/>
  <c r="N32" i="18"/>
  <c r="P32" i="18" s="1"/>
  <c r="Q32" i="18" s="1"/>
  <c r="L37" i="28" l="1"/>
  <c r="K38" i="28" s="1"/>
  <c r="O36" i="28"/>
  <c r="P36" i="28"/>
  <c r="E32" i="18"/>
  <c r="Q36" i="28"/>
  <c r="R36" i="28"/>
  <c r="J38" i="28" l="1"/>
  <c r="M37" i="28"/>
  <c r="N37" i="28"/>
  <c r="H21" i="18"/>
  <c r="H22" i="18"/>
  <c r="G32" i="18"/>
  <c r="H32" i="18" s="1"/>
  <c r="L38" i="28" l="1"/>
  <c r="K39" i="28" s="1"/>
  <c r="O37" i="28"/>
  <c r="P37" i="28"/>
  <c r="Q37" i="28"/>
  <c r="R37" i="28"/>
  <c r="J39" i="28" l="1"/>
  <c r="N38" i="28"/>
  <c r="M38" i="28"/>
  <c r="L39" i="28" l="1"/>
  <c r="K40" i="28" s="1"/>
  <c r="P38" i="28"/>
  <c r="O38" i="28"/>
  <c r="R38" i="28"/>
  <c r="Q38" i="28"/>
  <c r="J40" i="28" l="1"/>
  <c r="M39" i="28"/>
  <c r="N39" i="28"/>
  <c r="L40" i="28"/>
  <c r="K41" i="28" l="1"/>
  <c r="P39" i="28"/>
  <c r="O39" i="28"/>
  <c r="J41" i="28"/>
  <c r="R39" i="28"/>
  <c r="Q39" i="28"/>
  <c r="N40" i="28" l="1"/>
  <c r="M40" i="28"/>
  <c r="L41" i="28"/>
  <c r="K42" i="28" s="1"/>
  <c r="O40" i="28" l="1"/>
  <c r="P40" i="28"/>
  <c r="J42" i="28"/>
  <c r="Q40" i="28"/>
  <c r="R40" i="28"/>
  <c r="N41" i="28" l="1"/>
  <c r="M41" i="28"/>
  <c r="L42" i="28"/>
  <c r="K43" i="28" l="1"/>
  <c r="P41" i="28"/>
  <c r="O41" i="28"/>
  <c r="J43" i="28"/>
  <c r="R41" i="28"/>
  <c r="Q41" i="28"/>
  <c r="N42" i="28" l="1"/>
  <c r="M42" i="28"/>
  <c r="L43" i="28"/>
  <c r="K44" i="28" s="1"/>
  <c r="P42" i="28" l="1"/>
  <c r="O42" i="28"/>
  <c r="J44" i="28"/>
  <c r="R42" i="28"/>
  <c r="Q42" i="28"/>
  <c r="N43" i="28" l="1"/>
  <c r="M43" i="28"/>
  <c r="L44" i="28"/>
  <c r="K45" i="28" l="1"/>
  <c r="O43" i="28"/>
  <c r="P43" i="28"/>
  <c r="J45" i="28"/>
  <c r="Q43" i="28"/>
  <c r="R43" i="28"/>
  <c r="M44" i="28" l="1"/>
  <c r="N44" i="28"/>
  <c r="L45" i="28"/>
  <c r="K46" i="28" s="1"/>
  <c r="O44" i="28" l="1"/>
  <c r="P44" i="28"/>
  <c r="J46" i="28"/>
  <c r="Q44" i="28"/>
  <c r="R44" i="28"/>
  <c r="M45" i="28" l="1"/>
  <c r="N45" i="28"/>
  <c r="L46" i="28"/>
  <c r="K47" i="28" l="1"/>
  <c r="P45" i="28"/>
  <c r="O45" i="28"/>
  <c r="J47" i="28"/>
  <c r="R45" i="28"/>
  <c r="Q45" i="28"/>
  <c r="N46" i="28" l="1"/>
  <c r="M46" i="28"/>
  <c r="L47" i="28"/>
  <c r="K48" i="28" s="1"/>
  <c r="O46" i="28" l="1"/>
  <c r="P46" i="28"/>
  <c r="J48" i="28"/>
  <c r="Q46" i="28"/>
  <c r="R46" i="28"/>
  <c r="N47" i="28" l="1"/>
  <c r="M47" i="28"/>
  <c r="L48" i="28"/>
  <c r="K49" i="28" l="1"/>
  <c r="P47" i="28"/>
  <c r="O47" i="28"/>
  <c r="J49" i="28"/>
  <c r="R47" i="28"/>
  <c r="Q47" i="28"/>
  <c r="M48" i="28" l="1"/>
  <c r="N48" i="28"/>
  <c r="L49" i="28"/>
  <c r="K50" i="28" s="1"/>
  <c r="P48" i="28" l="1"/>
  <c r="O48" i="28"/>
  <c r="J50" i="28"/>
  <c r="R48" i="28"/>
  <c r="Q48" i="28"/>
  <c r="M49" i="28" l="1"/>
  <c r="N49" i="28"/>
  <c r="L50" i="28"/>
  <c r="K51" i="28" l="1"/>
  <c r="P49" i="28"/>
  <c r="O49" i="28"/>
  <c r="J51" i="28"/>
  <c r="R49" i="28"/>
  <c r="Q49" i="28"/>
  <c r="M50" i="28" l="1"/>
  <c r="N50" i="28"/>
  <c r="L51" i="28"/>
  <c r="K52" i="28" s="1"/>
  <c r="P50" i="28" l="1"/>
  <c r="O50" i="28"/>
  <c r="J52" i="28"/>
  <c r="R50" i="28"/>
  <c r="Q50" i="28"/>
  <c r="N51" i="28" l="1"/>
  <c r="M51" i="28"/>
  <c r="L52" i="28"/>
  <c r="K53" i="28" l="1"/>
  <c r="P51" i="28"/>
  <c r="O51" i="28"/>
  <c r="J53" i="28"/>
  <c r="R51" i="28"/>
  <c r="Q51" i="28"/>
  <c r="M52" i="28" l="1"/>
  <c r="N52" i="28"/>
  <c r="L53" i="28"/>
  <c r="K54" i="28" l="1"/>
  <c r="P52" i="28"/>
  <c r="O52" i="28"/>
  <c r="J54" i="28"/>
  <c r="R52" i="28"/>
  <c r="Q52" i="28"/>
  <c r="M53" i="28" l="1"/>
  <c r="N53" i="28"/>
  <c r="L54" i="28"/>
  <c r="K55" i="28" l="1"/>
  <c r="P53" i="28"/>
  <c r="O53" i="28"/>
  <c r="J55" i="28"/>
  <c r="R53" i="28"/>
  <c r="Q53" i="28"/>
  <c r="M54" i="28" l="1"/>
  <c r="N54" i="28"/>
  <c r="L55" i="28"/>
  <c r="K56" i="28" s="1"/>
  <c r="O54" i="28" l="1"/>
  <c r="P54" i="28"/>
  <c r="J56" i="28"/>
  <c r="Q54" i="28"/>
  <c r="R54" i="28"/>
  <c r="M55" i="28" l="1"/>
  <c r="N55" i="28"/>
  <c r="L56" i="28"/>
  <c r="K57" i="28" l="1"/>
  <c r="O55" i="28"/>
  <c r="P55" i="28"/>
  <c r="J57" i="28"/>
  <c r="Q55" i="28"/>
  <c r="R55" i="28"/>
  <c r="M56" i="28" l="1"/>
  <c r="N56" i="28"/>
  <c r="L57" i="28"/>
  <c r="K58" i="28" l="1"/>
  <c r="O56" i="28"/>
  <c r="P56" i="28"/>
  <c r="J58" i="28"/>
  <c r="Q56" i="28"/>
  <c r="R56" i="28"/>
  <c r="N57" i="28" l="1"/>
  <c r="M57" i="28"/>
  <c r="L58" i="28"/>
  <c r="K59" i="28" l="1"/>
  <c r="P57" i="28"/>
  <c r="O57" i="28"/>
  <c r="J59" i="28"/>
  <c r="R57" i="28"/>
  <c r="Q57" i="28"/>
  <c r="N58" i="28" l="1"/>
  <c r="M58" i="28"/>
  <c r="L59" i="28"/>
  <c r="K60" i="28" s="1"/>
  <c r="J60" i="28" l="1"/>
  <c r="P58" i="28"/>
  <c r="O58" i="28"/>
  <c r="R58" i="28"/>
  <c r="Q58" i="28"/>
  <c r="L60" i="28" l="1"/>
  <c r="M59" i="28"/>
  <c r="N59" i="28"/>
  <c r="K61" i="28" l="1"/>
  <c r="O59" i="28"/>
  <c r="J61" i="28"/>
  <c r="P59" i="28"/>
  <c r="Q59" i="28"/>
  <c r="R59" i="28"/>
  <c r="L61" i="28" l="1"/>
  <c r="M60" i="28"/>
  <c r="N60" i="28"/>
  <c r="K62" i="28" l="1"/>
  <c r="J62" i="28"/>
  <c r="P60" i="28"/>
  <c r="O60" i="28"/>
  <c r="R60" i="28"/>
  <c r="Q60" i="28"/>
  <c r="L62" i="28" l="1"/>
  <c r="M61" i="28"/>
  <c r="N61" i="28"/>
  <c r="K63" i="28" l="1"/>
  <c r="J63" i="28"/>
  <c r="O61" i="28"/>
  <c r="P61" i="28"/>
  <c r="Q61" i="28"/>
  <c r="R61" i="28"/>
  <c r="L63" i="28" l="1"/>
  <c r="K64" i="28" s="1"/>
  <c r="M62" i="28"/>
  <c r="N62" i="28"/>
  <c r="J64" i="28" l="1"/>
  <c r="O62" i="28"/>
  <c r="P62" i="28"/>
  <c r="Q62" i="28"/>
  <c r="R62" i="28"/>
  <c r="L64" i="28" l="1"/>
  <c r="N63" i="28"/>
  <c r="M63" i="28"/>
  <c r="K65" i="28" l="1"/>
  <c r="P63" i="28"/>
  <c r="J65" i="28"/>
  <c r="O63" i="28"/>
  <c r="R63" i="28"/>
  <c r="Q63" i="28"/>
  <c r="L65" i="28" l="1"/>
  <c r="N64" i="28"/>
  <c r="M64" i="28"/>
  <c r="P64" i="28" l="1"/>
  <c r="K66" i="28"/>
  <c r="J66" i="28"/>
  <c r="O64" i="28"/>
  <c r="R64" i="28"/>
  <c r="Q64" i="28"/>
  <c r="L66" i="28" l="1"/>
  <c r="M65" i="28"/>
  <c r="N65" i="28"/>
  <c r="O65" i="28" l="1"/>
  <c r="P65" i="28"/>
  <c r="Q65" i="28"/>
  <c r="R65" i="28"/>
  <c r="M66" i="28" l="1"/>
  <c r="N66" i="28"/>
  <c r="O66" i="28" l="1"/>
  <c r="P66" i="28"/>
  <c r="Q66" i="28"/>
  <c r="R66" i="28"/>
  <c r="G30" i="28" l="1"/>
  <c r="G29" i="28"/>
  <c r="G31" i="28" s="1"/>
</calcChain>
</file>

<file path=xl/sharedStrings.xml><?xml version="1.0" encoding="utf-8"?>
<sst xmlns="http://schemas.openxmlformats.org/spreadsheetml/2006/main" count="523" uniqueCount="420">
  <si>
    <t>Pitch</t>
  </si>
  <si>
    <t># Teeth 1</t>
  </si>
  <si>
    <t># Teeth 2</t>
  </si>
  <si>
    <t>Round Type</t>
  </si>
  <si>
    <t>Modulus</t>
  </si>
  <si>
    <t>Chain Length</t>
  </si>
  <si>
    <t># Links/Teeth</t>
  </si>
  <si>
    <t>Clearance</t>
  </si>
  <si>
    <t>a</t>
  </si>
  <si>
    <t>L</t>
  </si>
  <si>
    <t>target</t>
  </si>
  <si>
    <t>y</t>
  </si>
  <si>
    <t># links</t>
  </si>
  <si>
    <t>D</t>
  </si>
  <si>
    <r>
      <t>D</t>
    </r>
    <r>
      <rPr>
        <vertAlign val="subscript"/>
        <sz val="11"/>
        <color theme="1"/>
        <rFont val="Calibri"/>
        <family val="2"/>
        <scheme val="minor"/>
      </rPr>
      <t>(Actual)</t>
    </r>
  </si>
  <si>
    <t>Chain/Belt C-C Calculator</t>
  </si>
  <si>
    <t>Any distance unit can be used, so long as it is used consistently.</t>
  </si>
  <si>
    <t>CIM</t>
  </si>
  <si>
    <t>Adjusted</t>
  </si>
  <si>
    <t>Max. Power</t>
  </si>
  <si>
    <t>By Ratio</t>
  </si>
  <si>
    <t>Rot. Speed</t>
  </si>
  <si>
    <t>Lin. Speed</t>
  </si>
  <si>
    <t>Current</t>
  </si>
  <si>
    <t>Free Speed (RPM)</t>
  </si>
  <si>
    <t>Gear Ratio</t>
  </si>
  <si>
    <t>Stall Torque (N*m)</t>
  </si>
  <si>
    <t>Rot. Free Speed (rps)</t>
  </si>
  <si>
    <t>Stall Current (A)</t>
  </si>
  <si>
    <t>Rot. Loaded Speed (rps)</t>
  </si>
  <si>
    <t>Free Current (A)</t>
  </si>
  <si>
    <t>Power (W)</t>
  </si>
  <si>
    <t># Motors</t>
  </si>
  <si>
    <t>Voltage Applied (V)</t>
  </si>
  <si>
    <t>Gearbox Efficiency</t>
  </si>
  <si>
    <t>Metric? (put any value in the box)</t>
  </si>
  <si>
    <t>Key</t>
  </si>
  <si>
    <t xml:space="preserve"> = Input Value</t>
  </si>
  <si>
    <t xml:space="preserve"> = Calculated Value</t>
  </si>
  <si>
    <t xml:space="preserve"> = Invalid Input</t>
  </si>
  <si>
    <t>Desired Ratio</t>
  </si>
  <si>
    <t>Driven Gear</t>
  </si>
  <si>
    <t>Mini CIM</t>
  </si>
  <si>
    <t>BAG Motor</t>
  </si>
  <si>
    <t>AM 775</t>
  </si>
  <si>
    <t>AM 9015</t>
  </si>
  <si>
    <t>BB RS-775-18</t>
  </si>
  <si>
    <t>Neverest</t>
  </si>
  <si>
    <t>Throttle Motor</t>
  </si>
  <si>
    <t>Bosch Motor</t>
  </si>
  <si>
    <t>Chain/Belt Dimensions</t>
  </si>
  <si>
    <t>#25 Chain</t>
  </si>
  <si>
    <t>Width</t>
  </si>
  <si>
    <t>Height</t>
  </si>
  <si>
    <t>#35 Chain</t>
  </si>
  <si>
    <t>5mm HTD</t>
  </si>
  <si>
    <t>3mm GT3</t>
  </si>
  <si>
    <t>6.35 [.250"]</t>
  </si>
  <si>
    <t>9.53 [.375"]</t>
  </si>
  <si>
    <t>5 [.197"]</t>
  </si>
  <si>
    <t>3 [.118"]</t>
  </si>
  <si>
    <t>3mm GT2</t>
  </si>
  <si>
    <t>9 [.354"]</t>
  </si>
  <si>
    <t>5.90 [.232"]</t>
  </si>
  <si>
    <t>8.94 [.352"]</t>
  </si>
  <si>
    <t>11.76 [.463"]</t>
  </si>
  <si>
    <t>15 [.591"]</t>
  </si>
  <si>
    <t>Gear Sizes</t>
  </si>
  <si>
    <t>.5" Hex</t>
  </si>
  <si>
    <t>.375" Hex</t>
  </si>
  <si>
    <t>18 (A&amp;S)</t>
  </si>
  <si>
    <t>20 (A&amp;S)</t>
  </si>
  <si>
    <t>22 (A&amp;S)</t>
  </si>
  <si>
    <t>24 (A&amp;S)</t>
  </si>
  <si>
    <t>26 (A&amp;S)</t>
  </si>
  <si>
    <t>28 (A&amp;S)</t>
  </si>
  <si>
    <t>30 (A&amp;S)</t>
  </si>
  <si>
    <t>32 (A&amp;S)</t>
  </si>
  <si>
    <t>48 (VK)</t>
  </si>
  <si>
    <t>54 (VK)</t>
  </si>
  <si>
    <t>60 (VK)</t>
  </si>
  <si>
    <t>66 (VK)</t>
  </si>
  <si>
    <t>70 (VK)</t>
  </si>
  <si>
    <t>14 (A&amp;S)</t>
  </si>
  <si>
    <t>16 (A&amp;S)</t>
  </si>
  <si>
    <t>Bolt Circle</t>
  </si>
  <si>
    <t>CIM Pinion</t>
  </si>
  <si>
    <t>12 (A&amp;S)</t>
  </si>
  <si>
    <t>15 (32dp)</t>
  </si>
  <si>
    <t>Ball Shifter</t>
  </si>
  <si>
    <t>Dog Shifter</t>
  </si>
  <si>
    <t>32dp</t>
  </si>
  <si>
    <t>42 (P)</t>
  </si>
  <si>
    <t>44 (P)</t>
  </si>
  <si>
    <t>54 (VK)(P)</t>
  </si>
  <si>
    <t>60 (VK)(P)</t>
  </si>
  <si>
    <t>64 (VK)(P)</t>
  </si>
  <si>
    <t>72 (VK)(P)</t>
  </si>
  <si>
    <t>84 (VK)(P)</t>
  </si>
  <si>
    <t>12 (Pinion)</t>
  </si>
  <si>
    <t>40 (A&amp;S)</t>
  </si>
  <si>
    <t>50 (A&amp;S)(VK)</t>
  </si>
  <si>
    <t>38 (A&amp;S)</t>
  </si>
  <si>
    <t>40 (A&amp;S)(P)</t>
  </si>
  <si>
    <t>56 (A&amp;S)</t>
  </si>
  <si>
    <t>48 (VK)(A&amp;S)</t>
  </si>
  <si>
    <t>48 (A&amp;S)</t>
  </si>
  <si>
    <t>50 (Steel)</t>
  </si>
  <si>
    <t>20 (32dp) (S)</t>
  </si>
  <si>
    <t>11 (S)</t>
  </si>
  <si>
    <t>28 (S)</t>
  </si>
  <si>
    <t>50 (S)</t>
  </si>
  <si>
    <t>32 (S)</t>
  </si>
  <si>
    <t>15 (S)</t>
  </si>
  <si>
    <t>13 (S)</t>
  </si>
  <si>
    <t>35 (S)</t>
  </si>
  <si>
    <t>14 (S)</t>
  </si>
  <si>
    <t>36 (S)</t>
  </si>
  <si>
    <t>34 (S)</t>
  </si>
  <si>
    <t>25 (S)</t>
  </si>
  <si>
    <t>19 (S)</t>
  </si>
  <si>
    <t>21 (S)</t>
  </si>
  <si>
    <t>17 (S)</t>
  </si>
  <si>
    <t>46 (S)</t>
  </si>
  <si>
    <t>85 (S)</t>
  </si>
  <si>
    <t>29 (S)</t>
  </si>
  <si>
    <t>52 (S)</t>
  </si>
  <si>
    <t>56 (S)</t>
  </si>
  <si>
    <t>43 (S)</t>
  </si>
  <si>
    <t>45 (S)</t>
  </si>
  <si>
    <t>60 (S)</t>
  </si>
  <si>
    <t xml:space="preserve">50 (VK)(P) </t>
  </si>
  <si>
    <t>#25 Hub</t>
  </si>
  <si>
    <t>#25 Plate</t>
  </si>
  <si>
    <t>#35 Hub</t>
  </si>
  <si>
    <t>#35 Plate</t>
  </si>
  <si>
    <t>16 (H&amp;R)</t>
  </si>
  <si>
    <t>18 (Hex)</t>
  </si>
  <si>
    <t>22 (H&amp;R)</t>
  </si>
  <si>
    <t>12 (H&amp;R)(Dual)</t>
  </si>
  <si>
    <t>5mm HTD 9</t>
  </si>
  <si>
    <t>5mm HTD 18</t>
  </si>
  <si>
    <t>18 (.5" Hex)</t>
  </si>
  <si>
    <t>36 (.5" Hex)</t>
  </si>
  <si>
    <t>24 (.5" Hex)</t>
  </si>
  <si>
    <t>30 (.5" Hex)</t>
  </si>
  <si>
    <t>60 (.5" Hex)</t>
  </si>
  <si>
    <t>48 (.5" Hex)</t>
  </si>
  <si>
    <t>3mm GT2 9</t>
  </si>
  <si>
    <t>Sprocket/Pulley Sizes</t>
  </si>
  <si>
    <t>5mm HTD 15</t>
  </si>
  <si>
    <t>(S) = Steel</t>
  </si>
  <si>
    <t>(A&amp;S) = Aluminum &amp; Steel</t>
  </si>
  <si>
    <t>18…84 even</t>
  </si>
  <si>
    <t>(P) = Pocketed Available</t>
  </si>
  <si>
    <t>(VK) = VersaKey Available</t>
  </si>
  <si>
    <t>14…54 even</t>
  </si>
  <si>
    <t>(H&amp;R) = Hex &amp; Round</t>
  </si>
  <si>
    <t>42 (VK)</t>
  </si>
  <si>
    <t>(VK) = 1.875" Bolt Circle</t>
  </si>
  <si>
    <t>KEY</t>
  </si>
  <si>
    <t>16 (.375" R)</t>
  </si>
  <si>
    <t>10 (CIM)</t>
  </si>
  <si>
    <t>16 (CIM)</t>
  </si>
  <si>
    <t>(Dual) = Dual Sprocket</t>
  </si>
  <si>
    <t>12 (H&amp;R)</t>
  </si>
  <si>
    <t>16 (H&amp;R)(Dual)</t>
  </si>
  <si>
    <t>15 (H&amp;R)</t>
  </si>
  <si>
    <t>Motor Specs</t>
  </si>
  <si>
    <t xml:space="preserve">Snowblower </t>
  </si>
  <si>
    <t>Free Speed</t>
  </si>
  <si>
    <t>Drive Gearbox Reductions</t>
  </si>
  <si>
    <t>WCP SS</t>
  </si>
  <si>
    <t>Vex SS/SR</t>
  </si>
  <si>
    <t>Vex SS/DR</t>
  </si>
  <si>
    <t>3.67/8.33</t>
  </si>
  <si>
    <t>11.73/26.67</t>
  </si>
  <si>
    <t>9.87/20.83</t>
  </si>
  <si>
    <t>6.60/15.00</t>
  </si>
  <si>
    <t>5.39/12.26</t>
  </si>
  <si>
    <t>9.07/19.61</t>
  </si>
  <si>
    <t>9.07/24.00</t>
  </si>
  <si>
    <t>9.07/33.33</t>
  </si>
  <si>
    <t>7.08/15.32</t>
  </si>
  <si>
    <t>7.08/18.75</t>
  </si>
  <si>
    <t>7.08/26.04</t>
  </si>
  <si>
    <t>5.10/11.03</t>
  </si>
  <si>
    <t>5.10/13.50</t>
  </si>
  <si>
    <t>5.10/18.75</t>
  </si>
  <si>
    <t>4.17/9.01</t>
  </si>
  <si>
    <t>4.17/11.03</t>
  </si>
  <si>
    <t>4.17/15.32</t>
  </si>
  <si>
    <t>2.83/6.13</t>
  </si>
  <si>
    <t>2.83/7.50</t>
  </si>
  <si>
    <t>2.83/10.42</t>
  </si>
  <si>
    <t>6.25/4.40</t>
  </si>
  <si>
    <t>6.25/3.53</t>
  </si>
  <si>
    <t>6.73/4.74</t>
  </si>
  <si>
    <t>6.73/3.80</t>
  </si>
  <si>
    <t>7.29/4.12</t>
  </si>
  <si>
    <t>7.29/5.13</t>
  </si>
  <si>
    <t>7.95/4.49</t>
  </si>
  <si>
    <t>7.95/5.60</t>
  </si>
  <si>
    <t>12.86/3.53</t>
  </si>
  <si>
    <t>12.83/4.40</t>
  </si>
  <si>
    <t>12.86/6.25</t>
  </si>
  <si>
    <t>13.85/3.80</t>
  </si>
  <si>
    <t>13.85/4.74</t>
  </si>
  <si>
    <t>13.85/6.73</t>
  </si>
  <si>
    <t>15.00/4.12</t>
  </si>
  <si>
    <t>15.00/5.13</t>
  </si>
  <si>
    <t>15.00/7.29</t>
  </si>
  <si>
    <t>16.36/4.49</t>
  </si>
  <si>
    <t>16.36/7.95</t>
  </si>
  <si>
    <t>WCP DS</t>
  </si>
  <si>
    <t>EVO Shifter</t>
  </si>
  <si>
    <t>TB Micro</t>
  </si>
  <si>
    <t>TB Mini</t>
  </si>
  <si>
    <t>Toughbox</t>
  </si>
  <si>
    <t>3CIM4U</t>
  </si>
  <si>
    <t>Sonic Shifter</t>
  </si>
  <si>
    <t>11.80/30.10</t>
  </si>
  <si>
    <t>9.40/24.00</t>
  </si>
  <si>
    <t>7.50/30.10</t>
  </si>
  <si>
    <t>6.00/24.00</t>
  </si>
  <si>
    <t>2 CIM BS</t>
  </si>
  <si>
    <t>3 CIM BS</t>
  </si>
  <si>
    <t>Rocketbox</t>
  </si>
  <si>
    <t>16.36/5.60</t>
  </si>
  <si>
    <t>WCP Flip DS</t>
  </si>
  <si>
    <t xml:space="preserve"> </t>
  </si>
  <si>
    <t>CIM + Mini</t>
  </si>
  <si>
    <t>CIM + 2 Mini</t>
  </si>
  <si>
    <t>2 CIM + Mini</t>
  </si>
  <si>
    <t>link</t>
  </si>
  <si>
    <t>Weight on Driven Wheels</t>
  </si>
  <si>
    <t>Drivetrain Calculator</t>
  </si>
  <si>
    <t>Motors per Gearbox</t>
  </si>
  <si>
    <t>Gearboxes in Drive</t>
  </si>
  <si>
    <t>Speed Loss Coefficient</t>
  </si>
  <si>
    <t>Wheel Friction Coeff.</t>
  </si>
  <si>
    <t>Drive Gear</t>
  </si>
  <si>
    <t xml:space="preserve">Reduction: </t>
  </si>
  <si>
    <t>Adj. Speed</t>
  </si>
  <si>
    <t>Push Current</t>
  </si>
  <si>
    <t>Wheel 2 Diameter</t>
  </si>
  <si>
    <t>Wheel 2 Friction Coeff.</t>
  </si>
  <si>
    <t>2-Speed? (put any value in the box)</t>
  </si>
  <si>
    <t>Final Ratio</t>
  </si>
  <si>
    <t>Second Speed</t>
  </si>
  <si>
    <t>dp</t>
  </si>
  <si>
    <t>Drivetrain Calculator:</t>
  </si>
  <si>
    <t>Chain/Belt C-C Calculator:</t>
  </si>
  <si>
    <t>Gear Size Calculator:</t>
  </si>
  <si>
    <t>Useful Values:</t>
  </si>
  <si>
    <t>This sheet calculates the other characteristics of a given mechanism that satisfies a certain characteristic (e.g. gear ratio, loaded linear velocity, stall load, current per motor, etc). Use this sheet to determine the needed type and number of motors and gear ratio to give a mechanism certain characteristics. Equations partially derived from JVN's Mechanical Design Calculator and Ether's Simple Motor Calculator.</t>
  </si>
  <si>
    <t>This sheet contains useful dimensions, sizes, and specifications for FRC COTS parts. Includes belt &amp; chain dimensions; gear, sprocket, and belt sizes;  motor specifications; and COTS FRC drive gearbox reduction options. Parts listed are from VexPro, AndyMark, and West Coast Products.</t>
  </si>
  <si>
    <t>Sources:</t>
  </si>
  <si>
    <t>JVN's Mechanical Design Calculator</t>
  </si>
  <si>
    <t>Clem1640's Chain/Belt Calculator</t>
  </si>
  <si>
    <t>Ether's Simple Motor Calculator</t>
  </si>
  <si>
    <t>AMB Design Spreadsheet</t>
  </si>
  <si>
    <t>Mechanism Gear Ratio Calculator</t>
  </si>
  <si>
    <t>Mechanism Gear Ratio Calculator:</t>
  </si>
  <si>
    <t>Amps per Motor</t>
  </si>
  <si>
    <t>Current Per Motor (A)</t>
  </si>
  <si>
    <t>Gear 1 Teeth</t>
  </si>
  <si>
    <t>Gear 1 dp</t>
  </si>
  <si>
    <t>Gear 2 Teeth</t>
  </si>
  <si>
    <t>Gear 3 Teeth</t>
  </si>
  <si>
    <t>Gear 2/3 dp</t>
  </si>
  <si>
    <t>Gear 4 Teeth</t>
  </si>
  <si>
    <t>Gear 4 dp</t>
  </si>
  <si>
    <t>Axle Type</t>
  </si>
  <si>
    <t>1/2 Hex</t>
  </si>
  <si>
    <t>Clears Axle?</t>
  </si>
  <si>
    <t>Gear Clearance Calculator</t>
  </si>
  <si>
    <t>Ratio &amp; Distance Calculator</t>
  </si>
  <si>
    <t>Standard C-C Additions</t>
  </si>
  <si>
    <t>inch</t>
  </si>
  <si>
    <t>mm</t>
  </si>
  <si>
    <t>Standard Chain/Belt Pitches</t>
  </si>
  <si>
    <t>Shift Spread</t>
  </si>
  <si>
    <t>Ratio Tester</t>
  </si>
  <si>
    <t>775pro/Redline</t>
  </si>
  <si>
    <t>Dynamo</t>
  </si>
  <si>
    <t>Free Speed (rpm)</t>
  </si>
  <si>
    <t>Stall Torque (Nm)</t>
  </si>
  <si>
    <t>Clears Gear 4?</t>
  </si>
  <si>
    <t>At Stall</t>
  </si>
  <si>
    <t>Window Motor</t>
  </si>
  <si>
    <t>Voltage</t>
  </si>
  <si>
    <r>
      <rPr>
        <sz val="11"/>
        <rFont val="Symbol"/>
        <family val="1"/>
        <charset val="2"/>
      </rPr>
      <t>D</t>
    </r>
    <r>
      <rPr>
        <sz val="11"/>
        <color theme="1"/>
        <rFont val="Calibri"/>
        <family val="2"/>
        <scheme val="minor"/>
      </rPr>
      <t>y/</t>
    </r>
    <r>
      <rPr>
        <sz val="11"/>
        <rFont val="Symbol"/>
        <family val="1"/>
        <charset val="2"/>
      </rPr>
      <t>D</t>
    </r>
    <r>
      <rPr>
        <sz val="11"/>
        <color theme="1"/>
        <rFont val="Calibri"/>
        <family val="2"/>
        <scheme val="minor"/>
      </rPr>
      <t>x</t>
    </r>
  </si>
  <si>
    <r>
      <t>D</t>
    </r>
    <r>
      <rPr>
        <vertAlign val="subscript"/>
        <sz val="11"/>
        <color theme="1"/>
        <rFont val="Calibri"/>
        <family val="2"/>
        <scheme val="minor"/>
      </rPr>
      <t>(Estimated)</t>
    </r>
  </si>
  <si>
    <t>Stall Voltage (V)</t>
  </si>
  <si>
    <t>C-C dist (in)</t>
  </si>
  <si>
    <t xml:space="preserve"> Approximate distance between pulley centers -&gt;</t>
  </si>
  <si>
    <t>Round to nearest multiple or force rounding up or down -&gt;</t>
  </si>
  <si>
    <t>Force # links to be a multiple of this number -&gt;</t>
  </si>
  <si>
    <t>&lt;- Exact C-C distance</t>
  </si>
  <si>
    <t>&lt;- # of links/teeth in the chain/belt</t>
  </si>
  <si>
    <t>&lt;- Length of chain/belt</t>
  </si>
  <si>
    <t>&lt;- Space between sprockets (must be positive)</t>
  </si>
  <si>
    <t>Exact C-C distance -&gt;</t>
  </si>
  <si>
    <t>Length of chain/belt -&gt;</t>
  </si>
  <si>
    <t># of links/teeth in the chain/belt -&gt;</t>
  </si>
  <si>
    <t>Space between sprockets (must be positive) -&gt;</t>
  </si>
  <si>
    <t>Pitch Dia.</t>
  </si>
  <si>
    <t>Characteristic of chain/belt (defines units) -&gt;</t>
  </si>
  <si>
    <t>Pulley 1 effective diameter -&gt;</t>
  </si>
  <si>
    <t>Pulley 2 effective diameter -&gt;</t>
  </si>
  <si>
    <t>&lt;- Total gear ratio between motor and mechanism output</t>
  </si>
  <si>
    <t>&lt;- Speed the mechanism rotates when no load is applied</t>
  </si>
  <si>
    <t>&lt;- Speed the mechanism rotates when load is applied</t>
  </si>
  <si>
    <t>&lt;- Tangential speed at given radius when no load is applied</t>
  </si>
  <si>
    <t>&lt;- Tangential speed at given radius when load is applied</t>
  </si>
  <si>
    <t>&lt;- Current each motor in the system draws under the specified load</t>
  </si>
  <si>
    <t>&lt;- Maximum load that the mechanism can lift before backdriving</t>
  </si>
  <si>
    <t>&lt;- Voltage needed to hold the specified load in position</t>
  </si>
  <si>
    <t>Stall Load</t>
  </si>
  <si>
    <t>x</t>
  </si>
  <si>
    <t>Max. Efficiency</t>
  </si>
  <si>
    <t>Different-radius wheels? (put any value in the box)</t>
  </si>
  <si>
    <t>Release Angle (° from horiz.)</t>
  </si>
  <si>
    <t>Target Angle (° from horiz.)</t>
  </si>
  <si>
    <t>Forward</t>
  </si>
  <si>
    <t>Reverse</t>
  </si>
  <si>
    <t>Show Reverse? (put any value in the box)</t>
  </si>
  <si>
    <t>step</t>
  </si>
  <si>
    <t>Plotting Data (Don't Touch)</t>
  </si>
  <si>
    <t>Pneumatics Calculator</t>
  </si>
  <si>
    <t>Action 1</t>
  </si>
  <si>
    <t>Action 2</t>
  </si>
  <si>
    <t>Action 3</t>
  </si>
  <si>
    <t>Action 4</t>
  </si>
  <si>
    <t>Action 5</t>
  </si>
  <si>
    <t>Action 6</t>
  </si>
  <si>
    <t>Action 7</t>
  </si>
  <si>
    <t>Action 8</t>
  </si>
  <si>
    <t>Tank 1</t>
  </si>
  <si>
    <t>Tank 2</t>
  </si>
  <si>
    <t>Tank 3</t>
  </si>
  <si>
    <t>Tank 4</t>
  </si>
  <si>
    <t>Diameter (in)</t>
  </si>
  <si>
    <t>Tank Volume (in3)</t>
  </si>
  <si>
    <t>Rod Diameter (in)</t>
  </si>
  <si>
    <t># of Tanks</t>
  </si>
  <si>
    <t>Stroke Length (in)</t>
  </si>
  <si>
    <t>Tank Pressure (psig)</t>
  </si>
  <si>
    <t>Total Tanks Vol. (in3)</t>
  </si>
  <si>
    <t>Push Pressure (psig)</t>
  </si>
  <si>
    <t>Max. Push Force (lbsf)</t>
  </si>
  <si>
    <t>Compressor Flow (cfm)</t>
  </si>
  <si>
    <t>Compressor Time (s)</t>
  </si>
  <si>
    <t>Compressed Vol. (in3)</t>
  </si>
  <si>
    <t>Pull Pressure (psig)</t>
  </si>
  <si>
    <t>Max. Pull Force (lbsf)</t>
  </si>
  <si>
    <t>Total Available Vol. (in3)</t>
  </si>
  <si>
    <t># Pushes per Cycle</t>
  </si>
  <si>
    <t>Leftover Air @ atm. (in3)</t>
  </si>
  <si>
    <t># Pulls per Cycle</t>
  </si>
  <si>
    <t>Final Pressure (psig)</t>
  </si>
  <si>
    <t>Time per Cycle (s)</t>
  </si>
  <si>
    <t>Time Spent Cycling (s)</t>
  </si>
  <si>
    <t>Refil Time (s)</t>
  </si>
  <si>
    <t>Volume Rate (in3/s)</t>
  </si>
  <si>
    <t>Refil Time from 0 (s)</t>
  </si>
  <si>
    <t>Vol. Usage (in3)</t>
  </si>
  <si>
    <t>Total Vol. Usage (in3)</t>
  </si>
  <si>
    <t>&lt;- Estimate of compressor flow*</t>
  </si>
  <si>
    <t>* Don't use rated max compressor flow, since the compressor gets less efficient as it heats up and it builds pressure</t>
  </si>
  <si>
    <t>&lt;- Time the compressor is running during the match</t>
  </si>
  <si>
    <t>&lt;- Should be above the highest pressure action</t>
  </si>
  <si>
    <t>&lt;- Time to refil the compressor if air is not vented post-match</t>
  </si>
  <si>
    <t>&lt;- Time to refil the compressor if air is vented post-match</t>
  </si>
  <si>
    <t>Up</t>
  </si>
  <si>
    <t>Standard practice in un-tensioned chain/belts is to add the "Standard C-C Addition" to the exact distance</t>
  </si>
  <si>
    <t>Selected values should be between the associated Max. Power and Max. Efficiency values to keep the motor in a safe place on its curve</t>
  </si>
  <si>
    <t>Gear Pitch (dp)</t>
  </si>
  <si>
    <t>Driving Gear (teeth)</t>
  </si>
  <si>
    <t>Sprint Distance Calculator</t>
  </si>
  <si>
    <t>G</t>
  </si>
  <si>
    <t>flag</t>
  </si>
  <si>
    <t>b</t>
  </si>
  <si>
    <t>c</t>
  </si>
  <si>
    <t>d</t>
  </si>
  <si>
    <t>f(c )</t>
  </si>
  <si>
    <t>f(d)</t>
  </si>
  <si>
    <t>Optimal Gear Ratio</t>
  </si>
  <si>
    <t>Time to Distance (sec)</t>
  </si>
  <si>
    <t>Optimization Calculation (Don't Touch)</t>
  </si>
  <si>
    <t>f(G)</t>
  </si>
  <si>
    <t>Sprint Distance Calculator:</t>
  </si>
  <si>
    <t>Ether's Drivetrain Acceleration Model</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</si>
  <si>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</si>
  <si>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The Gear Clearance Calculator calculates whether or not two sets of parallel gears will hit each other, and if not, how much clearance they will have. It also calculates whether or not the first gear will clear the second shaft with no gear on it.</t>
  </si>
  <si>
    <t>Golden-Section Search</t>
  </si>
  <si>
    <t>Pneumatics Calculator:</t>
  </si>
  <si>
    <t>Version 2.0</t>
  </si>
  <si>
    <t>Made by Ari Meles-Braverman: Mentor, FRC 5987</t>
  </si>
  <si>
    <t>Projectile Trajectory Calclulator</t>
  </si>
  <si>
    <t>Note: does not account for air resistance or projectile spin</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</si>
  <si>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</si>
  <si>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 xml:space="preserve">This sheet has two calculations. The Ratio &amp; Distance Calculator calculates the gear pair that have a given reduction and C-C distance, and then calculates the pitch and clearance diameter for both gears. </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</si>
  <si>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</si>
  <si>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 Equations partially derived from JVN's Mechanical Design Calculator.</t>
  </si>
  <si>
    <t>Projectile Trajectory Calculator</t>
  </si>
  <si>
    <t>Use this tool to get ballpark numbers to help with prototyping, not to replace it</t>
  </si>
  <si>
    <t>High Gear Ratio</t>
  </si>
  <si>
    <t>Low Gear Ratio</t>
  </si>
  <si>
    <t>Sprint Distance (ft)</t>
  </si>
  <si>
    <t>Graph:</t>
  </si>
  <si>
    <t>Robot Weight (lbs)</t>
  </si>
  <si>
    <t>Wheel Diameter (in)</t>
  </si>
  <si>
    <t>Reverse Single</t>
  </si>
  <si>
    <t>Radius (in)</t>
  </si>
  <si>
    <t>Load (lbs)</t>
  </si>
  <si>
    <t>Single Speed</t>
  </si>
  <si>
    <t>Shifting</t>
  </si>
  <si>
    <t>This sheet calculates the time needed for a drivetrain to travel a certain distance, factoring in that it takes time for the robot to accelerate to top speed. There are two calculation options. The Forward calculation allows you to select a gear ratio and distance, and tells you how long it will take for the robot to move that distance. For the single-speed option, you choose one drive ratio. For the shifing option, you choose two ratios. The Reverse calculation asks only for the required distance to travel, and uses a Golden-Section Search to calculate the optimal gear ratio that will allow the robot to travel that distance as fast as possible. Equations partially derived from Ether's Drivetrain Acceleration Model.</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</si>
</sst>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000"/>
    <numFmt numFmtId="165" formatCode="0.00\:\1"/>
    <numFmt numFmtId="166" formatCode="0.0"/>
    <numFmt numFmtId="167" formatCode="0.00\x"/>
    <numFmt numFmtId="168" formatCode="0.000\&quot;"/>
    <numFmt numFmtId="170" formatCode="0.00000"/>
    <numFmt numFmtId="172" formatCode="0.0000000"/>
    <numFmt numFmtId="175" formatCode="0.0000000000"/>
    <numFmt numFmtId="177" formatCode="0.000000000000"/>
  </numFmts>
  <fonts count="22"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vertAlign val="subscript"/>
      <sz val="11"/>
      <color theme="1"/>
      <name val="Calibri"/>
      <family val="2"/>
      <scheme val="minor"/>
    </font>
    <font>
      <sz val="11"/>
      <name val="Calibri"/>
      <family val="2"/>
      <scheme val="minor"/>
    </font>
    <font>
      <sz val="10"/>
      <name val="Arial"/>
      <family val="2"/>
    </font>
    <font>
      <sz val="12"/>
      <color theme="1"/>
      <name val="Calibri"/>
      <family val="2"/>
      <scheme val="minor"/>
    </font>
    <font>
      <sz val="24"/>
      <color theme="1"/>
      <name val="Calibri"/>
      <family val="2"/>
      <scheme val="minor"/>
    </font>
    <font>
      <sz val="10"/>
      <color theme="1"/>
      <name val="Arial"/>
      <family val="2"/>
    </font>
    <font>
      <b/>
      <sz val="10"/>
      <name val="Arial"/>
      <family val="2"/>
    </font>
    <font>
      <b/>
      <sz val="10"/>
      <color theme="1"/>
      <name val="Arial"/>
      <family val="2"/>
    </font>
    <font>
      <u/>
      <sz val="11"/>
      <color theme="10"/>
      <name val="Calibri"/>
      <family val="2"/>
      <scheme val="minor"/>
    </font>
    <font>
      <sz val="24"/>
      <color rgb="FFFF0000"/>
      <name val="Calibri"/>
      <family val="2"/>
      <scheme val="minor"/>
    </font>
    <font>
      <u/>
      <sz val="11"/>
      <color theme="1"/>
      <name val="Calibri"/>
      <family val="2"/>
      <scheme val="minor"/>
    </font>
    <font>
      <sz val="11"/>
      <name val="Symbol"/>
      <family val="1"/>
      <charset val="2"/>
    </font>
    <font>
      <sz val="11"/>
      <name val="Arial"/>
      <family val="2"/>
    </font>
    <font>
      <b/>
      <sz val="11"/>
      <name val="Calibri"/>
      <family val="2"/>
      <scheme val="minor"/>
    </font>
    <font>
      <b/>
      <sz val="14"/>
      <name val="Calibri"/>
      <family val="2"/>
      <scheme val="minor"/>
    </font>
    <font>
      <sz val="24"/>
      <name val="Calibri"/>
      <family val="2"/>
      <scheme val="minor"/>
    </font>
    <font>
      <b/>
      <sz val="12"/>
      <color theme="1" tint="0.249977111117893"/>
      <name val="Calibri"/>
      <family val="2"/>
      <scheme val="minor"/>
    </font>
  </fonts>
  <fills count="7">
    <fill>
      <patternFill patternType="none"/>
    </fill>
    <fill>
      <patternFill patternType="gray125"/>
    </fill>
    <fill>
      <patternFill patternType="solid">
        <fgColor theme="5" tint="0.59999389629810485"/>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0"/>
        <bgColor indexed="64"/>
      </patternFill>
    </fill>
    <fill>
      <patternFill patternType="solid">
        <fgColor theme="5"/>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theme="1" tint="0.499984740745262"/>
      </bottom>
      <diagonal/>
    </border>
    <border>
      <left/>
      <right style="thin">
        <color indexed="64"/>
      </right>
      <top style="thin">
        <color indexed="64"/>
      </top>
      <bottom style="thin">
        <color theme="1" tint="0.499984740745262"/>
      </bottom>
      <diagonal/>
    </border>
    <border>
      <left style="thin">
        <color theme="1" tint="0.499984740745262"/>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indexed="64"/>
      </bottom>
      <diagonal/>
    </border>
    <border>
      <left style="thin">
        <color indexed="64"/>
      </left>
      <right style="thin">
        <color theme="1" tint="0.499984740745262"/>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theme="0" tint="-0.499984740745262"/>
      </right>
      <top style="thin">
        <color indexed="64"/>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style="thin">
        <color indexed="64"/>
      </bottom>
      <diagonal/>
    </border>
    <border>
      <left style="thin">
        <color indexed="64"/>
      </left>
      <right style="thin">
        <color theme="1" tint="0.499984740745262"/>
      </right>
      <top style="thin">
        <color indexed="64"/>
      </top>
      <bottom style="thin">
        <color theme="1" tint="0.499984740745262"/>
      </bottom>
      <diagonal/>
    </border>
    <border>
      <left style="thin">
        <color theme="1" tint="0.499984740745262"/>
      </left>
      <right style="thin">
        <color indexed="64"/>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indexed="64"/>
      </bottom>
      <diagonal/>
    </border>
    <border>
      <left style="thin">
        <color indexed="64"/>
      </left>
      <right style="thin">
        <color indexed="64"/>
      </right>
      <top/>
      <bottom/>
      <diagonal/>
    </border>
    <border>
      <left style="thin">
        <color indexed="64"/>
      </left>
      <right style="thin">
        <color indexed="64"/>
      </right>
      <top/>
      <bottom style="thin">
        <color theme="1" tint="0.499984740745262"/>
      </bottom>
      <diagonal/>
    </border>
    <border>
      <left style="thin">
        <color indexed="64"/>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indexed="64"/>
      </left>
      <right style="thin">
        <color indexed="64"/>
      </right>
      <top style="thin">
        <color theme="1" tint="0.499984740745262"/>
      </top>
      <bottom/>
      <diagonal/>
    </border>
    <border>
      <left style="thin">
        <color indexed="64"/>
      </left>
      <right/>
      <top/>
      <bottom style="thin">
        <color theme="1" tint="0.499984740745262"/>
      </bottom>
      <diagonal/>
    </border>
    <border>
      <left style="thin">
        <color indexed="64"/>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thin">
        <color indexed="64"/>
      </right>
      <top style="thin">
        <color theme="1" tint="0.499984740745262"/>
      </top>
      <bottom style="thin">
        <color indexed="64"/>
      </bottom>
      <diagonal/>
    </border>
    <border>
      <left/>
      <right style="thin">
        <color indexed="64"/>
      </right>
      <top style="thin">
        <color theme="1" tint="0.499984740745262"/>
      </top>
      <bottom style="thin">
        <color theme="1" tint="0.499984740745262"/>
      </bottom>
      <diagonal/>
    </border>
    <border>
      <left/>
      <right style="thin">
        <color indexed="64"/>
      </right>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right style="thin">
        <color theme="1" tint="0.499984740745262"/>
      </right>
      <top style="thin">
        <color indexed="64"/>
      </top>
      <bottom style="thin">
        <color theme="1" tint="0.499984740745262"/>
      </bottom>
      <diagonal/>
    </border>
    <border>
      <left/>
      <right style="thin">
        <color theme="1" tint="0.499984740745262"/>
      </right>
      <top style="thin">
        <color theme="1" tint="0.499984740745262"/>
      </top>
      <bottom style="thin">
        <color indexed="64"/>
      </bottom>
      <diagonal/>
    </border>
    <border>
      <left/>
      <right style="thin">
        <color indexed="64"/>
      </right>
      <top style="thin">
        <color indexed="64"/>
      </top>
      <bottom/>
      <diagonal/>
    </border>
    <border>
      <left/>
      <right style="thin">
        <color indexed="64"/>
      </right>
      <top style="thin">
        <color theme="1" tint="0.499984740745262"/>
      </top>
      <bottom style="thin">
        <color indexed="64"/>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s>
  <cellStyleXfs count="4">
    <xf numFmtId="0" fontId="0" fillId="0" borderId="0"/>
    <xf numFmtId="9" fontId="1" fillId="0" borderId="0" applyFont="0" applyFill="0" applyBorder="0" applyAlignment="0" applyProtection="0"/>
    <xf numFmtId="0" fontId="8" fillId="0" borderId="0"/>
    <xf numFmtId="0" fontId="13" fillId="0" borderId="0" applyNumberFormat="0" applyFill="0" applyBorder="0" applyAlignment="0" applyProtection="0"/>
  </cellStyleXfs>
  <cellXfs count="239">
    <xf numFmtId="0" fontId="0" fillId="0" borderId="0" xfId="0"/>
    <xf numFmtId="0" fontId="0" fillId="0" borderId="1" xfId="0" applyBorder="1"/>
    <xf numFmtId="0" fontId="0" fillId="3" borderId="1" xfId="0" applyFill="1" applyBorder="1"/>
    <xf numFmtId="0" fontId="0" fillId="3" borderId="16" xfId="0" applyFill="1" applyBorder="1"/>
    <xf numFmtId="0" fontId="0" fillId="2" borderId="16" xfId="0" applyFill="1" applyBorder="1"/>
    <xf numFmtId="0" fontId="9" fillId="0" borderId="0" xfId="0" applyFont="1"/>
    <xf numFmtId="0" fontId="2" fillId="0" borderId="0" xfId="0" applyFont="1"/>
    <xf numFmtId="0" fontId="3" fillId="0" borderId="0" xfId="0" applyFont="1"/>
    <xf numFmtId="0" fontId="0" fillId="0" borderId="0" xfId="0" applyBorder="1"/>
    <xf numFmtId="0" fontId="4" fillId="0" borderId="0" xfId="0" applyFont="1"/>
    <xf numFmtId="0" fontId="0" fillId="0" borderId="0" xfId="0" quotePrefix="1"/>
    <xf numFmtId="0" fontId="0" fillId="0" borderId="19" xfId="0" applyBorder="1"/>
    <xf numFmtId="2" fontId="11" fillId="0" borderId="0" xfId="2" applyNumberFormat="1" applyFont="1" applyBorder="1" applyAlignment="1">
      <alignment horizontal="right" vertical="center" wrapText="1"/>
    </xf>
    <xf numFmtId="0" fontId="3" fillId="0" borderId="1" xfId="0" applyFont="1" applyBorder="1"/>
    <xf numFmtId="0" fontId="0" fillId="0" borderId="20" xfId="0" applyBorder="1"/>
    <xf numFmtId="0" fontId="0" fillId="0" borderId="7" xfId="0" applyBorder="1"/>
    <xf numFmtId="0" fontId="0" fillId="0" borderId="21" xfId="0" applyBorder="1"/>
    <xf numFmtId="0" fontId="0" fillId="0" borderId="22" xfId="0" applyBorder="1"/>
    <xf numFmtId="0" fontId="0" fillId="0" borderId="4" xfId="0" applyBorder="1"/>
    <xf numFmtId="0" fontId="0" fillId="0" borderId="23" xfId="0" applyBorder="1"/>
    <xf numFmtId="0" fontId="0" fillId="0" borderId="12" xfId="0" applyBorder="1"/>
    <xf numFmtId="0" fontId="0" fillId="0" borderId="26" xfId="0" applyBorder="1"/>
    <xf numFmtId="16" fontId="0" fillId="0" borderId="19" xfId="0" quotePrefix="1" applyNumberFormat="1" applyBorder="1"/>
    <xf numFmtId="0" fontId="0" fillId="0" borderId="25" xfId="0" quotePrefix="1" applyBorder="1"/>
    <xf numFmtId="0" fontId="0" fillId="0" borderId="24" xfId="0" quotePrefix="1" applyBorder="1"/>
    <xf numFmtId="0" fontId="0" fillId="0" borderId="0" xfId="0" applyFont="1"/>
    <xf numFmtId="0" fontId="0" fillId="0" borderId="27" xfId="0" applyFont="1" applyBorder="1" applyAlignment="1">
      <alignment horizontal="right"/>
    </xf>
    <xf numFmtId="0" fontId="0" fillId="0" borderId="27" xfId="0" applyBorder="1" applyAlignment="1">
      <alignment horizontal="right"/>
    </xf>
    <xf numFmtId="0" fontId="0" fillId="0" borderId="20" xfId="0" applyBorder="1" applyAlignment="1">
      <alignment horizontal="right"/>
    </xf>
    <xf numFmtId="0" fontId="0" fillId="0" borderId="27" xfId="0" applyBorder="1"/>
    <xf numFmtId="0" fontId="0" fillId="0" borderId="29" xfId="0" applyBorder="1" applyAlignment="1">
      <alignment horizontal="right"/>
    </xf>
    <xf numFmtId="0" fontId="0" fillId="0" borderId="28" xfId="0" applyFont="1" applyFill="1" applyBorder="1" applyAlignment="1">
      <alignment horizontal="right"/>
    </xf>
    <xf numFmtId="0" fontId="0" fillId="0" borderId="29" xfId="0" applyFill="1" applyBorder="1" applyAlignment="1">
      <alignment horizontal="right"/>
    </xf>
    <xf numFmtId="0" fontId="0" fillId="0" borderId="27" xfId="0" applyFill="1" applyBorder="1" applyAlignment="1">
      <alignment horizontal="right"/>
    </xf>
    <xf numFmtId="0" fontId="0" fillId="0" borderId="37" xfId="0" applyFill="1" applyBorder="1" applyAlignment="1">
      <alignment horizontal="right"/>
    </xf>
    <xf numFmtId="0" fontId="0" fillId="0" borderId="29" xfId="0" applyFont="1" applyFill="1" applyBorder="1" applyAlignment="1">
      <alignment horizontal="right"/>
    </xf>
    <xf numFmtId="0" fontId="0" fillId="0" borderId="27" xfId="0" applyFont="1" applyFill="1" applyBorder="1" applyAlignment="1">
      <alignment horizontal="right"/>
    </xf>
    <xf numFmtId="0" fontId="0" fillId="0" borderId="29" xfId="0" applyFont="1" applyFill="1" applyBorder="1"/>
    <xf numFmtId="0" fontId="0" fillId="0" borderId="29" xfId="0" applyFill="1" applyBorder="1"/>
    <xf numFmtId="0" fontId="0" fillId="0" borderId="37" xfId="0" applyFill="1" applyBorder="1"/>
    <xf numFmtId="0" fontId="0" fillId="0" borderId="28" xfId="0" applyFill="1" applyBorder="1"/>
    <xf numFmtId="0" fontId="0" fillId="0" borderId="4" xfId="0" applyFill="1" applyBorder="1" applyAlignment="1">
      <alignment horizontal="right"/>
    </xf>
    <xf numFmtId="0" fontId="0" fillId="0" borderId="28" xfId="0" applyFont="1" applyFill="1" applyBorder="1"/>
    <xf numFmtId="0" fontId="0" fillId="0" borderId="20" xfId="0" applyFont="1" applyFill="1" applyBorder="1" applyAlignment="1">
      <alignment horizontal="right"/>
    </xf>
    <xf numFmtId="0" fontId="3" fillId="0" borderId="1" xfId="0" applyFont="1" applyFill="1" applyBorder="1"/>
    <xf numFmtId="0" fontId="0" fillId="0" borderId="20" xfId="0" applyFill="1" applyBorder="1" applyAlignment="1">
      <alignment horizontal="right"/>
    </xf>
    <xf numFmtId="0" fontId="0" fillId="0" borderId="20" xfId="0" applyFont="1" applyBorder="1"/>
    <xf numFmtId="0" fontId="0" fillId="0" borderId="29" xfId="0" applyBorder="1"/>
    <xf numFmtId="0" fontId="0" fillId="0" borderId="29" xfId="0" applyFont="1" applyBorder="1"/>
    <xf numFmtId="0" fontId="3" fillId="0" borderId="17" xfId="0" applyFont="1" applyFill="1" applyBorder="1"/>
    <xf numFmtId="0" fontId="0" fillId="0" borderId="39" xfId="0" applyBorder="1" applyAlignment="1">
      <alignment horizontal="right"/>
    </xf>
    <xf numFmtId="0" fontId="0" fillId="0" borderId="28" xfId="0" applyFill="1" applyBorder="1" applyAlignment="1">
      <alignment horizontal="right"/>
    </xf>
    <xf numFmtId="0" fontId="0" fillId="0" borderId="28" xfId="0" applyBorder="1" applyAlignment="1">
      <alignment horizontal="right"/>
    </xf>
    <xf numFmtId="0" fontId="0" fillId="0" borderId="5" xfId="0" applyBorder="1"/>
    <xf numFmtId="0" fontId="0" fillId="0" borderId="6" xfId="0" applyBorder="1"/>
    <xf numFmtId="0" fontId="3" fillId="0" borderId="0" xfId="0" applyFont="1" applyBorder="1"/>
    <xf numFmtId="0" fontId="0" fillId="0" borderId="0" xfId="0" applyFont="1" applyBorder="1"/>
    <xf numFmtId="0" fontId="0" fillId="0" borderId="33" xfId="0" applyFill="1" applyBorder="1"/>
    <xf numFmtId="0" fontId="0" fillId="0" borderId="34" xfId="0" applyFill="1" applyBorder="1"/>
    <xf numFmtId="0" fontId="0" fillId="0" borderId="0" xfId="0" applyFill="1"/>
    <xf numFmtId="0" fontId="0" fillId="0" borderId="0" xfId="0" applyFont="1" applyFill="1"/>
    <xf numFmtId="0" fontId="0" fillId="0" borderId="20" xfId="0" applyFont="1" applyFill="1" applyBorder="1"/>
    <xf numFmtId="0" fontId="0" fillId="0" borderId="32" xfId="0" applyBorder="1" applyAlignment="1">
      <alignment horizontal="right"/>
    </xf>
    <xf numFmtId="0" fontId="0" fillId="0" borderId="7" xfId="0" applyFont="1" applyFill="1" applyBorder="1" applyAlignment="1">
      <alignment horizontal="right"/>
    </xf>
    <xf numFmtId="2" fontId="7" fillId="0" borderId="19" xfId="2" applyNumberFormat="1" applyFont="1" applyFill="1" applyBorder="1" applyAlignment="1">
      <alignment horizontal="center" vertical="center" wrapText="1"/>
    </xf>
    <xf numFmtId="2" fontId="10" fillId="0" borderId="19" xfId="2" applyNumberFormat="1" applyFont="1" applyFill="1" applyBorder="1" applyAlignment="1">
      <alignment horizontal="center" vertical="center"/>
    </xf>
    <xf numFmtId="0" fontId="7" fillId="0" borderId="19" xfId="2" applyNumberFormat="1" applyFont="1" applyFill="1" applyBorder="1" applyAlignment="1">
      <alignment horizontal="center" vertical="center" wrapText="1"/>
    </xf>
    <xf numFmtId="0" fontId="7" fillId="0" borderId="35" xfId="2" applyNumberFormat="1" applyFont="1" applyFill="1" applyBorder="1" applyAlignment="1">
      <alignment horizontal="center" vertical="center" wrapText="1"/>
    </xf>
    <xf numFmtId="2" fontId="7" fillId="0" borderId="30" xfId="2" applyNumberFormat="1" applyFont="1" applyFill="1" applyBorder="1" applyAlignment="1">
      <alignment horizontal="center" vertical="center" wrapText="1"/>
    </xf>
    <xf numFmtId="0" fontId="7" fillId="0" borderId="31" xfId="2" applyNumberFormat="1" applyFont="1" applyFill="1" applyBorder="1" applyAlignment="1">
      <alignment horizontal="center" vertical="center" wrapText="1"/>
    </xf>
    <xf numFmtId="1" fontId="7" fillId="0" borderId="35" xfId="2" applyNumberFormat="1" applyFont="1" applyFill="1" applyBorder="1" applyAlignment="1">
      <alignment horizontal="center" vertical="center" wrapText="1"/>
    </xf>
    <xf numFmtId="1" fontId="10" fillId="0" borderId="35" xfId="2" applyNumberFormat="1" applyFont="1" applyFill="1" applyBorder="1" applyAlignment="1">
      <alignment horizontal="center" vertical="center"/>
    </xf>
    <xf numFmtId="1" fontId="7" fillId="0" borderId="36" xfId="2" applyNumberFormat="1" applyFont="1" applyBorder="1" applyAlignment="1">
      <alignment horizontal="center" vertical="center" wrapText="1"/>
    </xf>
    <xf numFmtId="1" fontId="7" fillId="0" borderId="35" xfId="2" applyNumberFormat="1" applyFont="1" applyBorder="1" applyAlignment="1">
      <alignment horizontal="center" vertical="center" wrapText="1"/>
    </xf>
    <xf numFmtId="2" fontId="11" fillId="0" borderId="7" xfId="2" applyNumberFormat="1" applyFont="1" applyFill="1" applyBorder="1" applyAlignment="1">
      <alignment horizontal="right" vertical="center" wrapText="1"/>
    </xf>
    <xf numFmtId="2" fontId="11" fillId="0" borderId="29" xfId="2" applyNumberFormat="1" applyFont="1" applyFill="1" applyBorder="1" applyAlignment="1">
      <alignment horizontal="right" vertical="center" wrapText="1"/>
    </xf>
    <xf numFmtId="0" fontId="12" fillId="0" borderId="29" xfId="2" applyFont="1" applyBorder="1" applyAlignment="1">
      <alignment horizontal="right"/>
    </xf>
    <xf numFmtId="2" fontId="7" fillId="0" borderId="12" xfId="2" applyNumberFormat="1" applyFont="1" applyFill="1" applyBorder="1" applyAlignment="1">
      <alignment horizontal="center" vertical="center" wrapText="1"/>
    </xf>
    <xf numFmtId="2" fontId="10" fillId="0" borderId="22" xfId="2" applyNumberFormat="1" applyFont="1" applyBorder="1" applyAlignment="1">
      <alignment horizontal="center" vertical="center" wrapText="1"/>
    </xf>
    <xf numFmtId="2" fontId="10" fillId="0" borderId="25" xfId="2" applyNumberFormat="1" applyFont="1" applyBorder="1" applyAlignment="1">
      <alignment horizontal="center" vertical="center" wrapText="1"/>
    </xf>
    <xf numFmtId="0" fontId="7" fillId="0" borderId="26" xfId="2" applyNumberFormat="1" applyFont="1" applyFill="1" applyBorder="1" applyAlignment="1">
      <alignment horizontal="center" vertical="center" wrapText="1"/>
    </xf>
    <xf numFmtId="2" fontId="10" fillId="0" borderId="40" xfId="2" applyNumberFormat="1" applyFont="1" applyBorder="1" applyAlignment="1">
      <alignment horizontal="center" vertical="center" wrapText="1"/>
    </xf>
    <xf numFmtId="0" fontId="10" fillId="0" borderId="20" xfId="2" applyFont="1" applyBorder="1" applyAlignment="1">
      <alignment horizontal="right"/>
    </xf>
    <xf numFmtId="0" fontId="12" fillId="0" borderId="27" xfId="2" applyFont="1" applyBorder="1" applyAlignment="1">
      <alignment horizontal="right"/>
    </xf>
    <xf numFmtId="1" fontId="7" fillId="0" borderId="41" xfId="2" applyNumberFormat="1" applyFont="1" applyFill="1" applyBorder="1" applyAlignment="1">
      <alignment horizontal="center" vertical="center" wrapText="1"/>
    </xf>
    <xf numFmtId="1" fontId="7" fillId="0" borderId="42" xfId="2" applyNumberFormat="1" applyFont="1" applyBorder="1" applyAlignment="1">
      <alignment horizontal="center" vertical="center" wrapText="1"/>
    </xf>
    <xf numFmtId="0" fontId="10" fillId="0" borderId="29" xfId="2" applyFont="1" applyBorder="1" applyAlignment="1">
      <alignment horizontal="right"/>
    </xf>
    <xf numFmtId="2" fontId="0" fillId="0" borderId="0" xfId="0" applyNumberFormat="1" applyBorder="1"/>
    <xf numFmtId="0" fontId="0" fillId="0" borderId="0" xfId="0" applyBorder="1" applyAlignment="1">
      <alignment horizontal="right"/>
    </xf>
    <xf numFmtId="2" fontId="11" fillId="0" borderId="5" xfId="2" applyNumberFormat="1" applyFont="1" applyFill="1" applyBorder="1" applyAlignment="1">
      <alignment horizontal="left" vertical="center" wrapText="1"/>
    </xf>
    <xf numFmtId="2" fontId="0" fillId="0" borderId="27" xfId="0" applyNumberFormat="1" applyBorder="1"/>
    <xf numFmtId="2" fontId="0" fillId="0" borderId="27" xfId="0" applyNumberFormat="1" applyFont="1" applyBorder="1"/>
    <xf numFmtId="2" fontId="0" fillId="0" borderId="20" xfId="0" applyNumberFormat="1" applyBorder="1"/>
    <xf numFmtId="0" fontId="0" fillId="0" borderId="20" xfId="0" applyFont="1" applyBorder="1" applyAlignment="1">
      <alignment horizontal="right"/>
    </xf>
    <xf numFmtId="2" fontId="11" fillId="0" borderId="5" xfId="2" applyNumberFormat="1" applyFont="1" applyFill="1" applyBorder="1" applyAlignment="1">
      <alignment horizontal="left" vertical="center"/>
    </xf>
    <xf numFmtId="2" fontId="0" fillId="0" borderId="27" xfId="0" applyNumberFormat="1" applyFill="1" applyBorder="1"/>
    <xf numFmtId="2" fontId="0" fillId="0" borderId="27" xfId="0" applyNumberFormat="1" applyFont="1" applyFill="1" applyBorder="1"/>
    <xf numFmtId="2" fontId="0" fillId="0" borderId="20" xfId="0" applyNumberFormat="1" applyFont="1" applyFill="1" applyBorder="1"/>
    <xf numFmtId="0" fontId="0" fillId="0" borderId="20" xfId="0" applyFill="1" applyBorder="1"/>
    <xf numFmtId="0" fontId="0" fillId="0" borderId="27" xfId="0" applyFill="1" applyBorder="1"/>
    <xf numFmtId="0" fontId="3" fillId="0" borderId="5" xfId="0" applyFont="1" applyFill="1" applyBorder="1" applyAlignment="1">
      <alignment horizontal="left"/>
    </xf>
    <xf numFmtId="2" fontId="0" fillId="0" borderId="32" xfId="0" applyNumberFormat="1" applyBorder="1"/>
    <xf numFmtId="2" fontId="11" fillId="0" borderId="7" xfId="2" applyNumberFormat="1" applyFont="1" applyFill="1" applyBorder="1" applyAlignment="1">
      <alignment horizontal="left" vertical="center" wrapText="1"/>
    </xf>
    <xf numFmtId="0" fontId="0" fillId="0" borderId="32" xfId="0" applyBorder="1"/>
    <xf numFmtId="2" fontId="11" fillId="0" borderId="7" xfId="2" applyNumberFormat="1" applyFont="1" applyFill="1" applyBorder="1" applyAlignment="1">
      <alignment horizontal="left" vertical="center"/>
    </xf>
    <xf numFmtId="2" fontId="0" fillId="0" borderId="32" xfId="0" applyNumberFormat="1" applyFill="1" applyBorder="1"/>
    <xf numFmtId="2" fontId="0" fillId="0" borderId="28" xfId="0" applyNumberFormat="1" applyFont="1" applyFill="1" applyBorder="1"/>
    <xf numFmtId="0" fontId="13" fillId="0" borderId="37" xfId="3" applyBorder="1"/>
    <xf numFmtId="0" fontId="0" fillId="0" borderId="5" xfId="0" applyBorder="1" applyAlignment="1">
      <alignment horizontal="left"/>
    </xf>
    <xf numFmtId="0" fontId="0" fillId="0" borderId="24" xfId="0" applyBorder="1" applyAlignment="1">
      <alignment horizontal="left"/>
    </xf>
    <xf numFmtId="0" fontId="0" fillId="0" borderId="25" xfId="0" applyBorder="1" applyAlignment="1">
      <alignment horizontal="left"/>
    </xf>
    <xf numFmtId="0" fontId="3" fillId="0" borderId="0" xfId="0" applyFont="1" applyAlignment="1">
      <alignment horizontal="left"/>
    </xf>
    <xf numFmtId="0" fontId="0" fillId="2" borderId="1" xfId="0" applyFill="1" applyBorder="1"/>
    <xf numFmtId="0" fontId="8" fillId="0" borderId="0" xfId="0" applyFont="1"/>
    <xf numFmtId="0" fontId="14" fillId="0" borderId="0" xfId="0" applyFont="1"/>
    <xf numFmtId="0" fontId="0" fillId="6" borderId="1" xfId="0" applyFill="1" applyBorder="1"/>
    <xf numFmtId="0" fontId="15" fillId="5" borderId="5" xfId="0" applyFont="1" applyFill="1" applyBorder="1"/>
    <xf numFmtId="0" fontId="0" fillId="5" borderId="27" xfId="0" applyFill="1" applyBorder="1" applyAlignment="1">
      <alignment wrapText="1"/>
    </xf>
    <xf numFmtId="0" fontId="0" fillId="5" borderId="20" xfId="0" applyFill="1" applyBorder="1"/>
    <xf numFmtId="0" fontId="13" fillId="5" borderId="27" xfId="3" applyFill="1" applyBorder="1"/>
    <xf numFmtId="0" fontId="3" fillId="0" borderId="5" xfId="0" applyFont="1" applyBorder="1"/>
    <xf numFmtId="0" fontId="3" fillId="0" borderId="43" xfId="0" applyFont="1" applyBorder="1"/>
    <xf numFmtId="2" fontId="11" fillId="0" borderId="15" xfId="2" applyNumberFormat="1" applyFont="1" applyBorder="1" applyAlignment="1">
      <alignment horizontal="center" vertical="center" wrapText="1"/>
    </xf>
    <xf numFmtId="2" fontId="11" fillId="0" borderId="11" xfId="2" applyNumberFormat="1" applyFont="1" applyBorder="1" applyAlignment="1">
      <alignment horizontal="center" vertical="center" wrapText="1"/>
    </xf>
    <xf numFmtId="2" fontId="11" fillId="0" borderId="10" xfId="2" applyNumberFormat="1" applyFont="1" applyBorder="1" applyAlignment="1">
      <alignment horizontal="center" vertical="center" wrapText="1"/>
    </xf>
    <xf numFmtId="0" fontId="0" fillId="0" borderId="18" xfId="0" applyFont="1" applyBorder="1"/>
    <xf numFmtId="0" fontId="0" fillId="0" borderId="1" xfId="0" applyFont="1" applyBorder="1"/>
    <xf numFmtId="0" fontId="0" fillId="0" borderId="1" xfId="0" applyFont="1" applyFill="1" applyBorder="1"/>
    <xf numFmtId="1" fontId="0" fillId="0" borderId="1" xfId="0" applyNumberFormat="1" applyFont="1" applyBorder="1" applyAlignment="1">
      <alignment horizontal="center"/>
    </xf>
    <xf numFmtId="0" fontId="0" fillId="3" borderId="1" xfId="0" applyFont="1" applyFill="1" applyBorder="1"/>
    <xf numFmtId="164" fontId="0" fillId="2" borderId="1" xfId="0" applyNumberFormat="1" applyFont="1" applyFill="1" applyBorder="1"/>
    <xf numFmtId="2" fontId="0" fillId="0" borderId="1" xfId="0" applyNumberFormat="1" applyFont="1" applyBorder="1" applyAlignment="1">
      <alignment horizontal="center"/>
    </xf>
    <xf numFmtId="166" fontId="0" fillId="0" borderId="1" xfId="0" applyNumberFormat="1" applyFont="1" applyBorder="1" applyAlignment="1">
      <alignment horizontal="center"/>
    </xf>
    <xf numFmtId="165" fontId="0" fillId="0" borderId="0" xfId="0" applyNumberFormat="1" applyFont="1"/>
    <xf numFmtId="0" fontId="0" fillId="0" borderId="2" xfId="0" applyFont="1" applyFill="1" applyBorder="1"/>
    <xf numFmtId="2" fontId="0" fillId="2" borderId="16" xfId="0" applyNumberFormat="1" applyFont="1" applyFill="1" applyBorder="1"/>
    <xf numFmtId="0" fontId="0" fillId="0" borderId="18" xfId="0" applyFont="1" applyFill="1" applyBorder="1"/>
    <xf numFmtId="165" fontId="0" fillId="2" borderId="16" xfId="0" applyNumberFormat="1" applyFont="1" applyFill="1" applyBorder="1"/>
    <xf numFmtId="167" fontId="0" fillId="2" borderId="16" xfId="0" applyNumberFormat="1" applyFont="1" applyFill="1" applyBorder="1"/>
    <xf numFmtId="0" fontId="0" fillId="4" borderId="8" xfId="0" applyFont="1" applyFill="1" applyBorder="1" applyAlignment="1">
      <alignment horizontal="center" vertical="top"/>
    </xf>
    <xf numFmtId="0" fontId="16" fillId="4" borderId="12" xfId="0" applyFont="1" applyFill="1" applyBorder="1" applyAlignment="1">
      <alignment horizontal="center" vertical="top"/>
    </xf>
    <xf numFmtId="0" fontId="0" fillId="4" borderId="12" xfId="0" applyFont="1" applyFill="1" applyBorder="1" applyAlignment="1">
      <alignment horizontal="center" vertical="top"/>
    </xf>
    <xf numFmtId="0" fontId="0" fillId="4" borderId="12" xfId="0" applyFont="1" applyFill="1" applyBorder="1" applyAlignment="1">
      <alignment horizontal="center"/>
    </xf>
    <xf numFmtId="0" fontId="17" fillId="4" borderId="9" xfId="0" applyFont="1" applyFill="1" applyBorder="1"/>
    <xf numFmtId="0" fontId="0" fillId="4" borderId="2" xfId="0" applyFont="1" applyFill="1" applyBorder="1"/>
    <xf numFmtId="0" fontId="0" fillId="4" borderId="13" xfId="0" applyFont="1" applyFill="1" applyBorder="1"/>
    <xf numFmtId="0" fontId="0" fillId="4" borderId="3" xfId="0" applyFont="1" applyFill="1" applyBorder="1"/>
    <xf numFmtId="0" fontId="0" fillId="0" borderId="4" xfId="0" applyFont="1" applyBorder="1"/>
    <xf numFmtId="168" fontId="0" fillId="0" borderId="25" xfId="0" applyNumberFormat="1" applyFont="1" applyBorder="1"/>
    <xf numFmtId="168" fontId="0" fillId="0" borderId="38" xfId="0" applyNumberFormat="1" applyFont="1" applyBorder="1"/>
    <xf numFmtId="168" fontId="0" fillId="0" borderId="29" xfId="0" applyNumberFormat="1" applyFont="1" applyBorder="1"/>
    <xf numFmtId="168" fontId="0" fillId="0" borderId="38" xfId="0" quotePrefix="1" applyNumberFormat="1" applyFont="1" applyBorder="1"/>
    <xf numFmtId="2" fontId="0" fillId="0" borderId="40" xfId="0" applyNumberFormat="1" applyFont="1" applyBorder="1"/>
    <xf numFmtId="2" fontId="0" fillId="0" borderId="44" xfId="0" applyNumberFormat="1" applyFont="1" applyBorder="1"/>
    <xf numFmtId="2" fontId="0" fillId="0" borderId="37" xfId="0" applyNumberFormat="1" applyFont="1" applyBorder="1"/>
    <xf numFmtId="2" fontId="0" fillId="0" borderId="44" xfId="0" quotePrefix="1" applyNumberFormat="1" applyFont="1" applyBorder="1"/>
    <xf numFmtId="0" fontId="0" fillId="4" borderId="6" xfId="0" applyFont="1" applyFill="1" applyBorder="1"/>
    <xf numFmtId="0" fontId="0" fillId="4" borderId="14" xfId="0" applyFont="1" applyFill="1" applyBorder="1"/>
    <xf numFmtId="0" fontId="0" fillId="4" borderId="4" xfId="0" applyFont="1" applyFill="1" applyBorder="1"/>
    <xf numFmtId="0" fontId="3" fillId="0" borderId="0" xfId="0" applyFont="1" applyFill="1" applyAlignment="1">
      <alignment horizontal="left"/>
    </xf>
    <xf numFmtId="0" fontId="0" fillId="0" borderId="0" xfId="0" applyFont="1" applyFill="1" applyBorder="1"/>
    <xf numFmtId="0" fontId="0" fillId="0" borderId="0" xfId="0" applyFont="1" applyAlignment="1">
      <alignment horizontal="right"/>
    </xf>
    <xf numFmtId="0" fontId="0" fillId="2" borderId="1" xfId="0" applyFont="1" applyFill="1" applyBorder="1"/>
    <xf numFmtId="0" fontId="0" fillId="0" borderId="21" xfId="0" applyFont="1" applyBorder="1" applyAlignment="1">
      <alignment horizontal="right"/>
    </xf>
    <xf numFmtId="0" fontId="0" fillId="0" borderId="23" xfId="0" applyFont="1" applyBorder="1" applyAlignment="1">
      <alignment horizontal="right"/>
    </xf>
    <xf numFmtId="0" fontId="0" fillId="0" borderId="0" xfId="0" applyFont="1" applyAlignment="1">
      <alignment horizontal="left"/>
    </xf>
    <xf numFmtId="0" fontId="13" fillId="5" borderId="20" xfId="3" applyFill="1" applyBorder="1"/>
    <xf numFmtId="166" fontId="4" fillId="0" borderId="0" xfId="0" applyNumberFormat="1" applyFont="1"/>
    <xf numFmtId="0" fontId="6" fillId="0" borderId="0" xfId="0" applyFont="1"/>
    <xf numFmtId="0" fontId="19" fillId="0" borderId="0" xfId="0" applyFont="1"/>
    <xf numFmtId="0" fontId="20" fillId="0" borderId="0" xfId="0" applyFont="1"/>
    <xf numFmtId="0" fontId="6" fillId="0" borderId="1" xfId="0" applyFont="1" applyBorder="1"/>
    <xf numFmtId="0" fontId="6" fillId="0" borderId="0" xfId="0" applyFont="1" applyBorder="1"/>
    <xf numFmtId="0" fontId="18" fillId="0" borderId="45" xfId="0" applyFont="1" applyBorder="1"/>
    <xf numFmtId="0" fontId="6" fillId="0" borderId="46" xfId="0" applyFont="1" applyBorder="1"/>
    <xf numFmtId="0" fontId="6" fillId="0" borderId="43" xfId="0" applyFont="1" applyBorder="1"/>
    <xf numFmtId="0" fontId="6" fillId="0" borderId="2" xfId="0" applyFont="1" applyBorder="1"/>
    <xf numFmtId="0" fontId="6" fillId="0" borderId="3" xfId="0" applyFont="1" applyBorder="1"/>
    <xf numFmtId="0" fontId="0" fillId="0" borderId="2" xfId="0" applyFont="1" applyBorder="1"/>
    <xf numFmtId="0" fontId="0" fillId="0" borderId="3" xfId="0" applyFont="1" applyBorder="1"/>
    <xf numFmtId="0" fontId="6" fillId="0" borderId="4" xfId="0" applyFont="1" applyBorder="1"/>
    <xf numFmtId="0" fontId="6" fillId="0" borderId="6" xfId="0" applyFont="1" applyBorder="1"/>
    <xf numFmtId="0" fontId="6" fillId="0" borderId="47" xfId="0" applyFont="1" applyBorder="1"/>
    <xf numFmtId="0" fontId="0" fillId="0" borderId="3" xfId="0" applyBorder="1"/>
    <xf numFmtId="0" fontId="0" fillId="0" borderId="2" xfId="0" applyBorder="1"/>
    <xf numFmtId="0" fontId="0" fillId="0" borderId="1" xfId="0" applyBorder="1" applyAlignment="1"/>
    <xf numFmtId="0" fontId="0" fillId="0" borderId="0" xfId="0" applyFont="1" applyBorder="1" applyAlignment="1">
      <alignment horizontal="right"/>
    </xf>
    <xf numFmtId="2" fontId="0" fillId="0" borderId="0" xfId="0" applyNumberFormat="1" applyFont="1" applyBorder="1"/>
    <xf numFmtId="2" fontId="0" fillId="0" borderId="0" xfId="0" quotePrefix="1" applyNumberFormat="1" applyFont="1" applyBorder="1"/>
    <xf numFmtId="1" fontId="0" fillId="0" borderId="1" xfId="0" applyNumberFormat="1" applyFont="1" applyFill="1" applyBorder="1" applyAlignment="1">
      <alignment horizontal="center" vertical="center"/>
    </xf>
    <xf numFmtId="2" fontId="0" fillId="0" borderId="1" xfId="0" applyNumberFormat="1" applyFont="1" applyFill="1" applyBorder="1" applyAlignment="1">
      <alignment horizontal="center" vertical="center"/>
    </xf>
    <xf numFmtId="166" fontId="0" fillId="0" borderId="1" xfId="0" applyNumberFormat="1" applyFont="1" applyFill="1" applyBorder="1" applyAlignment="1">
      <alignment horizontal="center" vertical="center"/>
    </xf>
    <xf numFmtId="9" fontId="0" fillId="3" borderId="1" xfId="1" applyFont="1" applyFill="1" applyBorder="1"/>
    <xf numFmtId="0" fontId="0" fillId="3" borderId="1" xfId="1" applyNumberFormat="1" applyFont="1" applyFill="1" applyBorder="1"/>
    <xf numFmtId="165" fontId="6" fillId="2" borderId="1" xfId="0" applyNumberFormat="1" applyFont="1" applyFill="1" applyBorder="1"/>
    <xf numFmtId="2" fontId="0" fillId="2" borderId="1" xfId="0" applyNumberFormat="1" applyFont="1" applyFill="1" applyBorder="1"/>
    <xf numFmtId="0" fontId="0" fillId="0" borderId="1" xfId="0" applyNumberFormat="1" applyFont="1" applyFill="1" applyBorder="1" applyAlignment="1">
      <alignment horizontal="center" vertical="center"/>
    </xf>
    <xf numFmtId="165" fontId="0" fillId="2" borderId="1" xfId="0" applyNumberFormat="1" applyFont="1" applyFill="1" applyBorder="1"/>
    <xf numFmtId="2" fontId="0" fillId="3" borderId="1" xfId="0" applyNumberFormat="1" applyFont="1" applyFill="1" applyBorder="1"/>
    <xf numFmtId="166" fontId="0" fillId="2" borderId="1" xfId="0" applyNumberFormat="1" applyFont="1" applyFill="1" applyBorder="1"/>
    <xf numFmtId="166" fontId="0" fillId="3" borderId="1" xfId="0" applyNumberFormat="1" applyFont="1" applyFill="1" applyBorder="1"/>
    <xf numFmtId="2" fontId="6" fillId="3" borderId="1" xfId="0" applyNumberFormat="1" applyFont="1" applyFill="1" applyBorder="1"/>
    <xf numFmtId="2" fontId="6" fillId="3" borderId="1" xfId="1" applyNumberFormat="1" applyFont="1" applyFill="1" applyBorder="1"/>
    <xf numFmtId="166" fontId="6" fillId="3" borderId="1" xfId="1" applyNumberFormat="1" applyFont="1" applyFill="1" applyBorder="1"/>
    <xf numFmtId="1" fontId="6" fillId="3" borderId="1" xfId="1" applyNumberFormat="1" applyFont="1" applyFill="1" applyBorder="1"/>
    <xf numFmtId="2" fontId="6" fillId="2" borderId="1" xfId="0" applyNumberFormat="1" applyFont="1" applyFill="1" applyBorder="1"/>
    <xf numFmtId="166" fontId="6" fillId="2" borderId="1" xfId="0" applyNumberFormat="1" applyFont="1" applyFill="1" applyBorder="1"/>
    <xf numFmtId="0" fontId="6" fillId="3" borderId="1" xfId="0" applyFont="1" applyFill="1" applyBorder="1"/>
    <xf numFmtId="1" fontId="6" fillId="2" borderId="1" xfId="0" applyNumberFormat="1" applyFont="1" applyFill="1" applyBorder="1"/>
    <xf numFmtId="0" fontId="0" fillId="3" borderId="1" xfId="0" applyFont="1" applyFill="1" applyBorder="1" applyAlignment="1">
      <alignment horizontal="right"/>
    </xf>
    <xf numFmtId="165" fontId="0" fillId="3" borderId="1" xfId="0" applyNumberFormat="1" applyFill="1" applyBorder="1"/>
    <xf numFmtId="0" fontId="0" fillId="0" borderId="1" xfId="0" applyFill="1" applyBorder="1"/>
    <xf numFmtId="0" fontId="0" fillId="3" borderId="1" xfId="0" applyFill="1" applyBorder="1" applyAlignment="1">
      <alignment horizontal="right"/>
    </xf>
    <xf numFmtId="0" fontId="3" fillId="4" borderId="45" xfId="0" applyFont="1" applyFill="1" applyBorder="1"/>
    <xf numFmtId="0" fontId="0" fillId="4" borderId="46" xfId="0" applyFill="1" applyBorder="1"/>
    <xf numFmtId="0" fontId="0" fillId="4" borderId="43" xfId="0" applyFill="1" applyBorder="1"/>
    <xf numFmtId="0" fontId="0" fillId="4" borderId="2" xfId="0" applyFill="1" applyBorder="1"/>
    <xf numFmtId="0" fontId="0" fillId="4" borderId="0" xfId="0" applyFill="1" applyBorder="1"/>
    <xf numFmtId="0" fontId="0" fillId="4" borderId="3" xfId="0" applyFill="1" applyBorder="1"/>
    <xf numFmtId="0" fontId="0" fillId="4" borderId="6" xfId="0" applyFill="1" applyBorder="1"/>
    <xf numFmtId="0" fontId="0" fillId="4" borderId="47" xfId="0" applyFill="1" applyBorder="1"/>
    <xf numFmtId="2" fontId="0" fillId="2" borderId="1" xfId="0" applyNumberFormat="1" applyFill="1" applyBorder="1"/>
    <xf numFmtId="0" fontId="0" fillId="5" borderId="27" xfId="0" applyFill="1" applyBorder="1"/>
    <xf numFmtId="0" fontId="15" fillId="5" borderId="27" xfId="0" applyFont="1" applyFill="1" applyBorder="1"/>
    <xf numFmtId="164" fontId="0" fillId="2" borderId="1" xfId="0" applyNumberFormat="1" applyFill="1" applyBorder="1"/>
    <xf numFmtId="0" fontId="13" fillId="0" borderId="27" xfId="3" applyBorder="1"/>
    <xf numFmtId="0" fontId="0" fillId="3" borderId="1" xfId="0" applyFont="1" applyFill="1" applyBorder="1" applyAlignment="1">
      <alignment horizontal="center" vertical="center"/>
    </xf>
    <xf numFmtId="0" fontId="0" fillId="0" borderId="1" xfId="0" applyFont="1" applyBorder="1" applyAlignment="1">
      <alignment horizontal="left"/>
    </xf>
    <xf numFmtId="0" fontId="0" fillId="0" borderId="5" xfId="0" applyBorder="1" applyAlignment="1">
      <alignment horizontal="left"/>
    </xf>
    <xf numFmtId="0" fontId="0" fillId="0" borderId="24" xfId="0" applyBorder="1" applyAlignment="1">
      <alignment horizontal="left"/>
    </xf>
    <xf numFmtId="0" fontId="0" fillId="0" borderId="25" xfId="0" applyBorder="1" applyAlignment="1">
      <alignment horizontal="left"/>
    </xf>
    <xf numFmtId="0" fontId="0" fillId="0" borderId="23" xfId="0" applyBorder="1" applyAlignment="1">
      <alignment horizontal="left"/>
    </xf>
    <xf numFmtId="0" fontId="0" fillId="0" borderId="40" xfId="0" applyBorder="1" applyAlignment="1">
      <alignment horizontal="left"/>
    </xf>
    <xf numFmtId="0" fontId="0" fillId="3" borderId="1" xfId="0" applyFill="1" applyBorder="1" applyAlignment="1">
      <alignment vertical="top"/>
    </xf>
    <xf numFmtId="170" fontId="0" fillId="0" borderId="0" xfId="0" applyNumberFormat="1"/>
    <xf numFmtId="172" fontId="0" fillId="0" borderId="0" xfId="0" applyNumberFormat="1"/>
    <xf numFmtId="175" fontId="0" fillId="0" borderId="0" xfId="0" applyNumberFormat="1"/>
    <xf numFmtId="177" fontId="0" fillId="0" borderId="0" xfId="0" applyNumberFormat="1"/>
    <xf numFmtId="0" fontId="21" fillId="0" borderId="0" xfId="0" applyFont="1"/>
  </cellXfs>
  <cellStyles count="4">
    <cellStyle name="Hyperlink" xfId="3" builtinId="8"/>
    <cellStyle name="Normal" xfId="0" builtinId="0"/>
    <cellStyle name="Normal 2" xfId="2"/>
    <cellStyle name="Percent" xfId="1" builtinId="5"/>
  </cellStyles>
  <dxfs count="63">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patternType="darkGray"/>
      </fill>
    </dxf>
    <dxf>
      <fill>
        <patternFill patternType="darkGray"/>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x</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pt idx="24">
                  <c:v>1.19999999999998</c:v>
                </c:pt>
                <c:pt idx="25">
                  <c:v>1.24999999999997</c:v>
                </c:pt>
                <c:pt idx="26">
                  <c:v>1.2999999999999701</c:v>
                </c:pt>
                <c:pt idx="27">
                  <c:v>1.3499999999999599</c:v>
                </c:pt>
                <c:pt idx="28">
                  <c:v>1.3999999999999599</c:v>
                </c:pt>
                <c:pt idx="29">
                  <c:v>1.44999999999995</c:v>
                </c:pt>
              </c:numCache>
            </c:numRef>
          </c:xVal>
          <c:yVal>
            <c:numRef>
              <c:f>SprintDistance!$Q$100:$Q$500</c:f>
              <c:numCache>
                <c:formatCode>General</c:formatCode>
                <c:ptCount val="401"/>
                <c:pt idx="0">
                  <c:v>1.1344552750417508E-5</c:v>
                </c:pt>
                <c:pt idx="1">
                  <c:v>2.950718170383591E-2</c:v>
                </c:pt>
                <c:pt idx="2">
                  <c:v>0.11572578260700864</c:v>
                </c:pt>
                <c:pt idx="3">
                  <c:v>0.2586671472622688</c:v>
                </c:pt>
                <c:pt idx="4">
                  <c:v>0.45833127566961557</c:v>
                </c:pt>
                <c:pt idx="5">
                  <c:v>0.71454579971764653</c:v>
                </c:pt>
                <c:pt idx="6">
                  <c:v>1.0228899199122725</c:v>
                </c:pt>
                <c:pt idx="7">
                  <c:v>1.3750763694315318</c:v>
                </c:pt>
                <c:pt idx="8">
                  <c:v>1.7657717275505744</c:v>
                </c:pt>
                <c:pt idx="9">
                  <c:v>2.1914004660839081</c:v>
                </c:pt>
                <c:pt idx="10">
                  <c:v>2.6487191670209262</c:v>
                </c:pt>
                <c:pt idx="11">
                  <c:v>3.1347855501243092</c:v>
                </c:pt>
                <c:pt idx="12">
                  <c:v>3.6469305135494627</c:v>
                </c:pt>
                <c:pt idx="13">
                  <c:v>4.182732770375317</c:v>
                </c:pt>
                <c:pt idx="14">
                  <c:v>4.7399958400268707</c:v>
                </c:pt>
                <c:pt idx="15">
                  <c:v>5.3167271759479142</c:v>
                </c:pt>
                <c:pt idx="16">
                  <c:v>5.9111192311818241</c:v>
                </c:pt>
                <c:pt idx="17">
                  <c:v>6.521532281933732</c:v>
                </c:pt>
                <c:pt idx="18">
                  <c:v>7.1464788458931467</c:v>
                </c:pt>
                <c:pt idx="19">
                  <c:v>7.7846095472500414</c:v>
                </c:pt>
                <c:pt idx="20">
                  <c:v>8.4347002940848395</c:v>
                </c:pt>
                <c:pt idx="21">
                  <c:v>9.0956406462840373</c:v>
                </c:pt>
                <c:pt idx="22">
                  <c:v>9.7664232634463488</c:v>
                </c:pt>
                <c:pt idx="23">
                  <c:v>10.446134332506155</c:v>
                </c:pt>
                <c:pt idx="24">
                  <c:v>11.133944884112454</c:v>
                </c:pt>
                <c:pt idx="25">
                  <c:v>11.829102915245336</c:v>
                </c:pt>
                <c:pt idx="26">
                  <c:v>12.530926243214566</c:v>
                </c:pt>
                <c:pt idx="27">
                  <c:v>13.238796023134581</c:v>
                </c:pt>
                <c:pt idx="28">
                  <c:v>13.952150867274655</c:v>
                </c:pt>
                <c:pt idx="29">
                  <c:v>14.670481510402816</c:v>
                </c:pt>
              </c:numCache>
            </c:numRef>
          </c:yVal>
          <c:smooth val="0"/>
        </c:ser>
        <c:ser>
          <c:idx val="1"/>
          <c:order val="1"/>
          <c:tx>
            <c:v>v</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pt idx="24">
                  <c:v>1.19999999999998</c:v>
                </c:pt>
                <c:pt idx="25">
                  <c:v>1.24999999999997</c:v>
                </c:pt>
                <c:pt idx="26">
                  <c:v>1.2999999999999701</c:v>
                </c:pt>
                <c:pt idx="27">
                  <c:v>1.3499999999999599</c:v>
                </c:pt>
                <c:pt idx="28">
                  <c:v>1.3999999999999599</c:v>
                </c:pt>
                <c:pt idx="29">
                  <c:v>1.44999999999995</c:v>
                </c:pt>
              </c:numCache>
            </c:numRef>
          </c:xVal>
          <c:yVal>
            <c:numRef>
              <c:f>SprintDistance!$R$100:$R$500</c:f>
              <c:numCache>
                <c:formatCode>General</c:formatCode>
                <c:ptCount val="401"/>
                <c:pt idx="0">
                  <c:v>2.2689105500834986E-2</c:v>
                </c:pt>
                <c:pt idx="1">
                  <c:v>1.1571443805425836</c:v>
                </c:pt>
                <c:pt idx="2">
                  <c:v>2.291599655584331</c:v>
                </c:pt>
                <c:pt idx="3">
                  <c:v>3.4260549306260755</c:v>
                </c:pt>
                <c:pt idx="4">
                  <c:v>4.5605102056678071</c:v>
                </c:pt>
                <c:pt idx="5">
                  <c:v>5.6733767257057375</c:v>
                </c:pt>
                <c:pt idx="6">
                  <c:v>6.6327150703104838</c:v>
                </c:pt>
                <c:pt idx="7">
                  <c:v>7.441326142086762</c:v>
                </c:pt>
                <c:pt idx="8">
                  <c:v>8.1745863370991341</c:v>
                </c:pt>
                <c:pt idx="9">
                  <c:v>8.8397663951548129</c:v>
                </c:pt>
                <c:pt idx="10">
                  <c:v>9.4431872717339278</c:v>
                </c:pt>
                <c:pt idx="11">
                  <c:v>9.990583048083387</c:v>
                </c:pt>
                <c:pt idx="12">
                  <c:v>10.487155420030275</c:v>
                </c:pt>
                <c:pt idx="13">
                  <c:v>10.937623127737947</c:v>
                </c:pt>
                <c:pt idx="14">
                  <c:v>11.346266796115616</c:v>
                </c:pt>
                <c:pt idx="15">
                  <c:v>11.716969611984394</c:v>
                </c:pt>
                <c:pt idx="16">
                  <c:v>12.053254224538348</c:v>
                </c:pt>
                <c:pt idx="17">
                  <c:v>12.358316219752881</c:v>
                </c:pt>
                <c:pt idx="18">
                  <c:v>12.635054486834161</c:v>
                </c:pt>
                <c:pt idx="19">
                  <c:v>12.886098765271015</c:v>
                </c:pt>
                <c:pt idx="20">
                  <c:v>13.113834634258637</c:v>
                </c:pt>
                <c:pt idx="21">
                  <c:v>13.320426181958835</c:v>
                </c:pt>
                <c:pt idx="22">
                  <c:v>13.507836570014476</c:v>
                </c:pt>
                <c:pt idx="23">
                  <c:v>13.677846688735015</c:v>
                </c:pt>
                <c:pt idx="24">
                  <c:v>13.83207208022602</c:v>
                </c:pt>
                <c:pt idx="25">
                  <c:v>13.971978290277359</c:v>
                </c:pt>
                <c:pt idx="26">
                  <c:v>14.098894794892354</c:v>
                </c:pt>
                <c:pt idx="27">
                  <c:v>14.214027633797647</c:v>
                </c:pt>
                <c:pt idx="28">
                  <c:v>14.318470870984212</c:v>
                </c:pt>
                <c:pt idx="29">
                  <c:v>14.413216991185253</c:v>
                </c:pt>
              </c:numCache>
            </c:numRef>
          </c:yVal>
          <c:smooth val="0"/>
        </c:ser>
        <c:ser>
          <c:idx val="2"/>
          <c:order val="2"/>
          <c:tx>
            <c:v>a</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pt idx="24">
                  <c:v>1.19999999999998</c:v>
                </c:pt>
                <c:pt idx="25">
                  <c:v>1.24999999999997</c:v>
                </c:pt>
                <c:pt idx="26">
                  <c:v>1.2999999999999701</c:v>
                </c:pt>
                <c:pt idx="27">
                  <c:v>1.3499999999999599</c:v>
                </c:pt>
                <c:pt idx="28">
                  <c:v>1.3999999999999599</c:v>
                </c:pt>
                <c:pt idx="29">
                  <c:v>1.44999999999995</c:v>
                </c:pt>
              </c:numCache>
            </c:numRef>
          </c:xVal>
          <c:yVal>
            <c:numRef>
              <c:f>SprintDistance!$S$100:$S$500</c:f>
              <c:numCache>
                <c:formatCode>General</c:formatCode>
                <c:ptCount val="401"/>
                <c:pt idx="0">
                  <c:v>22.689105500834984</c:v>
                </c:pt>
                <c:pt idx="1">
                  <c:v>22.689105500834984</c:v>
                </c:pt>
                <c:pt idx="2">
                  <c:v>22.689105500834984</c:v>
                </c:pt>
                <c:pt idx="3">
                  <c:v>22.689105500834984</c:v>
                </c:pt>
                <c:pt idx="4">
                  <c:v>22.689105500834984</c:v>
                </c:pt>
                <c:pt idx="5">
                  <c:v>20.896642423093063</c:v>
                </c:pt>
                <c:pt idx="6">
                  <c:v>17.572883647512242</c:v>
                </c:pt>
                <c:pt idx="7">
                  <c:v>15.391325380928585</c:v>
                </c:pt>
                <c:pt idx="8">
                  <c:v>13.962305304554652</c:v>
                </c:pt>
                <c:pt idx="9">
                  <c:v>12.665963755087216</c:v>
                </c:pt>
                <c:pt idx="10">
                  <c:v>11.489982087187986</c:v>
                </c:pt>
                <c:pt idx="11">
                  <c:v>10.423185390126804</c:v>
                </c:pt>
                <c:pt idx="12">
                  <c:v>9.4554362968151331</c:v>
                </c:pt>
                <c:pt idx="13">
                  <c:v>8.5775386522259325</c:v>
                </c:pt>
                <c:pt idx="14">
                  <c:v>7.7811501257971072</c:v>
                </c:pt>
                <c:pt idx="15">
                  <c:v>7.0587029374073849</c:v>
                </c:pt>
                <c:pt idx="16">
                  <c:v>6.4033319436128213</c:v>
                </c:pt>
                <c:pt idx="17">
                  <c:v>5.8088094007753179</c:v>
                </c:pt>
                <c:pt idx="18">
                  <c:v>5.2694857851610886</c:v>
                </c:pt>
                <c:pt idx="19">
                  <c:v>4.7802361076451581</c:v>
                </c:pt>
                <c:pt idx="20">
                  <c:v>4.3364112128705505</c:v>
                </c:pt>
                <c:pt idx="21">
                  <c:v>3.933793600076545</c:v>
                </c:pt>
                <c:pt idx="22">
                  <c:v>3.5685573457779811</c:v>
                </c:pt>
                <c:pt idx="23">
                  <c:v>3.2372317474557541</c:v>
                </c:pt>
                <c:pt idx="24">
                  <c:v>2.9366683427783729</c:v>
                </c:pt>
                <c:pt idx="25">
                  <c:v>2.6640109909506919</c:v>
                </c:pt>
                <c:pt idx="26">
                  <c:v>2.4166687318840263</c:v>
                </c:pt>
                <c:pt idx="27">
                  <c:v>2.1922911652784505</c:v>
                </c:pt>
                <c:pt idx="28">
                  <c:v>1.9887461156544453</c:v>
                </c:pt>
                <c:pt idx="29">
                  <c:v>1.804099371092593</c:v>
                </c:pt>
              </c:numCache>
            </c:numRef>
          </c:yVal>
          <c:smooth val="0"/>
        </c:ser>
        <c:dLbls>
          <c:showLegendKey val="0"/>
          <c:showVal val="0"/>
          <c:showCatName val="0"/>
          <c:showSerName val="0"/>
          <c:showPercent val="0"/>
          <c:showBubbleSize val="0"/>
        </c:dLbls>
        <c:axId val="42079360"/>
        <c:axId val="42080896"/>
      </c:scatterChart>
      <c:valAx>
        <c:axId val="42079360"/>
        <c:scaling>
          <c:orientation val="minMax"/>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42080896"/>
        <c:crosses val="autoZero"/>
        <c:crossBetween val="midCat"/>
      </c:valAx>
      <c:valAx>
        <c:axId val="42080896"/>
        <c:scaling>
          <c:orientation val="minMax"/>
        </c:scaling>
        <c:delete val="0"/>
        <c:axPos val="l"/>
        <c:majorGridlines/>
        <c:numFmt formatCode="General" sourceLinked="1"/>
        <c:majorTickMark val="out"/>
        <c:minorTickMark val="none"/>
        <c:tickLblPos val="nextTo"/>
        <c:crossAx val="42079360"/>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Projectile!$E$82:$E$182</c:f>
              <c:numCache>
                <c:formatCode>General</c:formatCode>
                <c:ptCount val="101"/>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pt idx="86">
                  <c:v>0.86</c:v>
                </c:pt>
                <c:pt idx="87">
                  <c:v>0.87</c:v>
                </c:pt>
                <c:pt idx="88">
                  <c:v>0.88</c:v>
                </c:pt>
                <c:pt idx="89">
                  <c:v>0.89</c:v>
                </c:pt>
                <c:pt idx="90">
                  <c:v>0.9</c:v>
                </c:pt>
                <c:pt idx="91">
                  <c:v>0.91</c:v>
                </c:pt>
                <c:pt idx="92">
                  <c:v>0.92</c:v>
                </c:pt>
                <c:pt idx="93">
                  <c:v>0.93</c:v>
                </c:pt>
                <c:pt idx="94">
                  <c:v>0.94000000000000006</c:v>
                </c:pt>
                <c:pt idx="95">
                  <c:v>0.95000000000000007</c:v>
                </c:pt>
                <c:pt idx="96">
                  <c:v>0.96</c:v>
                </c:pt>
                <c:pt idx="97">
                  <c:v>0.97</c:v>
                </c:pt>
                <c:pt idx="98">
                  <c:v>0.98</c:v>
                </c:pt>
                <c:pt idx="99">
                  <c:v>0.99</c:v>
                </c:pt>
                <c:pt idx="100">
                  <c:v>1</c:v>
                </c:pt>
              </c:numCache>
            </c:numRef>
          </c:xVal>
          <c:yVal>
            <c:numRef>
              <c:f>Projectile!$F$82:$F$182</c:f>
              <c:numCache>
                <c:formatCode>General</c:formatCode>
                <c:ptCount val="101"/>
                <c:pt idx="0">
                  <c:v>0</c:v>
                </c:pt>
                <c:pt idx="1">
                  <c:v>2.1304335354973856E-2</c:v>
                </c:pt>
                <c:pt idx="2">
                  <c:v>4.2327203009704245E-2</c:v>
                </c:pt>
                <c:pt idx="3">
                  <c:v>6.3068602964191173E-2</c:v>
                </c:pt>
                <c:pt idx="4">
                  <c:v>8.3528535218434646E-2</c:v>
                </c:pt>
                <c:pt idx="5">
                  <c:v>0.10370699977243465</c:v>
                </c:pt>
                <c:pt idx="6">
                  <c:v>0.12360399662619119</c:v>
                </c:pt>
                <c:pt idx="7">
                  <c:v>0.14321952577970426</c:v>
                </c:pt>
                <c:pt idx="8">
                  <c:v>0.16255358723297389</c:v>
                </c:pt>
                <c:pt idx="9">
                  <c:v>0.18160618098600001</c:v>
                </c:pt>
                <c:pt idx="10">
                  <c:v>0.20037730703878273</c:v>
                </c:pt>
                <c:pt idx="11">
                  <c:v>0.21886696539132194</c:v>
                </c:pt>
                <c:pt idx="12">
                  <c:v>0.2370751560436177</c:v>
                </c:pt>
                <c:pt idx="13">
                  <c:v>0.25500187899567001</c:v>
                </c:pt>
                <c:pt idx="14">
                  <c:v>0.27264713424747883</c:v>
                </c:pt>
                <c:pt idx="15">
                  <c:v>0.29001092179904425</c:v>
                </c:pt>
                <c:pt idx="16">
                  <c:v>0.30709324165036617</c:v>
                </c:pt>
                <c:pt idx="17">
                  <c:v>0.32389409380144463</c:v>
                </c:pt>
                <c:pt idx="18">
                  <c:v>0.34041347825227952</c:v>
                </c:pt>
                <c:pt idx="19">
                  <c:v>0.35665139500287113</c:v>
                </c:pt>
                <c:pt idx="20">
                  <c:v>0.37260784405321917</c:v>
                </c:pt>
                <c:pt idx="21">
                  <c:v>0.38828282540332376</c:v>
                </c:pt>
                <c:pt idx="22">
                  <c:v>0.4036763390531849</c:v>
                </c:pt>
                <c:pt idx="23">
                  <c:v>0.41878838500280258</c:v>
                </c:pt>
                <c:pt idx="24">
                  <c:v>0.43361896325217675</c:v>
                </c:pt>
                <c:pt idx="25">
                  <c:v>0.44816807380130752</c:v>
                </c:pt>
                <c:pt idx="26">
                  <c:v>0.46243571665019478</c:v>
                </c:pt>
                <c:pt idx="27">
                  <c:v>0.47642189179883865</c:v>
                </c:pt>
                <c:pt idx="28">
                  <c:v>0.490126599247239</c:v>
                </c:pt>
                <c:pt idx="29">
                  <c:v>0.50354983899539574</c:v>
                </c:pt>
                <c:pt idx="30">
                  <c:v>0.5166916110433093</c:v>
                </c:pt>
                <c:pt idx="31">
                  <c:v>0.52955191539097934</c:v>
                </c:pt>
                <c:pt idx="32">
                  <c:v>0.54213075203840577</c:v>
                </c:pt>
                <c:pt idx="33">
                  <c:v>0.5544281209855888</c:v>
                </c:pt>
                <c:pt idx="34">
                  <c:v>0.56644402223252843</c:v>
                </c:pt>
                <c:pt idx="35">
                  <c:v>0.57817845577922455</c:v>
                </c:pt>
                <c:pt idx="36">
                  <c:v>0.58963142162567717</c:v>
                </c:pt>
                <c:pt idx="37">
                  <c:v>0.60080291977188638</c:v>
                </c:pt>
                <c:pt idx="38">
                  <c:v>0.61169295021785219</c:v>
                </c:pt>
                <c:pt idx="39">
                  <c:v>0.62230151296357439</c:v>
                </c:pt>
                <c:pt idx="40">
                  <c:v>0.63262860800905318</c:v>
                </c:pt>
                <c:pt idx="41">
                  <c:v>0.64267423535428847</c:v>
                </c:pt>
                <c:pt idx="42">
                  <c:v>0.65243839499928036</c:v>
                </c:pt>
                <c:pt idx="43">
                  <c:v>0.66192108694402885</c:v>
                </c:pt>
                <c:pt idx="44">
                  <c:v>0.67112231118853383</c:v>
                </c:pt>
                <c:pt idx="45">
                  <c:v>0.68004206773279519</c:v>
                </c:pt>
                <c:pt idx="46">
                  <c:v>0.68868035657681337</c:v>
                </c:pt>
                <c:pt idx="47">
                  <c:v>0.69703717772058771</c:v>
                </c:pt>
                <c:pt idx="48">
                  <c:v>0.70511253116411887</c:v>
                </c:pt>
                <c:pt idx="49">
                  <c:v>0.71290641690740664</c:v>
                </c:pt>
                <c:pt idx="50">
                  <c:v>0.72041883495045078</c:v>
                </c:pt>
                <c:pt idx="51">
                  <c:v>0.72764978529325153</c:v>
                </c:pt>
                <c:pt idx="52">
                  <c:v>0.73459926793580865</c:v>
                </c:pt>
                <c:pt idx="53">
                  <c:v>0.74126728287812249</c:v>
                </c:pt>
                <c:pt idx="54">
                  <c:v>0.74765383012019282</c:v>
                </c:pt>
                <c:pt idx="55">
                  <c:v>0.75375890966201964</c:v>
                </c:pt>
                <c:pt idx="56">
                  <c:v>0.75958252150360306</c:v>
                </c:pt>
                <c:pt idx="57">
                  <c:v>0.76512466564494286</c:v>
                </c:pt>
                <c:pt idx="58">
                  <c:v>0.77038534208603937</c:v>
                </c:pt>
                <c:pt idx="59">
                  <c:v>0.7753645508268926</c:v>
                </c:pt>
                <c:pt idx="60">
                  <c:v>0.78006229186750209</c:v>
                </c:pt>
                <c:pt idx="61">
                  <c:v>0.78447856520786818</c:v>
                </c:pt>
                <c:pt idx="62">
                  <c:v>0.78861337084799088</c:v>
                </c:pt>
                <c:pt idx="63">
                  <c:v>0.79246670878786996</c:v>
                </c:pt>
                <c:pt idx="64">
                  <c:v>0.79603857902750563</c:v>
                </c:pt>
                <c:pt idx="65">
                  <c:v>0.7993289815668978</c:v>
                </c:pt>
                <c:pt idx="66">
                  <c:v>0.80233791640604668</c:v>
                </c:pt>
                <c:pt idx="67">
                  <c:v>0.80506538354495194</c:v>
                </c:pt>
                <c:pt idx="68">
                  <c:v>0.8075113829836138</c:v>
                </c:pt>
                <c:pt idx="69">
                  <c:v>0.80967591472203215</c:v>
                </c:pt>
                <c:pt idx="70">
                  <c:v>0.81155897876020699</c:v>
                </c:pt>
                <c:pt idx="71">
                  <c:v>0.81316057509813844</c:v>
                </c:pt>
                <c:pt idx="72">
                  <c:v>0.81448070373582648</c:v>
                </c:pt>
                <c:pt idx="73">
                  <c:v>0.81551936467327102</c:v>
                </c:pt>
                <c:pt idx="74">
                  <c:v>0.81627655791047216</c:v>
                </c:pt>
                <c:pt idx="75">
                  <c:v>0.81675228344742989</c:v>
                </c:pt>
                <c:pt idx="76">
                  <c:v>0.81694654128414401</c:v>
                </c:pt>
                <c:pt idx="77">
                  <c:v>0.81685933142061473</c:v>
                </c:pt>
                <c:pt idx="78">
                  <c:v>0.81649065385684183</c:v>
                </c:pt>
                <c:pt idx="79">
                  <c:v>0.81584050859282553</c:v>
                </c:pt>
                <c:pt idx="80">
                  <c:v>0.81490889562856572</c:v>
                </c:pt>
                <c:pt idx="81">
                  <c:v>0.81369581496406262</c:v>
                </c:pt>
                <c:pt idx="82">
                  <c:v>0.81220126659931591</c:v>
                </c:pt>
                <c:pt idx="83">
                  <c:v>0.81042525053432601</c:v>
                </c:pt>
                <c:pt idx="84">
                  <c:v>0.80836776676909239</c:v>
                </c:pt>
                <c:pt idx="85">
                  <c:v>0.80602881530361548</c:v>
                </c:pt>
                <c:pt idx="86">
                  <c:v>0.80340839613789483</c:v>
                </c:pt>
                <c:pt idx="87">
                  <c:v>0.80050650927193079</c:v>
                </c:pt>
                <c:pt idx="88">
                  <c:v>0.79732315470572357</c:v>
                </c:pt>
                <c:pt idx="89">
                  <c:v>0.79385833243927251</c:v>
                </c:pt>
                <c:pt idx="90">
                  <c:v>0.79011204247257805</c:v>
                </c:pt>
                <c:pt idx="91">
                  <c:v>0.78608428480564041</c:v>
                </c:pt>
                <c:pt idx="92">
                  <c:v>0.78177505943845937</c:v>
                </c:pt>
                <c:pt idx="93">
                  <c:v>0.7771843663710345</c:v>
                </c:pt>
                <c:pt idx="94">
                  <c:v>0.772312205603366</c:v>
                </c:pt>
                <c:pt idx="95">
                  <c:v>0.76715857713545477</c:v>
                </c:pt>
                <c:pt idx="96">
                  <c:v>0.76172348096729947</c:v>
                </c:pt>
                <c:pt idx="97">
                  <c:v>0.75600691709890078</c:v>
                </c:pt>
                <c:pt idx="98">
                  <c:v>0.75000888553025913</c:v>
                </c:pt>
                <c:pt idx="99">
                  <c:v>0.74372938626137319</c:v>
                </c:pt>
                <c:pt idx="100">
                  <c:v>0.73716841929224453</c:v>
                </c:pt>
              </c:numCache>
            </c:numRef>
          </c:yVal>
          <c:smooth val="1"/>
          <c:extLst xmlns:c16r2="http://schemas.microsoft.com/office/drawing/2015/06/chart">
            <c:ext xmlns:c16="http://schemas.microsoft.com/office/drawing/2014/chart" uri="{C3380CC4-5D6E-409C-BE32-E72D297353CC}">
              <c16:uniqueId val="{00000000-EF0B-48A6-B200-556C04A6BDC2}"/>
            </c:ext>
          </c:extLst>
        </c:ser>
        <c:ser>
          <c:idx val="1"/>
          <c:order val="1"/>
          <c:spPr>
            <a:ln w="19050" cap="rnd">
              <a:solidFill>
                <a:schemeClr val="accent2"/>
              </a:solidFill>
              <a:round/>
            </a:ln>
            <a:effectLst/>
          </c:spPr>
          <c:marker>
            <c:symbol val="none"/>
          </c:marker>
          <c:xVal>
            <c:numRef>
              <c:f>Projectile!$E$183</c:f>
              <c:numCache>
                <c:formatCode>General</c:formatCode>
                <c:ptCount val="1"/>
                <c:pt idx="0">
                  <c:v>1</c:v>
                </c:pt>
              </c:numCache>
            </c:numRef>
          </c:xVal>
          <c:yVal>
            <c:numRef>
              <c:f>Projectile!$E$183</c:f>
              <c:numCache>
                <c:formatCode>General</c:formatCode>
                <c:ptCount val="1"/>
                <c:pt idx="0">
                  <c:v>1</c:v>
                </c:pt>
              </c:numCache>
            </c:numRef>
          </c:yVal>
          <c:smooth val="1"/>
          <c:extLst xmlns:c16r2="http://schemas.microsoft.com/office/drawing/2015/06/chart">
            <c:ext xmlns:c16="http://schemas.microsoft.com/office/drawing/2014/chart" uri="{C3380CC4-5D6E-409C-BE32-E72D297353CC}">
              <c16:uniqueId val="{00000000-1B3D-41F2-B3D1-77B1BAFED882}"/>
            </c:ext>
          </c:extLst>
        </c:ser>
        <c:dLbls>
          <c:showLegendKey val="0"/>
          <c:showVal val="0"/>
          <c:showCatName val="0"/>
          <c:showSerName val="0"/>
          <c:showPercent val="0"/>
          <c:showBubbleSize val="0"/>
        </c:dLbls>
        <c:axId val="56184832"/>
        <c:axId val="56201984"/>
      </c:scatterChart>
      <c:valAx>
        <c:axId val="56184832"/>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a:pPr>
                <a:r>
                  <a:rPr lang="en-US"/>
                  <a:t>X (ft)</a:t>
                </a:r>
              </a:p>
            </c:rich>
          </c:tx>
          <c:layout/>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1984"/>
        <c:crosses val="autoZero"/>
        <c:crossBetween val="midCat"/>
      </c:valAx>
      <c:valAx>
        <c:axId val="562019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en-US"/>
                  <a:t>Y (ft)</a:t>
                </a:r>
              </a:p>
            </c:rich>
          </c:tx>
          <c:layout/>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8483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192368</xdr:colOff>
      <xdr:row>20</xdr:row>
      <xdr:rowOff>159</xdr:rowOff>
    </xdr:from>
    <xdr:to>
      <xdr:col>4</xdr:col>
      <xdr:colOff>504788</xdr:colOff>
      <xdr:row>24</xdr:row>
      <xdr:rowOff>94119</xdr:rowOff>
    </xdr:to>
    <xdr:sp macro="" textlink="">
      <xdr:nvSpPr>
        <xdr:cNvPr id="3" name="Arrow: Down 2">
          <a:extLst>
            <a:ext uri="{FF2B5EF4-FFF2-40B4-BE49-F238E27FC236}">
              <a16:creationId xmlns:a16="http://schemas.microsoft.com/office/drawing/2014/main" xmlns="" id="{4E91F1E4-8BB0-40DB-8A4F-A9FC9F71DEBF}"/>
            </a:ext>
          </a:extLst>
        </xdr:cNvPr>
        <xdr:cNvSpPr/>
      </xdr:nvSpPr>
      <xdr:spPr>
        <a:xfrm rot="19179725">
          <a:off x="3206078" y="38634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841063</xdr:colOff>
      <xdr:row>20</xdr:row>
      <xdr:rowOff>91440</xdr:rowOff>
    </xdr:from>
    <xdr:to>
      <xdr:col>2</xdr:col>
      <xdr:colOff>1153483</xdr:colOff>
      <xdr:row>23</xdr:row>
      <xdr:rowOff>157978</xdr:rowOff>
    </xdr:to>
    <xdr:sp macro="" textlink="">
      <xdr:nvSpPr>
        <xdr:cNvPr id="4" name="Arrow: Down 3">
          <a:extLst>
            <a:ext uri="{FF2B5EF4-FFF2-40B4-BE49-F238E27FC236}">
              <a16:creationId xmlns:a16="http://schemas.microsoft.com/office/drawing/2014/main" xmlns="" id="{085C1061-245C-4BB0-8896-49B800A26AE3}"/>
            </a:ext>
          </a:extLst>
        </xdr:cNvPr>
        <xdr:cNvSpPr/>
      </xdr:nvSpPr>
      <xdr:spPr>
        <a:xfrm>
          <a:off x="1675453" y="39547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3</xdr:row>
      <xdr:rowOff>0</xdr:rowOff>
    </xdr:from>
    <xdr:to>
      <xdr:col>19</xdr:col>
      <xdr:colOff>123825</xdr:colOff>
      <xdr:row>24</xdr:row>
      <xdr:rowOff>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14</xdr:row>
      <xdr:rowOff>0</xdr:rowOff>
    </xdr:from>
    <xdr:to>
      <xdr:col>16</xdr:col>
      <xdr:colOff>0</xdr:colOff>
      <xdr:row>30</xdr:row>
      <xdr:rowOff>167640</xdr:rowOff>
    </xdr:to>
    <xdr:sp macro="" textlink="">
      <xdr:nvSpPr>
        <xdr:cNvPr id="2" name="TextBox 1">
          <a:extLst>
            <a:ext uri="{FF2B5EF4-FFF2-40B4-BE49-F238E27FC236}">
              <a16:creationId xmlns:a16="http://schemas.microsoft.com/office/drawing/2014/main" xmlns="" id="{00000000-0008-0000-0200-000002000000}"/>
            </a:ext>
          </a:extLst>
        </xdr:cNvPr>
        <xdr:cNvSpPr txBox="1"/>
      </xdr:nvSpPr>
      <xdr:spPr>
        <a:xfrm>
          <a:off x="4171950" y="2766060"/>
          <a:ext cx="8949690" cy="310134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400" b="1"/>
            <a:t>EXAMPLE USES:</a:t>
          </a:r>
        </a:p>
        <a:p>
          <a:r>
            <a:rPr lang="en-US" sz="1100" u="sng"/>
            <a:t>Winch:</a:t>
          </a:r>
          <a:r>
            <a:rPr lang="en-US" sz="1100" u="none" baseline="0"/>
            <a:t> As an endgame, you need to winch up the robot by spinning a cable around a circular drum. For radius, enter the drum's radius. For load, enter the weight of the robot (154lb max = 120lb robot + 20lb bumpers + 14lb battery). Since this is an end game task, change Voltage Applied to 10V to account for battery drop throughout the match. Then specify a desired linear speed in the Lin. Speed column, a maximum allowable current draw in the Current column</a:t>
          </a:r>
          <a:r>
            <a:rPr lang="en-US" sz="1100" baseline="0">
              <a:solidFill>
                <a:schemeClr val="dk1"/>
              </a:solidFill>
              <a:effectLst/>
              <a:latin typeface="+mn-lt"/>
              <a:ea typeface="+mn-ea"/>
              <a:cs typeface="+mn-cs"/>
            </a:rPr>
            <a:t>, or a maximum allowable stall load in the Stall Load column</a:t>
          </a:r>
          <a:r>
            <a:rPr lang="en-US" sz="1100" u="none" baseline="0"/>
            <a:t>. Change the number and type of motors to find a combination that gives acceptible values. Then use the ratio tester to find a set of reductions (e.g. spur gears, chains, belts, planetaries) that approximates the desired ratio.</a:t>
          </a:r>
        </a:p>
        <a:p>
          <a:endParaRPr lang="en-US" sz="600" u="none"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u="sng"/>
            <a:t>Elevator:</a:t>
          </a:r>
          <a:r>
            <a:rPr lang="en-US" sz="1100" u="none"/>
            <a:t> You need to lift a load with a motor connected to a linear elevator system. For radius, enter the radius of the pulley/sprocket driving the elevator (# teeth * pitch diameter). For load, enter the weight of the load. </a:t>
          </a:r>
          <a:r>
            <a:rPr lang="en-US" sz="1100" baseline="0">
              <a:solidFill>
                <a:schemeClr val="dk1"/>
              </a:solidFill>
              <a:effectLst/>
              <a:latin typeface="+mn-lt"/>
              <a:ea typeface="+mn-ea"/>
              <a:cs typeface="+mn-cs"/>
            </a:rPr>
            <a:t>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a:p>
          <a:endParaRPr lang="en-US" sz="600" u="sng"/>
        </a:p>
        <a:p>
          <a:pPr marL="0" marR="0" lvl="0" indent="0" defTabSz="914400" eaLnBrk="1" fontAlgn="auto" latinLnBrk="0" hangingPunct="1">
            <a:lnSpc>
              <a:spcPct val="100000"/>
            </a:lnSpc>
            <a:spcBef>
              <a:spcPts val="0"/>
            </a:spcBef>
            <a:spcAft>
              <a:spcPts val="0"/>
            </a:spcAft>
            <a:buClrTx/>
            <a:buSzTx/>
            <a:buFontTx/>
            <a:buNone/>
            <a:tabLst/>
            <a:defRPr/>
          </a:pPr>
          <a:r>
            <a:rPr lang="en-US" sz="1100" u="sng"/>
            <a:t>Arm:</a:t>
          </a:r>
          <a:r>
            <a:rPr lang="en-US" sz="1100" u="none"/>
            <a:t> You need to lift a load using an arm driven by </a:t>
          </a:r>
          <a:r>
            <a:rPr lang="en-US" sz="1100" u="none" baseline="0"/>
            <a:t>a motor. For radius, enter the length of the arm (specifically the distance from axis of rotation to arm's center of mass). For load, enter the weight of the arm + load lifted. </a:t>
          </a:r>
          <a:r>
            <a:rPr lang="en-US" sz="1100" baseline="0">
              <a:solidFill>
                <a:schemeClr val="dk1"/>
              </a:solidFill>
              <a:effectLst/>
              <a:latin typeface="+mn-lt"/>
              <a:ea typeface="+mn-ea"/>
              <a:cs typeface="+mn-cs"/>
            </a:rPr>
            <a:t>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4</xdr:row>
      <xdr:rowOff>95250</xdr:rowOff>
    </xdr:from>
    <xdr:to>
      <xdr:col>18</xdr:col>
      <xdr:colOff>163830</xdr:colOff>
      <xdr:row>24</xdr:row>
      <xdr:rowOff>66294</xdr:rowOff>
    </xdr:to>
    <xdr:graphicFrame macro="">
      <xdr:nvGraphicFramePr>
        <xdr:cNvPr id="3" name="Chart 2">
          <a:extLst>
            <a:ext uri="{FF2B5EF4-FFF2-40B4-BE49-F238E27FC236}">
              <a16:creationId xmlns:a16="http://schemas.microsoft.com/office/drawing/2014/main" xmlns="" id="{2A68D778-938C-4E56-A5AE-EC74EAE805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3810</xdr:colOff>
      <xdr:row>10</xdr:row>
      <xdr:rowOff>60960</xdr:rowOff>
    </xdr:from>
    <xdr:to>
      <xdr:col>7</xdr:col>
      <xdr:colOff>316230</xdr:colOff>
      <xdr:row>14</xdr:row>
      <xdr:rowOff>49530</xdr:rowOff>
    </xdr:to>
    <xdr:sp macro="" textlink="">
      <xdr:nvSpPr>
        <xdr:cNvPr id="3" name="Arrow: Down 2">
          <a:extLst>
            <a:ext uri="{FF2B5EF4-FFF2-40B4-BE49-F238E27FC236}">
              <a16:creationId xmlns:a16="http://schemas.microsoft.com/office/drawing/2014/main" xmlns="" id="{4C11F0DF-0A6C-4ADD-ADDA-3CD85020577F}"/>
            </a:ext>
          </a:extLst>
        </xdr:cNvPr>
        <xdr:cNvSpPr/>
      </xdr:nvSpPr>
      <xdr:spPr>
        <a:xfrm rot="2304901">
          <a:off x="4869180" y="2095500"/>
          <a:ext cx="312420" cy="53721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57151</xdr:colOff>
      <xdr:row>10</xdr:row>
      <xdr:rowOff>60960</xdr:rowOff>
    </xdr:from>
    <xdr:to>
      <xdr:col>9</xdr:col>
      <xdr:colOff>369571</xdr:colOff>
      <xdr:row>14</xdr:row>
      <xdr:rowOff>49530</xdr:rowOff>
    </xdr:to>
    <xdr:sp macro="" textlink="">
      <xdr:nvSpPr>
        <xdr:cNvPr id="5" name="Arrow: Down 4">
          <a:extLst>
            <a:ext uri="{FF2B5EF4-FFF2-40B4-BE49-F238E27FC236}">
              <a16:creationId xmlns:a16="http://schemas.microsoft.com/office/drawing/2014/main" xmlns="" id="{7038A48F-48A9-4BB8-8DCD-7CAAF04A3ED7}"/>
            </a:ext>
          </a:extLst>
        </xdr:cNvPr>
        <xdr:cNvSpPr/>
      </xdr:nvSpPr>
      <xdr:spPr>
        <a:xfrm rot="19295099" flipH="1">
          <a:off x="6164581" y="2095500"/>
          <a:ext cx="312420" cy="53721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15</xdr:col>
      <xdr:colOff>0</xdr:colOff>
      <xdr:row>2</xdr:row>
      <xdr:rowOff>0</xdr:rowOff>
    </xdr:from>
    <xdr:to>
      <xdr:col>19</xdr:col>
      <xdr:colOff>522568</xdr:colOff>
      <xdr:row>22</xdr:row>
      <xdr:rowOff>84618</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60380" y="365760"/>
          <a:ext cx="3082888" cy="3947958"/>
        </a:xfrm>
        <a:prstGeom prst="rect">
          <a:avLst/>
        </a:prstGeom>
      </xdr:spPr>
    </xdr:pic>
    <xdr:clientData/>
  </xdr:twoCellAnchor>
  <xdr:twoCellAnchor>
    <xdr:from>
      <xdr:col>9</xdr:col>
      <xdr:colOff>685800</xdr:colOff>
      <xdr:row>11</xdr:row>
      <xdr:rowOff>60960</xdr:rowOff>
    </xdr:from>
    <xdr:to>
      <xdr:col>9</xdr:col>
      <xdr:colOff>998220</xdr:colOff>
      <xdr:row>14</xdr:row>
      <xdr:rowOff>127498</xdr:rowOff>
    </xdr:to>
    <xdr:sp macro="" textlink="">
      <xdr:nvSpPr>
        <xdr:cNvPr id="4" name="Arrow: Down 3">
          <a:extLst>
            <a:ext uri="{FF2B5EF4-FFF2-40B4-BE49-F238E27FC236}">
              <a16:creationId xmlns:a16="http://schemas.microsoft.com/office/drawing/2014/main" xmlns="" id="{576B5D63-1BBF-4B0A-AA3C-413B5561090D}"/>
            </a:ext>
          </a:extLst>
        </xdr:cNvPr>
        <xdr:cNvSpPr/>
      </xdr:nvSpPr>
      <xdr:spPr>
        <a:xfrm>
          <a:off x="6537960" y="22783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201930</xdr:colOff>
      <xdr:row>10</xdr:row>
      <xdr:rowOff>137159</xdr:rowOff>
    </xdr:from>
    <xdr:to>
      <xdr:col>11</xdr:col>
      <xdr:colOff>514350</xdr:colOff>
      <xdr:row>15</xdr:row>
      <xdr:rowOff>48239</xdr:rowOff>
    </xdr:to>
    <xdr:sp macro="" textlink="">
      <xdr:nvSpPr>
        <xdr:cNvPr id="5" name="Arrow: Down 4">
          <a:extLst>
            <a:ext uri="{FF2B5EF4-FFF2-40B4-BE49-F238E27FC236}">
              <a16:creationId xmlns:a16="http://schemas.microsoft.com/office/drawing/2014/main" xmlns="" id="{F86D8FA4-A540-464C-B523-A8B860F04CD3}"/>
            </a:ext>
          </a:extLst>
        </xdr:cNvPr>
        <xdr:cNvSpPr/>
      </xdr:nvSpPr>
      <xdr:spPr>
        <a:xfrm rot="19179725">
          <a:off x="7970520" y="21716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VN-DesignCalc.2016012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Custom 2-Speed Drive"/>
      <sheetName val="VEXpro 3-CIM Ball Shifter"/>
      <sheetName val="VEXpro 2-CIM Ball Shifter"/>
      <sheetName val="WCP DS"/>
      <sheetName val="Custom 1-Speed Drive"/>
      <sheetName val="VEXpro SS,DR"/>
      <sheetName val="WCP SS"/>
      <sheetName val="Articulating Drive"/>
      <sheetName val="Rotary Mechanism"/>
      <sheetName val="Linear Mechanism"/>
      <sheetName val="Intake Mechanism"/>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4">
          <cell r="C4" t="str">
            <v>Free Speed (RPM)</v>
          </cell>
          <cell r="D4" t="str">
            <v>Stall Torque (N-m)</v>
          </cell>
          <cell r="E4" t="str">
            <v>Stall Current (Amp)</v>
          </cell>
          <cell r="F4" t="str">
            <v>Free Current (Amp)</v>
          </cell>
          <cell r="G4" t="str">
            <v>Power (W)</v>
          </cell>
        </row>
        <row r="5">
          <cell r="B5" t="str">
            <v>CIM</v>
          </cell>
          <cell r="C5">
            <v>5330</v>
          </cell>
          <cell r="D5">
            <v>2.41</v>
          </cell>
          <cell r="E5">
            <v>131</v>
          </cell>
          <cell r="F5">
            <v>2.7</v>
          </cell>
          <cell r="G5">
            <v>336.28916760964142</v>
          </cell>
          <cell r="J5" t="str">
            <v>1 Mini CIM</v>
          </cell>
          <cell r="K5">
            <v>5840</v>
          </cell>
          <cell r="L5">
            <v>1.41</v>
          </cell>
          <cell r="M5">
            <v>89</v>
          </cell>
          <cell r="N5">
            <v>3</v>
          </cell>
        </row>
        <row r="6">
          <cell r="B6" t="str">
            <v>Mini CIM</v>
          </cell>
          <cell r="C6">
            <v>5840</v>
          </cell>
          <cell r="D6">
            <v>1.41</v>
          </cell>
          <cell r="E6">
            <v>89</v>
          </cell>
          <cell r="F6">
            <v>3</v>
          </cell>
          <cell r="G6">
            <v>215.57608788933157</v>
          </cell>
          <cell r="J6" t="str">
            <v>1 CIM</v>
          </cell>
          <cell r="K6">
            <v>5330</v>
          </cell>
          <cell r="L6">
            <v>2.41</v>
          </cell>
          <cell r="M6">
            <v>131</v>
          </cell>
          <cell r="N6">
            <v>2.7</v>
          </cell>
        </row>
        <row r="7">
          <cell r="B7" t="str">
            <v>BAG Motor</v>
          </cell>
          <cell r="C7">
            <v>13180</v>
          </cell>
          <cell r="D7">
            <v>0.43</v>
          </cell>
          <cell r="E7">
            <v>53</v>
          </cell>
          <cell r="F7">
            <v>1.8</v>
          </cell>
          <cell r="G7">
            <v>148.37218504128995</v>
          </cell>
          <cell r="J7" t="str">
            <v>2 Mini CIM</v>
          </cell>
          <cell r="K7">
            <v>5840</v>
          </cell>
          <cell r="L7">
            <v>2.82</v>
          </cell>
          <cell r="M7">
            <v>178</v>
          </cell>
          <cell r="N7">
            <v>6</v>
          </cell>
        </row>
        <row r="8">
          <cell r="B8" t="str">
            <v>775pro</v>
          </cell>
          <cell r="C8">
            <v>18730</v>
          </cell>
          <cell r="D8">
            <v>0.71</v>
          </cell>
          <cell r="E8">
            <v>134</v>
          </cell>
          <cell r="F8">
            <v>0.7</v>
          </cell>
          <cell r="G8">
            <v>348.14867987694288</v>
          </cell>
          <cell r="J8" t="str">
            <v>1 CIM + 1 Mini CIM (Copioli)</v>
          </cell>
          <cell r="K8">
            <v>5508</v>
          </cell>
          <cell r="L8">
            <v>3.82</v>
          </cell>
          <cell r="M8">
            <v>220</v>
          </cell>
          <cell r="N8">
            <v>8.16</v>
          </cell>
        </row>
        <row r="9">
          <cell r="B9" t="str">
            <v>AM 775</v>
          </cell>
          <cell r="C9">
            <v>5800</v>
          </cell>
          <cell r="D9">
            <v>0.28000000000000003</v>
          </cell>
          <cell r="E9">
            <v>18</v>
          </cell>
          <cell r="F9">
            <v>1.6</v>
          </cell>
          <cell r="G9">
            <v>42.516220578581873</v>
          </cell>
          <cell r="J9" t="str">
            <v>3 Mini CIM</v>
          </cell>
          <cell r="K9">
            <v>5840</v>
          </cell>
          <cell r="L9">
            <v>4.2299999999999995</v>
          </cell>
          <cell r="M9">
            <v>267</v>
          </cell>
          <cell r="N9">
            <v>9</v>
          </cell>
        </row>
        <row r="10">
          <cell r="B10" t="str">
            <v>AM 9015</v>
          </cell>
          <cell r="C10">
            <v>14270</v>
          </cell>
          <cell r="D10">
            <v>0.36</v>
          </cell>
          <cell r="E10">
            <v>71</v>
          </cell>
          <cell r="F10">
            <v>3.7</v>
          </cell>
          <cell r="G10">
            <v>134.49158150017902</v>
          </cell>
          <cell r="J10" t="str">
            <v>2 CIM</v>
          </cell>
          <cell r="K10">
            <v>5330</v>
          </cell>
          <cell r="L10">
            <v>4.82</v>
          </cell>
          <cell r="M10">
            <v>262</v>
          </cell>
          <cell r="N10">
            <v>5.4</v>
          </cell>
        </row>
        <row r="11">
          <cell r="B11" t="str">
            <v>1 CIM + 1 Mini CIM (Copioli)</v>
          </cell>
          <cell r="C11">
            <v>5508</v>
          </cell>
          <cell r="D11">
            <v>3.82</v>
          </cell>
          <cell r="E11">
            <v>220</v>
          </cell>
          <cell r="F11">
            <v>8.16</v>
          </cell>
          <cell r="G11">
            <v>550.84057269512709</v>
          </cell>
          <cell r="J11" t="str">
            <v>1 CIM + 2 Mini CIM (Copioli)</v>
          </cell>
          <cell r="K11">
            <v>5593</v>
          </cell>
          <cell r="L11">
            <v>5.23</v>
          </cell>
          <cell r="M11">
            <v>309</v>
          </cell>
          <cell r="N11">
            <v>9.6199999999999992</v>
          </cell>
        </row>
        <row r="12">
          <cell r="B12" t="str">
            <v>1 CIM + 2 Mini CIM (Copioli)</v>
          </cell>
          <cell r="C12">
            <v>5593</v>
          </cell>
          <cell r="D12">
            <v>5.23</v>
          </cell>
          <cell r="E12">
            <v>309</v>
          </cell>
          <cell r="F12">
            <v>9.6199999999999992</v>
          </cell>
          <cell r="G12">
            <v>765.79959942741618</v>
          </cell>
          <cell r="J12" t="str">
            <v>2 CIM + 1 Mini CIM (Copioli)</v>
          </cell>
          <cell r="K12">
            <v>5437</v>
          </cell>
          <cell r="L12">
            <v>6.23</v>
          </cell>
          <cell r="M12">
            <v>351</v>
          </cell>
          <cell r="N12">
            <v>9.15</v>
          </cell>
        </row>
        <row r="13">
          <cell r="B13" t="str">
            <v>2 CIM + 1 Mini CIM (Copioli)</v>
          </cell>
          <cell r="C13">
            <v>5437</v>
          </cell>
          <cell r="D13">
            <v>6.23</v>
          </cell>
          <cell r="E13">
            <v>351</v>
          </cell>
          <cell r="F13">
            <v>9.15</v>
          </cell>
          <cell r="G13">
            <v>886.78023812205663</v>
          </cell>
          <cell r="J13" t="str">
            <v>3 CIM</v>
          </cell>
          <cell r="K13">
            <v>5330</v>
          </cell>
          <cell r="L13">
            <v>7.23</v>
          </cell>
          <cell r="M13">
            <v>393</v>
          </cell>
          <cell r="N13">
            <v>8.1000000000000014</v>
          </cell>
        </row>
        <row r="14">
          <cell r="B14" t="str">
            <v>BB RS-775-18</v>
          </cell>
          <cell r="C14">
            <v>13050</v>
          </cell>
          <cell r="D14">
            <v>0.72</v>
          </cell>
          <cell r="E14">
            <v>97</v>
          </cell>
          <cell r="F14">
            <v>2.7</v>
          </cell>
          <cell r="G14">
            <v>245.98670477608078</v>
          </cell>
        </row>
        <row r="15">
          <cell r="B15" t="str">
            <v>BB RS-550</v>
          </cell>
          <cell r="C15">
            <v>19000</v>
          </cell>
          <cell r="D15">
            <v>0.38</v>
          </cell>
          <cell r="E15">
            <v>84</v>
          </cell>
          <cell r="F15">
            <v>0.4</v>
          </cell>
          <cell r="G15">
            <v>189.01915799098589</v>
          </cell>
        </row>
        <row r="16">
          <cell r="G16">
            <v>0</v>
          </cell>
          <cell r="J16" t="str">
            <v>1 Mini CIM</v>
          </cell>
          <cell r="K16">
            <v>5840</v>
          </cell>
          <cell r="L16">
            <v>1.41</v>
          </cell>
          <cell r="M16">
            <v>89</v>
          </cell>
          <cell r="N16">
            <v>3</v>
          </cell>
        </row>
        <row r="17">
          <cell r="G17">
            <v>0</v>
          </cell>
          <cell r="J17" t="str">
            <v>1 CIM</v>
          </cell>
          <cell r="K17">
            <v>5330</v>
          </cell>
          <cell r="L17">
            <v>2.41</v>
          </cell>
          <cell r="M17">
            <v>131</v>
          </cell>
          <cell r="N17">
            <v>2.7</v>
          </cell>
        </row>
        <row r="18">
          <cell r="G18">
            <v>0</v>
          </cell>
          <cell r="J18" t="str">
            <v>2 Mini CIM</v>
          </cell>
          <cell r="K18">
            <v>5840</v>
          </cell>
          <cell r="L18">
            <v>2.82</v>
          </cell>
          <cell r="M18">
            <v>178</v>
          </cell>
          <cell r="N18">
            <v>6</v>
          </cell>
        </row>
        <row r="19">
          <cell r="G19">
            <v>0</v>
          </cell>
          <cell r="J19" t="str">
            <v>1 CIM + 1 Mini CIM (Copioli)</v>
          </cell>
          <cell r="K19">
            <v>5508</v>
          </cell>
          <cell r="L19">
            <v>3.82</v>
          </cell>
          <cell r="M19">
            <v>220</v>
          </cell>
          <cell r="N19">
            <v>8.16</v>
          </cell>
        </row>
        <row r="20">
          <cell r="G20">
            <v>0</v>
          </cell>
          <cell r="J20" t="str">
            <v>2 CIM</v>
          </cell>
          <cell r="K20">
            <v>5330</v>
          </cell>
          <cell r="L20">
            <v>4.82</v>
          </cell>
          <cell r="M20">
            <v>262</v>
          </cell>
          <cell r="N20">
            <v>5.4</v>
          </cell>
        </row>
        <row r="28">
          <cell r="B28" t="str">
            <v>11:42</v>
          </cell>
          <cell r="C28">
            <v>11</v>
          </cell>
          <cell r="D28">
            <v>42</v>
          </cell>
        </row>
        <row r="29">
          <cell r="B29" t="str">
            <v>12:42</v>
          </cell>
          <cell r="C29">
            <v>12</v>
          </cell>
          <cell r="D29">
            <v>42</v>
          </cell>
        </row>
        <row r="30">
          <cell r="B30" t="str">
            <v>13:42</v>
          </cell>
          <cell r="C30">
            <v>13</v>
          </cell>
          <cell r="D30">
            <v>42</v>
          </cell>
        </row>
        <row r="31">
          <cell r="B31" t="str">
            <v>13:40</v>
          </cell>
          <cell r="C31">
            <v>13</v>
          </cell>
          <cell r="D31">
            <v>40</v>
          </cell>
        </row>
        <row r="32">
          <cell r="B32" t="str">
            <v>14:42</v>
          </cell>
          <cell r="C32">
            <v>14</v>
          </cell>
          <cell r="D32">
            <v>42</v>
          </cell>
        </row>
        <row r="33">
          <cell r="B33" t="str">
            <v>14:40</v>
          </cell>
          <cell r="C33">
            <v>14</v>
          </cell>
          <cell r="D33">
            <v>40</v>
          </cell>
        </row>
        <row r="36">
          <cell r="B36" t="str">
            <v>14:60</v>
          </cell>
          <cell r="C36">
            <v>14</v>
          </cell>
          <cell r="D36">
            <v>60</v>
          </cell>
        </row>
        <row r="37">
          <cell r="B37" t="str">
            <v>24:50</v>
          </cell>
          <cell r="C37">
            <v>24</v>
          </cell>
          <cell r="D37">
            <v>50</v>
          </cell>
        </row>
        <row r="40">
          <cell r="B40" t="str">
            <v>24:50</v>
          </cell>
          <cell r="C40">
            <v>24</v>
          </cell>
          <cell r="D40">
            <v>50</v>
          </cell>
        </row>
        <row r="41">
          <cell r="B41" t="str">
            <v>30:44</v>
          </cell>
          <cell r="C41">
            <v>30</v>
          </cell>
          <cell r="D41">
            <v>44</v>
          </cell>
        </row>
        <row r="42">
          <cell r="B42" t="str">
            <v>34:40</v>
          </cell>
          <cell r="C42">
            <v>34</v>
          </cell>
          <cell r="D42">
            <v>40</v>
          </cell>
        </row>
        <row r="48">
          <cell r="B48" t="str">
            <v>Standard 12-tooth Pinion [50:12]</v>
          </cell>
          <cell r="C48">
            <v>12</v>
          </cell>
          <cell r="D48">
            <v>50</v>
          </cell>
        </row>
        <row r="49">
          <cell r="B49" t="str">
            <v>Optional 11-tooth Pinion [50:11]</v>
          </cell>
          <cell r="C49">
            <v>11</v>
          </cell>
          <cell r="D49">
            <v>50</v>
          </cell>
        </row>
        <row r="53">
          <cell r="B53" t="str">
            <v>Low Gear Option 1 (2.16x Shifter Spread) [50:34]</v>
          </cell>
          <cell r="C53">
            <v>34</v>
          </cell>
          <cell r="D53">
            <v>50</v>
          </cell>
        </row>
        <row r="54">
          <cell r="B54" t="str">
            <v>Low Gear Option 2 (2.65x Shifter Spread) [54:30]</v>
          </cell>
          <cell r="C54">
            <v>30</v>
          </cell>
          <cell r="D54">
            <v>54</v>
          </cell>
        </row>
        <row r="55">
          <cell r="B55" t="str">
            <v>Low Gear Option 3 (3.68x Shifter Spread) [60:24]</v>
          </cell>
          <cell r="C55">
            <v>24</v>
          </cell>
          <cell r="D55">
            <v>60</v>
          </cell>
        </row>
        <row r="57">
          <cell r="B57" t="str">
            <v>NO 3rd Stage Gearing</v>
          </cell>
          <cell r="C57">
            <v>1</v>
          </cell>
          <cell r="D57">
            <v>1</v>
          </cell>
        </row>
        <row r="58">
          <cell r="B58" t="str">
            <v>3rd Stage Option 1 [64:20]</v>
          </cell>
          <cell r="C58">
            <v>20</v>
          </cell>
          <cell r="D58">
            <v>64</v>
          </cell>
        </row>
        <row r="59">
          <cell r="B59" t="str">
            <v>3rd Stage Option 2 [60:24]</v>
          </cell>
          <cell r="C59">
            <v>24</v>
          </cell>
          <cell r="D59">
            <v>60</v>
          </cell>
        </row>
        <row r="60">
          <cell r="B60" t="str">
            <v>3rd Stage Option 3 [54:30]</v>
          </cell>
          <cell r="C60">
            <v>30</v>
          </cell>
          <cell r="D60">
            <v>54</v>
          </cell>
        </row>
        <row r="61">
          <cell r="B61" t="str">
            <v>3rd Stage Option 4 [50:34]</v>
          </cell>
          <cell r="C61">
            <v>34</v>
          </cell>
          <cell r="D61">
            <v>50</v>
          </cell>
        </row>
        <row r="66">
          <cell r="B66" t="str">
            <v>Standard 12-tooth Pinion [40:12]</v>
          </cell>
          <cell r="C66">
            <v>12</v>
          </cell>
          <cell r="D66">
            <v>40</v>
          </cell>
        </row>
        <row r="67">
          <cell r="B67" t="str">
            <v>Optional 11-tooth Pinion [40:11]</v>
          </cell>
          <cell r="C67">
            <v>11</v>
          </cell>
          <cell r="D67">
            <v>40</v>
          </cell>
        </row>
        <row r="69">
          <cell r="B69" t="str">
            <v>NO 3rd Stage Gearing</v>
          </cell>
          <cell r="C69">
            <v>1</v>
          </cell>
          <cell r="D69">
            <v>1</v>
          </cell>
        </row>
        <row r="70">
          <cell r="B70" t="str">
            <v>3rd Stage Option 1 [50:34]</v>
          </cell>
          <cell r="C70">
            <v>34</v>
          </cell>
          <cell r="D70">
            <v>50</v>
          </cell>
        </row>
        <row r="71">
          <cell r="B71" t="str">
            <v>3rd Stage Option 2 [54:30]</v>
          </cell>
          <cell r="C71">
            <v>30</v>
          </cell>
          <cell r="D71">
            <v>54</v>
          </cell>
        </row>
        <row r="72">
          <cell r="B72" t="str">
            <v>3rd Stage Option 3 [60:24]</v>
          </cell>
          <cell r="C72">
            <v>24</v>
          </cell>
          <cell r="D72">
            <v>60</v>
          </cell>
        </row>
        <row r="73">
          <cell r="B73" t="str">
            <v>3rd Stage Option 4 [64:20]</v>
          </cell>
          <cell r="C73">
            <v>20</v>
          </cell>
          <cell r="D73">
            <v>64</v>
          </cell>
        </row>
        <row r="75">
          <cell r="B75" t="str">
            <v>Standard 2nd Stage [40:14]</v>
          </cell>
          <cell r="C75">
            <v>14</v>
          </cell>
          <cell r="D75">
            <v>40</v>
          </cell>
        </row>
        <row r="76">
          <cell r="B76" t="str">
            <v>Optional 2nd Stage [34:20]</v>
          </cell>
          <cell r="C76">
            <v>20</v>
          </cell>
          <cell r="D76">
            <v>34</v>
          </cell>
        </row>
        <row r="77">
          <cell r="B77" t="str">
            <v>Optional 2nd Stage [30:24]</v>
          </cell>
          <cell r="C77">
            <v>24</v>
          </cell>
          <cell r="D77">
            <v>30</v>
          </cell>
        </row>
        <row r="82">
          <cell r="B82" t="str">
            <v>11-tooth Pinion [50:11]</v>
          </cell>
          <cell r="C82">
            <v>11</v>
          </cell>
          <cell r="D82">
            <v>50</v>
          </cell>
        </row>
        <row r="83">
          <cell r="B83" t="str">
            <v>12-tooth Pinion [50:12]</v>
          </cell>
          <cell r="C83">
            <v>12</v>
          </cell>
          <cell r="D83">
            <v>50</v>
          </cell>
        </row>
        <row r="84">
          <cell r="B84" t="str">
            <v>13-tooth Pinion [50:13]</v>
          </cell>
          <cell r="C84">
            <v>13</v>
          </cell>
          <cell r="D84">
            <v>50</v>
          </cell>
        </row>
        <row r="85">
          <cell r="B85" t="str">
            <v>14-tooth Pinion [50:14]</v>
          </cell>
          <cell r="C85">
            <v>14</v>
          </cell>
          <cell r="D85">
            <v>50</v>
          </cell>
        </row>
        <row r="88">
          <cell r="B88" t="str">
            <v>2nd Stage Option 1 [40:34]</v>
          </cell>
          <cell r="C88">
            <v>34</v>
          </cell>
          <cell r="D88">
            <v>40</v>
          </cell>
        </row>
        <row r="89">
          <cell r="B89" t="str">
            <v>2nd Stage Option 2 [44:30]</v>
          </cell>
          <cell r="C89">
            <v>30</v>
          </cell>
          <cell r="D89">
            <v>44</v>
          </cell>
        </row>
        <row r="90">
          <cell r="B90" t="str">
            <v>2nd Stage Option 3 [50:24]</v>
          </cell>
          <cell r="C90">
            <v>24</v>
          </cell>
          <cell r="D90">
            <v>50</v>
          </cell>
        </row>
        <row r="91">
          <cell r="B91" t="str">
            <v>2nd Stage Option 4 [54:20]</v>
          </cell>
          <cell r="C91">
            <v>20</v>
          </cell>
          <cell r="D91">
            <v>54</v>
          </cell>
        </row>
        <row r="92">
          <cell r="B92" t="str">
            <v>2nd Stage Option 5 [60:14]</v>
          </cell>
          <cell r="C92">
            <v>14</v>
          </cell>
          <cell r="D92">
            <v>60</v>
          </cell>
        </row>
      </sheetData>
    </sheetDataSet>
  </externalBook>
</externalLink>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chiefdelphi.com/media/papers/2432?" TargetMode="External"/><Relationship Id="rId2" Type="http://schemas.openxmlformats.org/officeDocument/2006/relationships/hyperlink" Target="https://www.chiefdelphi.com/media/papers/2715" TargetMode="External"/><Relationship Id="rId1" Type="http://schemas.openxmlformats.org/officeDocument/2006/relationships/hyperlink" Target="https://www.chiefdelphi.com/media/papers/3188" TargetMode="External"/><Relationship Id="rId5" Type="http://schemas.openxmlformats.org/officeDocument/2006/relationships/hyperlink" Target="https://en.wikipedia.org/wiki/Golden-section_search" TargetMode="External"/><Relationship Id="rId4" Type="http://schemas.openxmlformats.org/officeDocument/2006/relationships/hyperlink" Target="https://www.chiefdelphi.com/media/papers/2868"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hyperlink" Target="http://www.wcproducts.net/wcp-ds-flippe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499984740745262"/>
  </sheetPr>
  <dimension ref="B2:C42"/>
  <sheetViews>
    <sheetView tabSelected="1" workbookViewId="0"/>
  </sheetViews>
  <sheetFormatPr defaultRowHeight="15" x14ac:dyDescent="0.25"/>
  <cols>
    <col min="2" max="2" width="2.7109375" customWidth="1"/>
    <col min="3" max="3" width="70.7109375" customWidth="1"/>
    <col min="5" max="5" width="8.85546875" customWidth="1"/>
  </cols>
  <sheetData>
    <row r="2" spans="2:3" ht="30.6" x14ac:dyDescent="1.1000000000000001">
      <c r="C2" s="114" t="s">
        <v>261</v>
      </c>
    </row>
    <row r="3" spans="2:3" ht="15.6" x14ac:dyDescent="0.6">
      <c r="C3" s="113" t="s">
        <v>398</v>
      </c>
    </row>
    <row r="4" spans="2:3" ht="15.6" x14ac:dyDescent="0.6">
      <c r="C4" s="113" t="s">
        <v>399</v>
      </c>
    </row>
    <row r="6" spans="2:3" ht="14.45" x14ac:dyDescent="0.55000000000000004">
      <c r="C6" s="7" t="s">
        <v>36</v>
      </c>
    </row>
    <row r="7" spans="2:3" ht="14.45" x14ac:dyDescent="0.55000000000000004">
      <c r="B7" s="2"/>
      <c r="C7" t="s">
        <v>37</v>
      </c>
    </row>
    <row r="8" spans="2:3" ht="14.45" x14ac:dyDescent="0.55000000000000004">
      <c r="B8" s="112"/>
      <c r="C8" t="s">
        <v>38</v>
      </c>
    </row>
    <row r="9" spans="2:3" ht="14.45" x14ac:dyDescent="0.55000000000000004">
      <c r="B9" s="115"/>
      <c r="C9" s="10" t="s">
        <v>39</v>
      </c>
    </row>
    <row r="11" spans="2:3" ht="14.45" x14ac:dyDescent="0.55000000000000004">
      <c r="C11" s="116" t="s">
        <v>251</v>
      </c>
    </row>
    <row r="12" spans="2:3" ht="90" x14ac:dyDescent="0.25">
      <c r="C12" s="117" t="s">
        <v>405</v>
      </c>
    </row>
    <row r="13" spans="2:3" ht="14.45" x14ac:dyDescent="0.55000000000000004">
      <c r="C13" s="118"/>
    </row>
    <row r="14" spans="2:3" ht="14.45" x14ac:dyDescent="0.55000000000000004">
      <c r="C14" s="223" t="s">
        <v>392</v>
      </c>
    </row>
    <row r="15" spans="2:3" ht="150" x14ac:dyDescent="0.25">
      <c r="C15" s="117" t="s">
        <v>419</v>
      </c>
    </row>
    <row r="16" spans="2:3" ht="14.45" x14ac:dyDescent="0.55000000000000004">
      <c r="C16" s="222"/>
    </row>
    <row r="17" spans="3:3" x14ac:dyDescent="0.25">
      <c r="C17" s="116" t="s">
        <v>263</v>
      </c>
    </row>
    <row r="18" spans="3:3" ht="90" x14ac:dyDescent="0.25">
      <c r="C18" s="117" t="s">
        <v>255</v>
      </c>
    </row>
    <row r="19" spans="3:3" ht="14.45" x14ac:dyDescent="0.55000000000000004">
      <c r="C19" s="118"/>
    </row>
    <row r="20" spans="3:3" ht="14.45" x14ac:dyDescent="0.55000000000000004">
      <c r="C20" s="116" t="s">
        <v>406</v>
      </c>
    </row>
    <row r="21" spans="3:3" ht="135" x14ac:dyDescent="0.25">
      <c r="C21" s="117" t="s">
        <v>402</v>
      </c>
    </row>
    <row r="22" spans="3:3" ht="14.45" x14ac:dyDescent="0.55000000000000004">
      <c r="C22" s="118"/>
    </row>
    <row r="23" spans="3:3" ht="14.45" x14ac:dyDescent="0.55000000000000004">
      <c r="C23" s="116" t="s">
        <v>252</v>
      </c>
    </row>
    <row r="24" spans="3:3" ht="105" x14ac:dyDescent="0.25">
      <c r="C24" s="117" t="s">
        <v>394</v>
      </c>
    </row>
    <row r="25" spans="3:3" ht="14.45" x14ac:dyDescent="0.55000000000000004">
      <c r="C25" s="118"/>
    </row>
    <row r="26" spans="3:3" ht="14.45" x14ac:dyDescent="0.55000000000000004">
      <c r="C26" s="116" t="s">
        <v>253</v>
      </c>
    </row>
    <row r="27" spans="3:3" ht="45" x14ac:dyDescent="0.25">
      <c r="C27" s="117" t="s">
        <v>403</v>
      </c>
    </row>
    <row r="28" spans="3:3" ht="60" x14ac:dyDescent="0.25">
      <c r="C28" s="117" t="s">
        <v>395</v>
      </c>
    </row>
    <row r="29" spans="3:3" x14ac:dyDescent="0.25">
      <c r="C29" s="118"/>
    </row>
    <row r="30" spans="3:3" x14ac:dyDescent="0.25">
      <c r="C30" s="116" t="s">
        <v>397</v>
      </c>
    </row>
    <row r="31" spans="3:3" ht="105" x14ac:dyDescent="0.25">
      <c r="C31" s="117" t="s">
        <v>404</v>
      </c>
    </row>
    <row r="32" spans="3:3" x14ac:dyDescent="0.25">
      <c r="C32" s="118"/>
    </row>
    <row r="33" spans="3:3" x14ac:dyDescent="0.25">
      <c r="C33" s="116" t="s">
        <v>254</v>
      </c>
    </row>
    <row r="34" spans="3:3" ht="60" x14ac:dyDescent="0.25">
      <c r="C34" s="117" t="s">
        <v>256</v>
      </c>
    </row>
    <row r="35" spans="3:3" x14ac:dyDescent="0.25">
      <c r="C35" s="118"/>
    </row>
    <row r="37" spans="3:3" x14ac:dyDescent="0.25">
      <c r="C37" s="116" t="s">
        <v>257</v>
      </c>
    </row>
    <row r="38" spans="3:3" x14ac:dyDescent="0.25">
      <c r="C38" s="119" t="s">
        <v>258</v>
      </c>
    </row>
    <row r="39" spans="3:3" x14ac:dyDescent="0.25">
      <c r="C39" s="225" t="s">
        <v>393</v>
      </c>
    </row>
    <row r="40" spans="3:3" x14ac:dyDescent="0.25">
      <c r="C40" s="225" t="s">
        <v>396</v>
      </c>
    </row>
    <row r="41" spans="3:3" x14ac:dyDescent="0.25">
      <c r="C41" s="119" t="s">
        <v>260</v>
      </c>
    </row>
    <row r="42" spans="3:3" x14ac:dyDescent="0.25">
      <c r="C42" s="166" t="s">
        <v>259</v>
      </c>
    </row>
  </sheetData>
  <hyperlinks>
    <hyperlink ref="C38" r:id="rId1"/>
    <hyperlink ref="C42" r:id="rId2"/>
    <hyperlink ref="C41" r:id="rId3"/>
    <hyperlink ref="C39" r:id="rId4"/>
    <hyperlink ref="C40" r:id="rId5"/>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sheetPr>
  <dimension ref="B2:L27"/>
  <sheetViews>
    <sheetView zoomScaleNormal="100" workbookViewId="0">
      <selection activeCell="G6" sqref="G6"/>
    </sheetView>
  </sheetViews>
  <sheetFormatPr defaultRowHeight="15" x14ac:dyDescent="0.25"/>
  <cols>
    <col min="2" max="2" width="2.7109375" customWidth="1"/>
    <col min="3" max="3" width="21.85546875" customWidth="1"/>
    <col min="7" max="7" width="10.7109375" customWidth="1"/>
    <col min="8" max="8" width="10.28515625" customWidth="1"/>
    <col min="10" max="10" width="11.85546875" customWidth="1"/>
    <col min="11" max="11" width="9.28515625" customWidth="1"/>
    <col min="12" max="12" width="14.42578125" customWidth="1"/>
    <col min="13" max="13" width="9.28515625" customWidth="1"/>
    <col min="14" max="14" width="6.28515625" customWidth="1"/>
  </cols>
  <sheetData>
    <row r="2" spans="2:12" ht="30.6" x14ac:dyDescent="1.1000000000000001">
      <c r="C2" s="5" t="s">
        <v>236</v>
      </c>
    </row>
    <row r="4" spans="2:12" ht="14.45" x14ac:dyDescent="0.55000000000000004">
      <c r="B4" s="25"/>
      <c r="C4" s="226" t="s">
        <v>17</v>
      </c>
      <c r="D4" s="226"/>
      <c r="E4" s="13" t="s">
        <v>18</v>
      </c>
      <c r="F4" s="25"/>
      <c r="G4" s="126" t="s">
        <v>241</v>
      </c>
      <c r="H4" s="126" t="s">
        <v>41</v>
      </c>
      <c r="I4" s="127" t="s">
        <v>250</v>
      </c>
      <c r="J4" s="126" t="s">
        <v>295</v>
      </c>
      <c r="K4" s="25"/>
      <c r="L4" s="25"/>
    </row>
    <row r="5" spans="2:12" ht="14.45" x14ac:dyDescent="0.55000000000000004">
      <c r="B5" s="25"/>
      <c r="C5" s="126" t="s">
        <v>24</v>
      </c>
      <c r="D5" s="189">
        <f>VLOOKUP($C$4,UsefulValues!$X$5:$AC$22,2,FALSE)</f>
        <v>5330</v>
      </c>
      <c r="E5" s="128">
        <f>D5*D17/12</f>
        <v>5330</v>
      </c>
      <c r="F5" s="25"/>
      <c r="G5" s="129">
        <v>12</v>
      </c>
      <c r="H5" s="129">
        <v>72</v>
      </c>
      <c r="I5" s="129">
        <v>20</v>
      </c>
      <c r="J5" s="130">
        <f>IFERROR(((G5+H5)/(2*I5)+0.003)*IF(ISBLANK(B$11), 1, 25.4), "")</f>
        <v>2.1030000000000002</v>
      </c>
      <c r="K5" s="25"/>
      <c r="L5" s="25"/>
    </row>
    <row r="6" spans="2:12" ht="14.45" x14ac:dyDescent="0.55000000000000004">
      <c r="B6" s="25"/>
      <c r="C6" s="126" t="s">
        <v>26</v>
      </c>
      <c r="D6" s="190">
        <f>VLOOKUP($C$4,UsefulValues!$X$5:$AC$22,3,FALSE)</f>
        <v>2.41</v>
      </c>
      <c r="E6" s="131">
        <f>D6*D13*D14*D15*D17/12</f>
        <v>8.6760000000000002</v>
      </c>
      <c r="F6" s="25"/>
      <c r="G6" s="129"/>
      <c r="H6" s="129"/>
      <c r="I6" s="129"/>
      <c r="J6" s="130" t="str">
        <f>IFERROR(((G6+H6)/(2*I6)+0.003)*IF(ISBLANK(B$11), 1, 25.4), "")</f>
        <v/>
      </c>
      <c r="K6" s="25"/>
      <c r="L6" s="25"/>
    </row>
    <row r="7" spans="2:12" ht="14.45" x14ac:dyDescent="0.55000000000000004">
      <c r="B7" s="25"/>
      <c r="C7" s="126" t="s">
        <v>28</v>
      </c>
      <c r="D7" s="191">
        <f>VLOOKUP($C$4,UsefulValues!$X$5:$AC$22,4,FALSE)</f>
        <v>131</v>
      </c>
      <c r="E7" s="132">
        <f>D7*D13*D14*D17/12</f>
        <v>524</v>
      </c>
      <c r="F7" s="25"/>
      <c r="G7" s="129"/>
      <c r="H7" s="129"/>
      <c r="I7" s="129"/>
      <c r="J7" s="130" t="str">
        <f>IFERROR(((G7+H7)/(2*I7)+0.003)*IF(ISBLANK(B$11), 1, 25.4), "")</f>
        <v/>
      </c>
      <c r="K7" s="25"/>
      <c r="L7" s="25"/>
    </row>
    <row r="8" spans="2:12" ht="14.45" x14ac:dyDescent="0.55000000000000004">
      <c r="B8" s="25"/>
      <c r="C8" s="126" t="s">
        <v>30</v>
      </c>
      <c r="D8" s="191">
        <f>VLOOKUP($C$4,UsefulValues!$X$5:$AC$22,5,FALSE)</f>
        <v>2.7</v>
      </c>
      <c r="E8" s="132">
        <f>D8*D13*D14*D17/12</f>
        <v>10.800000000000002</v>
      </c>
      <c r="F8" s="25"/>
      <c r="G8" s="129"/>
      <c r="H8" s="129"/>
      <c r="I8" s="129"/>
      <c r="J8" s="130" t="str">
        <f>IFERROR(((G8+H8)/(2*I8)+0.003)*IF(ISBLANK(B$11), 1, 25.4), "")</f>
        <v/>
      </c>
      <c r="K8" s="25"/>
      <c r="L8" s="25"/>
    </row>
    <row r="9" spans="2:12" ht="14.45" x14ac:dyDescent="0.55000000000000004">
      <c r="B9" s="25"/>
      <c r="C9" s="127" t="s">
        <v>31</v>
      </c>
      <c r="D9" s="189">
        <f>(D5/60*2*PI())*D6/4</f>
        <v>336.28916760964142</v>
      </c>
      <c r="E9" s="189">
        <f>(E5/60*2*PI())*E6/4</f>
        <v>1210.6410033947091</v>
      </c>
      <c r="F9" s="25"/>
      <c r="G9" s="25" t="s">
        <v>242</v>
      </c>
      <c r="H9" s="133">
        <f>IF(H5=0,1,H5)*IF(H6=0,1,H6)*IF(H7=0,1,H7)*IF(H8=0,1,H8)/IF(G5=0,1,G5)/IF(G6=0,1,G6)/IF(G7=0,1,G7)/IF(G8=0,1,G8)</f>
        <v>6</v>
      </c>
      <c r="I9" s="25"/>
      <c r="J9" s="25"/>
      <c r="K9" s="25"/>
      <c r="L9" s="25"/>
    </row>
    <row r="10" spans="2:12" ht="14.45" x14ac:dyDescent="0.55000000000000004">
      <c r="B10" s="25"/>
      <c r="C10" s="25"/>
      <c r="D10" s="25"/>
      <c r="E10" s="25"/>
      <c r="F10" s="25"/>
      <c r="G10" s="25"/>
      <c r="H10" s="25"/>
      <c r="I10" s="25"/>
      <c r="J10" s="25"/>
      <c r="K10" s="25"/>
      <c r="L10" s="25"/>
    </row>
    <row r="11" spans="2:12" ht="14.45" x14ac:dyDescent="0.55000000000000004">
      <c r="B11" s="129"/>
      <c r="C11" s="25" t="s">
        <v>35</v>
      </c>
      <c r="D11" s="25"/>
      <c r="E11" s="25"/>
      <c r="F11" s="25"/>
      <c r="G11" s="25"/>
      <c r="H11" s="25"/>
      <c r="I11" s="25"/>
      <c r="J11" s="25"/>
      <c r="K11" s="25"/>
      <c r="L11" s="25"/>
    </row>
    <row r="12" spans="2:12" ht="14.45" x14ac:dyDescent="0.55000000000000004">
      <c r="B12" s="25"/>
      <c r="C12" s="25"/>
      <c r="D12" s="25"/>
      <c r="E12" s="25"/>
      <c r="F12" s="25"/>
      <c r="G12" s="25"/>
      <c r="H12" s="25"/>
      <c r="I12" s="25"/>
      <c r="J12" s="25"/>
      <c r="K12" s="25"/>
      <c r="L12" s="25"/>
    </row>
    <row r="13" spans="2:12" ht="14.45" x14ac:dyDescent="0.55000000000000004">
      <c r="B13" s="25"/>
      <c r="C13" s="126" t="s">
        <v>237</v>
      </c>
      <c r="D13" s="129">
        <v>2</v>
      </c>
      <c r="E13" s="25"/>
      <c r="F13" s="25"/>
      <c r="G13" s="126" t="s">
        <v>241</v>
      </c>
      <c r="H13" s="126" t="s">
        <v>41</v>
      </c>
      <c r="I13" s="25"/>
      <c r="J13" s="126" t="s">
        <v>248</v>
      </c>
      <c r="K13" s="194">
        <f>H9*IF(H14=0,1,H14)/IF(G14=0,1,G14)</f>
        <v>6</v>
      </c>
      <c r="L13" s="134"/>
    </row>
    <row r="14" spans="2:12" ht="14.45" x14ac:dyDescent="0.55000000000000004">
      <c r="B14" s="25"/>
      <c r="C14" s="126" t="s">
        <v>238</v>
      </c>
      <c r="D14" s="129">
        <v>2</v>
      </c>
      <c r="E14" s="25"/>
      <c r="F14" s="25"/>
      <c r="G14" s="129"/>
      <c r="H14" s="129"/>
      <c r="I14" s="25"/>
      <c r="J14" s="126" t="s">
        <v>243</v>
      </c>
      <c r="K14" s="195">
        <f>K15*D$16</f>
        <v>13.798863954475834</v>
      </c>
      <c r="L14" s="25" t="str">
        <f>IF(ISBLANK(B$11), "ft/s", "m/s")</f>
        <v>ft/s</v>
      </c>
    </row>
    <row r="15" spans="2:12" ht="14.45" x14ac:dyDescent="0.55000000000000004">
      <c r="B15" s="25"/>
      <c r="C15" s="127" t="s">
        <v>34</v>
      </c>
      <c r="D15" s="192">
        <v>0.9</v>
      </c>
      <c r="E15" s="25"/>
      <c r="F15" s="25"/>
      <c r="G15" s="126" t="s">
        <v>250</v>
      </c>
      <c r="H15" s="129"/>
      <c r="I15" s="25"/>
      <c r="J15" s="126" t="s">
        <v>170</v>
      </c>
      <c r="K15" s="195">
        <f>E$5/K13*(D$21*PI())/12/60/IF(ISBLANK(B$11), 1, 3.281)</f>
        <v>15.50434152188296</v>
      </c>
      <c r="L15" s="25" t="str">
        <f>IF(ISBLANK(B$11), "ft/s", "m/s")</f>
        <v>ft/s</v>
      </c>
    </row>
    <row r="16" spans="2:12" ht="14.45" x14ac:dyDescent="0.55000000000000004">
      <c r="B16" s="25"/>
      <c r="C16" s="127" t="s">
        <v>239</v>
      </c>
      <c r="D16" s="192">
        <v>0.89</v>
      </c>
      <c r="E16" s="25"/>
      <c r="F16" s="25"/>
      <c r="G16" s="126" t="s">
        <v>295</v>
      </c>
      <c r="H16" s="162" t="str">
        <f>IFERROR(((G14+H14)/(2*H15)+0.003)*IF(ISBLANK(B$11), 1, 25.4), "")</f>
        <v/>
      </c>
      <c r="I16" s="25"/>
      <c r="J16" s="126" t="s">
        <v>244</v>
      </c>
      <c r="K16" s="195">
        <f>((E$7-E$8)/E$6)*(D$19*D$20*D$22/D$14)*4.44822161526*D21*0.0254/2/D$13/K13 +(E$8/D$13/D$14)</f>
        <v>88.468282191993438</v>
      </c>
      <c r="L16" s="25" t="s">
        <v>264</v>
      </c>
    </row>
    <row r="17" spans="2:12" ht="14.45" x14ac:dyDescent="0.55000000000000004">
      <c r="B17" s="25"/>
      <c r="C17" s="127" t="s">
        <v>291</v>
      </c>
      <c r="D17" s="129">
        <v>12</v>
      </c>
      <c r="E17" s="25"/>
      <c r="F17" s="25"/>
      <c r="G17" s="25"/>
      <c r="H17" s="25"/>
      <c r="I17" s="25"/>
      <c r="J17" s="25"/>
      <c r="K17" s="25"/>
      <c r="L17" s="25"/>
    </row>
    <row r="18" spans="2:12" x14ac:dyDescent="0.25">
      <c r="G18" s="25"/>
      <c r="H18" s="25"/>
      <c r="I18" s="25"/>
      <c r="J18" s="25"/>
      <c r="K18" s="25"/>
      <c r="L18" s="25"/>
    </row>
    <row r="19" spans="2:12" ht="14.45" customHeight="1" x14ac:dyDescent="0.25">
      <c r="B19" s="25"/>
      <c r="C19" s="126" t="s">
        <v>412</v>
      </c>
      <c r="D19" s="129">
        <v>154</v>
      </c>
      <c r="F19" s="25"/>
      <c r="G19" s="7" t="s">
        <v>249</v>
      </c>
      <c r="H19" s="25"/>
      <c r="I19" s="25"/>
      <c r="J19" s="25"/>
      <c r="K19" s="25"/>
      <c r="L19" s="25"/>
    </row>
    <row r="20" spans="2:12" x14ac:dyDescent="0.25">
      <c r="B20" s="25"/>
      <c r="C20" s="126" t="s">
        <v>235</v>
      </c>
      <c r="D20" s="192">
        <v>1</v>
      </c>
      <c r="E20" s="25"/>
      <c r="F20" s="25"/>
      <c r="G20" s="126" t="s">
        <v>241</v>
      </c>
      <c r="H20" s="126" t="s">
        <v>41</v>
      </c>
      <c r="I20" s="25"/>
      <c r="J20" s="136" t="s">
        <v>248</v>
      </c>
      <c r="K20" s="137" t="str">
        <f>IF(ISBLANK($B$24), "", H9*IF(H21=0,1,H21)/IF(G21=0,1,G21))</f>
        <v/>
      </c>
      <c r="L20" s="25"/>
    </row>
    <row r="21" spans="2:12" ht="14.45" customHeight="1" x14ac:dyDescent="0.25">
      <c r="B21" s="25"/>
      <c r="C21" s="126" t="s">
        <v>413</v>
      </c>
      <c r="D21" s="193">
        <v>4</v>
      </c>
      <c r="F21" s="25"/>
      <c r="G21" s="129"/>
      <c r="H21" s="129"/>
      <c r="I21" s="9"/>
      <c r="J21" s="125" t="s">
        <v>243</v>
      </c>
      <c r="K21" s="135" t="str">
        <f>IF(ISBLANK($B$24), "", K22*D$16)</f>
        <v/>
      </c>
      <c r="L21" s="25" t="str">
        <f>IF(ISBLANK(B$11), "ft/s", "m/s")</f>
        <v>ft/s</v>
      </c>
    </row>
    <row r="22" spans="2:12" x14ac:dyDescent="0.25">
      <c r="B22" s="25"/>
      <c r="C22" s="126" t="s">
        <v>240</v>
      </c>
      <c r="D22" s="193">
        <v>1</v>
      </c>
      <c r="E22" s="25"/>
      <c r="F22" s="25"/>
      <c r="G22" s="126" t="s">
        <v>250</v>
      </c>
      <c r="H22" s="129"/>
      <c r="I22" s="25"/>
      <c r="J22" s="125" t="s">
        <v>170</v>
      </c>
      <c r="K22" s="135" t="str">
        <f>IF(ISBLANK($B$24), "", E$5/K20*(IF(ISBLANK(B25),D21,G25)/IF(ISBLANK(B$11), 1, 25.4)*PI())/12/60/IF(ISBLANK(B$11), 1, 3.281))</f>
        <v/>
      </c>
      <c r="L22" s="25" t="str">
        <f>IF(ISBLANK(B$11), "ft/s", "m/s")</f>
        <v>ft/s</v>
      </c>
    </row>
    <row r="23" spans="2:12" x14ac:dyDescent="0.25">
      <c r="B23" s="25"/>
      <c r="C23" s="25"/>
      <c r="D23" s="25"/>
      <c r="E23" s="25"/>
      <c r="F23" s="25"/>
      <c r="G23" s="126" t="s">
        <v>295</v>
      </c>
      <c r="H23" s="162" t="str">
        <f>IFERROR(((G21+H21)/(2*H22)+0.003)*IF(ISBLANK(B$11), 1, 25.4), "")</f>
        <v/>
      </c>
      <c r="I23" s="25"/>
      <c r="J23" s="125" t="s">
        <v>244</v>
      </c>
      <c r="K23" s="135" t="str">
        <f>IF(ISBLANK($B$24), "", ((E$7-E$8)/E$6)*(D$19*D$20*D$22/D$14)*4.44822161526*IF(ISBLANK(B25),D21,G25)*0.0254/2/D$13/K20 +(E$8/D$13/D$14))</f>
        <v/>
      </c>
      <c r="L23" s="25" t="s">
        <v>264</v>
      </c>
    </row>
    <row r="24" spans="2:12" ht="14.45" x14ac:dyDescent="0.55000000000000004">
      <c r="B24" s="129"/>
      <c r="C24" s="25" t="s">
        <v>247</v>
      </c>
      <c r="D24" s="25"/>
      <c r="E24" s="25"/>
      <c r="F24" s="25"/>
      <c r="G24" s="227" t="s">
        <v>245</v>
      </c>
      <c r="H24" s="227"/>
      <c r="I24" s="25"/>
      <c r="J24" s="25"/>
      <c r="K24" s="25"/>
      <c r="L24" s="25"/>
    </row>
    <row r="25" spans="2:12" ht="14.45" x14ac:dyDescent="0.55000000000000004">
      <c r="B25" s="129"/>
      <c r="C25" s="25" t="s">
        <v>322</v>
      </c>
      <c r="D25" s="25"/>
      <c r="E25" s="25"/>
      <c r="F25" s="25"/>
      <c r="G25" s="129"/>
      <c r="H25" s="25" t="str">
        <f>IF(ISBLANK($B$11), "inches", "mm")</f>
        <v>inches</v>
      </c>
      <c r="I25" s="25"/>
      <c r="J25" s="136" t="s">
        <v>282</v>
      </c>
      <c r="K25" s="138" t="str">
        <f>IF(ISBLANK($B$24), "", IF(K13&gt;K20, K13/K20, K20/K13))</f>
        <v/>
      </c>
      <c r="L25" s="25"/>
    </row>
    <row r="26" spans="2:12" ht="14.45" x14ac:dyDescent="0.55000000000000004">
      <c r="B26" s="25"/>
      <c r="C26" s="25"/>
      <c r="D26" s="25"/>
      <c r="E26" s="25"/>
      <c r="F26" s="25"/>
      <c r="G26" s="227" t="s">
        <v>246</v>
      </c>
      <c r="H26" s="227"/>
      <c r="I26" s="25"/>
      <c r="L26" s="25"/>
    </row>
    <row r="27" spans="2:12" ht="14.45" x14ac:dyDescent="0.55000000000000004">
      <c r="B27" s="25"/>
      <c r="C27" s="25"/>
      <c r="D27" s="25"/>
      <c r="E27" s="25"/>
      <c r="F27" s="25"/>
      <c r="G27" s="129"/>
      <c r="H27" s="25"/>
      <c r="I27" s="25"/>
      <c r="J27" s="25"/>
      <c r="K27" s="25"/>
      <c r="L27" s="25"/>
    </row>
  </sheetData>
  <mergeCells count="3">
    <mergeCell ref="C4:D4"/>
    <mergeCell ref="G26:H26"/>
    <mergeCell ref="G24:H24"/>
  </mergeCells>
  <conditionalFormatting sqref="G19:L27">
    <cfRule type="expression" dxfId="62" priority="26">
      <formula>ISBLANK($B$24)</formula>
    </cfRule>
  </conditionalFormatting>
  <conditionalFormatting sqref="G25:H25 G27:H27 G26 G24">
    <cfRule type="expression" dxfId="61" priority="28">
      <formula>OR(ISBLANK($B$24), ISBLANK($B$25))</formula>
    </cfRule>
  </conditionalFormatting>
  <conditionalFormatting sqref="D13">
    <cfRule type="expression" dxfId="60" priority="13">
      <formula>$D$13&lt;=0</formula>
    </cfRule>
  </conditionalFormatting>
  <conditionalFormatting sqref="D14">
    <cfRule type="expression" dxfId="59" priority="12">
      <formula>$D$14&lt;=0</formula>
    </cfRule>
  </conditionalFormatting>
  <conditionalFormatting sqref="D15">
    <cfRule type="expression" dxfId="58" priority="11">
      <formula>OR($D$15&lt;=0, $D$15&gt;1)</formula>
    </cfRule>
  </conditionalFormatting>
  <conditionalFormatting sqref="D16">
    <cfRule type="expression" dxfId="57" priority="10">
      <formula>OR($D$16&lt;=0, $D$16&gt;1)</formula>
    </cfRule>
  </conditionalFormatting>
  <conditionalFormatting sqref="D17">
    <cfRule type="expression" dxfId="56" priority="9">
      <formula>$D$17&lt;=0</formula>
    </cfRule>
  </conditionalFormatting>
  <conditionalFormatting sqref="D19">
    <cfRule type="expression" dxfId="55" priority="8">
      <formula>$D$19&lt;=0</formula>
    </cfRule>
  </conditionalFormatting>
  <conditionalFormatting sqref="D20">
    <cfRule type="expression" dxfId="54" priority="7">
      <formula>OR($D$20&lt;=0, $D$20&gt;1)</formula>
    </cfRule>
  </conditionalFormatting>
  <conditionalFormatting sqref="D21">
    <cfRule type="expression" dxfId="53" priority="6">
      <formula>$D$21&lt;=0</formula>
    </cfRule>
  </conditionalFormatting>
  <conditionalFormatting sqref="D22">
    <cfRule type="expression" dxfId="52" priority="5">
      <formula>$D$22&lt;=0</formula>
    </cfRule>
  </conditionalFormatting>
  <conditionalFormatting sqref="G5">
    <cfRule type="expression" dxfId="51" priority="4">
      <formula>$G$5&lt;=0</formula>
    </cfRule>
  </conditionalFormatting>
  <conditionalFormatting sqref="G25">
    <cfRule type="expression" dxfId="50" priority="2">
      <formula>AND($G$25&lt;=0, AND(NOT(ISBLANK($B$24)), NOT(ISBLANK($B$25))))</formula>
    </cfRule>
  </conditionalFormatting>
  <conditionalFormatting sqref="G27">
    <cfRule type="expression" dxfId="49" priority="1">
      <formula>AND($G$27&lt;=0, AND(NOT(ISBLANK($B$24)), NOT(ISBLANK($B$25))))</formula>
    </cfRule>
  </conditionalFormatting>
  <dataValidations disablePrompts="1" count="3">
    <dataValidation type="custom" showErrorMessage="1" errorTitle="One-Speed Selected" error="Select 2-Speed to enable multiple speed outputs." sqref="G21:H21">
      <formula1>NOT(ISBLANK($B$24))</formula1>
    </dataValidation>
    <dataValidation type="custom" showErrorMessage="1" errorTitle="One-Speed Selected" error="Select 2-Speed to enable multiple speed outputs." sqref="G25">
      <formula1>NOT(OR(ISBLANK($B$24), ISBLANK($B$25)))</formula1>
    </dataValidation>
    <dataValidation type="custom" showErrorMessage="1" errorTitle="One-Speed Selected" error="Select 2-Speed to enable multiple speed outputs." sqref="G27">
      <formula1>NOT(OR(ISBLANK(B24), ISBLANK(B25)))</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UsefulValues!$X$5:$X$22</xm:f>
          </x14:formula1>
          <xm:sqref>C4:D4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499984740745262"/>
  </sheetPr>
  <dimension ref="B2:W500"/>
  <sheetViews>
    <sheetView zoomScaleNormal="100" workbookViewId="0"/>
  </sheetViews>
  <sheetFormatPr defaultRowHeight="15" x14ac:dyDescent="0.25"/>
  <cols>
    <col min="2" max="2" width="2.7109375" customWidth="1"/>
    <col min="3" max="3" width="21.28515625" customWidth="1"/>
    <col min="6" max="6" width="18.42578125" customWidth="1"/>
    <col min="7" max="7" width="9.5703125" bestFit="1" customWidth="1"/>
    <col min="8" max="8" width="16" customWidth="1"/>
    <col min="10" max="10" width="3.42578125" customWidth="1"/>
    <col min="11" max="11" width="5.85546875" customWidth="1"/>
    <col min="12" max="12" width="6.5703125" customWidth="1"/>
    <col min="13" max="18" width="5.85546875" customWidth="1"/>
    <col min="20" max="20" width="10.42578125" customWidth="1"/>
    <col min="21" max="21" width="12.85546875" customWidth="1"/>
  </cols>
  <sheetData>
    <row r="2" spans="2:8" ht="31.5" x14ac:dyDescent="0.5">
      <c r="C2" s="5" t="s">
        <v>380</v>
      </c>
    </row>
    <row r="3" spans="2:8" x14ac:dyDescent="0.25">
      <c r="G3" s="1" t="s">
        <v>411</v>
      </c>
      <c r="H3" s="233" t="s">
        <v>414</v>
      </c>
    </row>
    <row r="4" spans="2:8" x14ac:dyDescent="0.25">
      <c r="B4" s="25"/>
      <c r="C4" s="226" t="s">
        <v>17</v>
      </c>
      <c r="D4" s="226"/>
      <c r="E4" s="25"/>
    </row>
    <row r="5" spans="2:8" x14ac:dyDescent="0.25">
      <c r="B5" s="25"/>
      <c r="C5" s="126" t="s">
        <v>24</v>
      </c>
      <c r="D5" s="189">
        <f>VLOOKUP($C$4,UsefulValues!$X$5:$AC$22,2,FALSE)</f>
        <v>5330</v>
      </c>
      <c r="E5" s="25"/>
    </row>
    <row r="6" spans="2:8" x14ac:dyDescent="0.25">
      <c r="B6" s="25"/>
      <c r="C6" s="126" t="s">
        <v>26</v>
      </c>
      <c r="D6" s="190">
        <f>VLOOKUP($C$4,UsefulValues!$X$5:$AC$22,3,FALSE)</f>
        <v>2.41</v>
      </c>
      <c r="E6" s="25"/>
    </row>
    <row r="7" spans="2:8" x14ac:dyDescent="0.25">
      <c r="B7" s="25"/>
      <c r="C7" s="126" t="s">
        <v>28</v>
      </c>
      <c r="D7" s="191">
        <f>VLOOKUP($C$4,UsefulValues!$X$5:$AC$22,4,FALSE)</f>
        <v>131</v>
      </c>
      <c r="E7" s="25"/>
    </row>
    <row r="8" spans="2:8" x14ac:dyDescent="0.25">
      <c r="B8" s="25"/>
      <c r="C8" s="126" t="s">
        <v>30</v>
      </c>
      <c r="D8" s="191">
        <f>VLOOKUP($C$4,UsefulValues!$X$5:$AC$22,5,FALSE)</f>
        <v>2.7</v>
      </c>
      <c r="E8" s="25"/>
    </row>
    <row r="9" spans="2:8" x14ac:dyDescent="0.25">
      <c r="B9" s="25"/>
      <c r="C9" s="127" t="s">
        <v>31</v>
      </c>
      <c r="D9" s="189">
        <f>(D5/60*2*PI())*D6/4</f>
        <v>336.28916760964142</v>
      </c>
      <c r="E9" s="25"/>
    </row>
    <row r="10" spans="2:8" x14ac:dyDescent="0.25">
      <c r="B10" s="25"/>
      <c r="C10" s="25"/>
      <c r="D10" s="25"/>
      <c r="E10" s="25"/>
    </row>
    <row r="11" spans="2:8" x14ac:dyDescent="0.25">
      <c r="B11" s="129"/>
      <c r="C11" s="25" t="s">
        <v>35</v>
      </c>
      <c r="D11" s="25"/>
      <c r="E11" s="25"/>
    </row>
    <row r="12" spans="2:8" x14ac:dyDescent="0.25">
      <c r="B12" s="25"/>
      <c r="C12" s="25"/>
      <c r="D12" s="25"/>
      <c r="E12" s="25"/>
    </row>
    <row r="13" spans="2:8" x14ac:dyDescent="0.25">
      <c r="B13" s="25"/>
      <c r="C13" s="126" t="s">
        <v>237</v>
      </c>
      <c r="D13" s="129">
        <v>2</v>
      </c>
      <c r="E13" s="25"/>
    </row>
    <row r="14" spans="2:8" x14ac:dyDescent="0.25">
      <c r="B14" s="25"/>
      <c r="C14" s="126" t="s">
        <v>238</v>
      </c>
      <c r="D14" s="129">
        <v>2</v>
      </c>
      <c r="E14" s="25"/>
    </row>
    <row r="15" spans="2:8" x14ac:dyDescent="0.25">
      <c r="B15" s="25"/>
      <c r="C15" s="127" t="s">
        <v>34</v>
      </c>
      <c r="D15" s="192">
        <v>0.9</v>
      </c>
      <c r="E15" s="25"/>
    </row>
    <row r="17" spans="2:23" x14ac:dyDescent="0.25">
      <c r="B17" s="25"/>
      <c r="C17" s="126" t="str">
        <f>IF(ISBLANK($B$11), "Robot Weight (lbs)", "Robot Weight (kg)")</f>
        <v>Robot Weight (lbs)</v>
      </c>
      <c r="D17" s="129">
        <v>154</v>
      </c>
      <c r="E17" s="25"/>
    </row>
    <row r="18" spans="2:23" x14ac:dyDescent="0.25">
      <c r="B18" s="25"/>
      <c r="C18" s="126" t="s">
        <v>235</v>
      </c>
      <c r="D18" s="192">
        <v>1</v>
      </c>
      <c r="E18" s="25"/>
    </row>
    <row r="19" spans="2:23" x14ac:dyDescent="0.25">
      <c r="B19" s="25"/>
      <c r="C19" s="126" t="str">
        <f>IF(ISBLANK($B$11), "Wheel Diameter (in)", "Wheel Diameter (mm)")</f>
        <v>Wheel Diameter (in)</v>
      </c>
      <c r="D19" s="193">
        <v>4</v>
      </c>
      <c r="E19" s="25"/>
    </row>
    <row r="20" spans="2:23" x14ac:dyDescent="0.25">
      <c r="B20" s="25"/>
      <c r="C20" s="126" t="s">
        <v>240</v>
      </c>
      <c r="D20" s="193">
        <v>1.1000000000000001</v>
      </c>
      <c r="E20" s="25"/>
    </row>
    <row r="21" spans="2:23" x14ac:dyDescent="0.25">
      <c r="B21" s="25"/>
      <c r="C21" s="25"/>
      <c r="D21" s="25"/>
      <c r="E21" s="25"/>
    </row>
    <row r="22" spans="2:23" x14ac:dyDescent="0.25">
      <c r="B22" s="25"/>
      <c r="C22" s="25"/>
      <c r="D22" s="25"/>
      <c r="E22" s="25"/>
    </row>
    <row r="23" spans="2:23" x14ac:dyDescent="0.25">
      <c r="B23" s="25"/>
      <c r="E23" s="25"/>
    </row>
    <row r="25" spans="2:23" ht="18.75" x14ac:dyDescent="0.3">
      <c r="C25" s="169" t="s">
        <v>325</v>
      </c>
      <c r="E25" s="25"/>
      <c r="F25" s="169" t="s">
        <v>326</v>
      </c>
    </row>
    <row r="26" spans="2:23" ht="15.75" x14ac:dyDescent="0.25">
      <c r="C26" s="238" t="s">
        <v>417</v>
      </c>
      <c r="F26" s="238" t="s">
        <v>417</v>
      </c>
      <c r="J26" s="213" t="s">
        <v>390</v>
      </c>
      <c r="K26" s="214"/>
      <c r="L26" s="214"/>
      <c r="M26" s="214"/>
      <c r="N26" s="214"/>
      <c r="O26" s="214"/>
      <c r="P26" s="214"/>
      <c r="Q26" s="214"/>
      <c r="R26" s="215"/>
    </row>
    <row r="27" spans="2:23" x14ac:dyDescent="0.25">
      <c r="C27" s="126" t="s">
        <v>410</v>
      </c>
      <c r="D27" s="2">
        <v>10</v>
      </c>
      <c r="E27" s="25"/>
      <c r="F27" s="126" t="s">
        <v>410</v>
      </c>
      <c r="G27" s="129">
        <v>15</v>
      </c>
      <c r="J27" s="216" t="s">
        <v>381</v>
      </c>
      <c r="K27" s="217" t="s">
        <v>391</v>
      </c>
      <c r="L27" s="217" t="s">
        <v>382</v>
      </c>
      <c r="M27" s="217" t="s">
        <v>8</v>
      </c>
      <c r="N27" s="217" t="s">
        <v>383</v>
      </c>
      <c r="O27" s="217" t="s">
        <v>384</v>
      </c>
      <c r="P27" s="217" t="s">
        <v>385</v>
      </c>
      <c r="Q27" s="217" t="s">
        <v>386</v>
      </c>
      <c r="R27" s="218" t="s">
        <v>387</v>
      </c>
    </row>
    <row r="28" spans="2:23" x14ac:dyDescent="0.25">
      <c r="C28" s="1" t="s">
        <v>25</v>
      </c>
      <c r="D28" s="210">
        <v>10</v>
      </c>
      <c r="G28" s="25"/>
      <c r="J28" s="216">
        <f>1</f>
        <v>1</v>
      </c>
      <c r="K28" s="217">
        <f>TimeToDist($G$27, $D$6*$D$15, $D$5, $D$7, $D$13*$D$14, J28, $D$19/2, $D$17, $D$18, $D$20, FALSE)</f>
        <v>3.1259999999997667</v>
      </c>
      <c r="L28" s="217" t="b">
        <f>FALSE</f>
        <v>0</v>
      </c>
      <c r="M28" s="217" t="str">
        <f>IF(L28, IF(L27, IF(Q27&lt;R27, M27, O27), F1), "")</f>
        <v/>
      </c>
      <c r="N28" s="217" t="str">
        <f>IF(L28, IF(L27, IF(Q27&lt;R27, P27, N27), J28), "")</f>
        <v/>
      </c>
      <c r="O28" s="217" t="str">
        <f>IF(L28, N28-(N28-M28)/1.618034, "")</f>
        <v/>
      </c>
      <c r="P28" s="217" t="str">
        <f>IF(L28, M28+(N28-M28)/1.618034, "")</f>
        <v/>
      </c>
      <c r="Q28" s="217" t="str">
        <f>IF(L28, TimeToDist($G$27, $D$6*$D$15, $D$5, $D$7, $D$13*$D$14, O28, $D$19/2, $D$17, $D$18, $D$20, FALSE), "")</f>
        <v/>
      </c>
      <c r="R28" s="218" t="str">
        <f>IF(L28, TimeToDist($G$27, $D$6*$D$15, $D$5, $D$7, $D$13*$D$14, P28, $D$19/2, $D$17, $D$18, $D$20, FALSE), "")</f>
        <v/>
      </c>
      <c r="T28" s="235"/>
      <c r="U28" s="235"/>
      <c r="V28" s="234"/>
      <c r="W28" s="234"/>
    </row>
    <row r="29" spans="2:23" x14ac:dyDescent="0.25">
      <c r="F29" s="1" t="s">
        <v>388</v>
      </c>
      <c r="G29" s="197">
        <f>O66</f>
        <v>5.6763733498054867</v>
      </c>
      <c r="J29" s="216">
        <f>IF(L28, "", J28+1)</f>
        <v>2</v>
      </c>
      <c r="K29" s="217">
        <f>IF(L28, "", TimeToDist($G$27, $D$6*$D$15, $D$5, $D$7, $D$13*$D$14, J29, $D$19/2, $D$17, $D$18, $D$20, FALSE))</f>
        <v>2.0049999999998902</v>
      </c>
      <c r="L29" s="217" t="b">
        <f>OR(L28, K29&gt;K28)</f>
        <v>0</v>
      </c>
      <c r="M29" s="217" t="str">
        <f>IF(L29, IF(L28, IF(Q28&lt;R28, M28, O28), J27), "")</f>
        <v/>
      </c>
      <c r="N29" s="217" t="str">
        <f>IF(L29, IF(L28, IF(Q28&lt;R28, P28, N28), J29), "")</f>
        <v/>
      </c>
      <c r="O29" s="217" t="str">
        <f>IF(L29, N29-(N29-M29)/1.618034, "")</f>
        <v/>
      </c>
      <c r="P29" s="217" t="str">
        <f>IF(L29, M29+(N29-M29)/1.618034, "")</f>
        <v/>
      </c>
      <c r="Q29" s="217" t="str">
        <f t="shared" ref="Q29:Q66" si="0">IF(L29, TimeToDist($G$27, $D$6*$D$15, $D$5, $D$7, $D$13*$D$14, O29, $D$19/2, $D$17, $D$18, $D$20, FALSE), "")</f>
        <v/>
      </c>
      <c r="R29" s="218" t="str">
        <f t="shared" ref="R29:R66" si="1">IF(L29, TimeToDist($G$27, $D$6*$D$15, $D$5, $D$7, $D$13*$D$14, P29, $D$19/2, $D$17, $D$18, $D$20, FALSE), "")</f>
        <v/>
      </c>
      <c r="T29" s="235"/>
      <c r="U29" s="235"/>
      <c r="V29" s="234"/>
      <c r="W29" s="234"/>
    </row>
    <row r="30" spans="2:23" x14ac:dyDescent="0.25">
      <c r="C30" s="1" t="s">
        <v>389</v>
      </c>
      <c r="D30" s="221">
        <f>TimeToDist($D$27, $D$6*$D$15, $D$5, $D$7, $D$13*$D$14, D28, $D$19/2, $D$17, $D$18, $D$20, H3="Forward Single")</f>
        <v>1.3249999999999649</v>
      </c>
      <c r="F30" s="1" t="s">
        <v>389</v>
      </c>
      <c r="G30" s="221">
        <f>Q66</f>
        <v>1.4559999999999504</v>
      </c>
      <c r="J30" s="216">
        <f t="shared" ref="J30:J66" si="2">IF(L29, "", J29+1)</f>
        <v>3</v>
      </c>
      <c r="K30" s="217">
        <f>IF(L29, "", TimeToDist($G$27, $D$6*$D$15, $D$5, $D$7, $D$13*$D$14, J30, $D$19/2, $D$17, $D$18, $D$20, FALSE))</f>
        <v>1.6669999999999272</v>
      </c>
      <c r="L30" s="217" t="b">
        <f t="shared" ref="L30:L66" si="3">OR(L29, K30&gt;K29)</f>
        <v>0</v>
      </c>
      <c r="M30" s="217" t="str">
        <f t="shared" ref="M30:M66" si="4">IF(L30, IF(L29, IF(Q29&lt;R29, M29, O29), J28), "")</f>
        <v/>
      </c>
      <c r="N30" s="217" t="str">
        <f t="shared" ref="N30:N66" si="5">IF(L30, IF(L29, IF(Q29&lt;R29, P29, N29), J30), "")</f>
        <v/>
      </c>
      <c r="O30" s="217" t="str">
        <f t="shared" ref="O30:O66" si="6">IF(L30, N30-(N30-M30)/1.618034, "")</f>
        <v/>
      </c>
      <c r="P30" s="217" t="str">
        <f t="shared" ref="P30:P66" si="7">IF(L30, M30+(N30-M30)/1.618034, "")</f>
        <v/>
      </c>
      <c r="Q30" s="217" t="str">
        <f t="shared" si="0"/>
        <v/>
      </c>
      <c r="R30" s="218" t="str">
        <f t="shared" si="1"/>
        <v/>
      </c>
      <c r="T30" s="235"/>
      <c r="U30" s="235"/>
      <c r="V30" s="234"/>
      <c r="W30" s="234"/>
    </row>
    <row r="31" spans="2:23" x14ac:dyDescent="0.25">
      <c r="C31" s="1" t="str">
        <f>IF(ISBLANK($B$11), "Top Speed (ft/s)", "Top Speed (m/s)")</f>
        <v>Top Speed (ft/s)</v>
      </c>
      <c r="D31" s="221">
        <f>$D$5/60*2*PI()*($D$19/IF(ISBLANK($B$11), 12, 1000)/2)/$D$28</f>
        <v>9.302604913129775</v>
      </c>
      <c r="F31" s="1" t="str">
        <f>IF(ISBLANK($B$11), "Top Speed (ft/s)", "Top Speed (m/s)")</f>
        <v>Top Speed (ft/s)</v>
      </c>
      <c r="G31" s="221">
        <f>$D$5/60*2*PI()*($D$19/IF(ISBLANK($B$11), 12, 1000)/2)/$G$29</f>
        <v>16.38828938806245</v>
      </c>
      <c r="J31" s="216">
        <f t="shared" si="2"/>
        <v>4</v>
      </c>
      <c r="K31" s="217">
        <f>IF(L30, "", TimeToDist($G$27, $D$6*$D$15, $D$5, $D$7, $D$13*$D$14, J31, $D$19/2, $D$17, $D$18, $D$20, FALSE))</f>
        <v>1.5199999999999434</v>
      </c>
      <c r="L31" s="217" t="b">
        <f t="shared" si="3"/>
        <v>0</v>
      </c>
      <c r="M31" s="217" t="str">
        <f t="shared" si="4"/>
        <v/>
      </c>
      <c r="N31" s="217" t="str">
        <f t="shared" si="5"/>
        <v/>
      </c>
      <c r="O31" s="217" t="str">
        <f t="shared" si="6"/>
        <v/>
      </c>
      <c r="P31" s="217" t="str">
        <f t="shared" si="7"/>
        <v/>
      </c>
      <c r="Q31" s="217" t="str">
        <f t="shared" si="0"/>
        <v/>
      </c>
      <c r="R31" s="218" t="str">
        <f t="shared" si="1"/>
        <v/>
      </c>
      <c r="T31" s="235"/>
      <c r="U31" s="235"/>
      <c r="V31" s="234"/>
      <c r="W31" s="234"/>
    </row>
    <row r="32" spans="2:23" x14ac:dyDescent="0.25">
      <c r="J32" s="216">
        <f t="shared" si="2"/>
        <v>5</v>
      </c>
      <c r="K32" s="217">
        <f>IF(L31, "", TimeToDist($G$27, $D$6*$D$15, $D$5, $D$7, $D$13*$D$14, J32, $D$19/2, $D$17, $D$18, $D$20, FALSE))</f>
        <v>1.4629999999999497</v>
      </c>
      <c r="L32" s="217" t="b">
        <f t="shared" si="3"/>
        <v>0</v>
      </c>
      <c r="M32" s="217" t="str">
        <f t="shared" si="4"/>
        <v/>
      </c>
      <c r="N32" s="217" t="str">
        <f t="shared" si="5"/>
        <v/>
      </c>
      <c r="O32" s="217" t="str">
        <f t="shared" si="6"/>
        <v/>
      </c>
      <c r="P32" s="217" t="str">
        <f t="shared" si="7"/>
        <v/>
      </c>
      <c r="Q32" s="217" t="str">
        <f t="shared" si="0"/>
        <v/>
      </c>
      <c r="R32" s="218" t="str">
        <f t="shared" si="1"/>
        <v/>
      </c>
      <c r="T32" s="235"/>
      <c r="U32" s="235"/>
      <c r="V32" s="234"/>
      <c r="W32" s="234"/>
    </row>
    <row r="33" spans="3:23" x14ac:dyDescent="0.25">
      <c r="J33" s="216">
        <f t="shared" si="2"/>
        <v>6</v>
      </c>
      <c r="K33" s="217">
        <f>IF(L32, "", TimeToDist($G$27, $D$6*$D$15, $D$5, $D$7, $D$13*$D$14, J33, $D$19/2, $D$17, $D$18, $D$20, FALSE))</f>
        <v>1.4609999999999499</v>
      </c>
      <c r="L33" s="217" t="b">
        <f t="shared" si="3"/>
        <v>0</v>
      </c>
      <c r="M33" s="217" t="str">
        <f t="shared" si="4"/>
        <v/>
      </c>
      <c r="N33" s="217" t="str">
        <f t="shared" si="5"/>
        <v/>
      </c>
      <c r="O33" s="217" t="str">
        <f t="shared" si="6"/>
        <v/>
      </c>
      <c r="P33" s="217" t="str">
        <f t="shared" si="7"/>
        <v/>
      </c>
      <c r="Q33" s="217" t="str">
        <f t="shared" si="0"/>
        <v/>
      </c>
      <c r="R33" s="218" t="str">
        <f t="shared" si="1"/>
        <v/>
      </c>
      <c r="T33" s="235"/>
      <c r="U33" s="235"/>
      <c r="V33" s="234"/>
      <c r="W33" s="234"/>
    </row>
    <row r="34" spans="3:23" ht="15.75" x14ac:dyDescent="0.25">
      <c r="C34" s="238" t="s">
        <v>418</v>
      </c>
      <c r="J34" s="216">
        <f t="shared" si="2"/>
        <v>7</v>
      </c>
      <c r="K34" s="217">
        <f>IF(L33, "", TimeToDist($G$27, $D$6*$D$15, $D$5, $D$7, $D$13*$D$14, J34, $D$19/2, $D$17, $D$18, $D$20, FALSE))</f>
        <v>1.5559999999999394</v>
      </c>
      <c r="L34" s="217" t="b">
        <f t="shared" si="3"/>
        <v>1</v>
      </c>
      <c r="M34" s="217">
        <f t="shared" si="4"/>
        <v>5</v>
      </c>
      <c r="N34" s="217">
        <f t="shared" si="5"/>
        <v>7</v>
      </c>
      <c r="O34" s="217">
        <f t="shared" si="6"/>
        <v>5.7639320310945257</v>
      </c>
      <c r="P34" s="217">
        <f t="shared" si="7"/>
        <v>6.2360679689054743</v>
      </c>
      <c r="Q34" s="217">
        <f t="shared" si="0"/>
        <v>1.4569999999999503</v>
      </c>
      <c r="R34" s="218">
        <f t="shared" si="1"/>
        <v>1.4669999999999492</v>
      </c>
      <c r="T34" s="235"/>
      <c r="U34" s="235"/>
      <c r="V34" s="234"/>
      <c r="W34" s="234"/>
    </row>
    <row r="35" spans="3:23" x14ac:dyDescent="0.25">
      <c r="C35" s="1" t="s">
        <v>410</v>
      </c>
      <c r="D35" s="2">
        <v>15</v>
      </c>
      <c r="J35" s="216" t="str">
        <f t="shared" si="2"/>
        <v/>
      </c>
      <c r="K35" s="217" t="str">
        <f>IF(L34, "", TimeToDist($G$27, $D$6*$D$15, $D$5, $D$7, $D$13*$D$14, J35, $D$19/2, $D$17, $D$18, $D$20, FALSE))</f>
        <v/>
      </c>
      <c r="L35" s="217" t="b">
        <f t="shared" si="3"/>
        <v>1</v>
      </c>
      <c r="M35" s="217">
        <f t="shared" si="4"/>
        <v>5</v>
      </c>
      <c r="N35" s="217">
        <f t="shared" si="5"/>
        <v>6.2360679689054743</v>
      </c>
      <c r="O35" s="217">
        <f t="shared" si="6"/>
        <v>5.4721359570284225</v>
      </c>
      <c r="P35" s="217">
        <f t="shared" si="7"/>
        <v>5.7639320118770527</v>
      </c>
      <c r="Q35" s="217">
        <f t="shared" si="0"/>
        <v>1.4559999999999504</v>
      </c>
      <c r="R35" s="218">
        <f t="shared" si="1"/>
        <v>1.4569999999999503</v>
      </c>
      <c r="T35" s="235"/>
      <c r="U35" s="235"/>
      <c r="V35" s="234"/>
      <c r="W35" s="234"/>
    </row>
    <row r="36" spans="3:23" x14ac:dyDescent="0.25">
      <c r="C36" s="1" t="s">
        <v>408</v>
      </c>
      <c r="D36" s="210">
        <v>6</v>
      </c>
      <c r="F36" s="237"/>
      <c r="J36" s="216" t="str">
        <f t="shared" si="2"/>
        <v/>
      </c>
      <c r="K36" s="217" t="str">
        <f>IF(L35, "", TimeToDist($G$27, $D$6*$D$15, $D$5, $D$7, $D$13*$D$14, J36, $D$19/2, $D$17, $D$18, $D$20, FALSE))</f>
        <v/>
      </c>
      <c r="L36" s="217" t="b">
        <f t="shared" si="3"/>
        <v>1</v>
      </c>
      <c r="M36" s="217">
        <f t="shared" si="4"/>
        <v>5</v>
      </c>
      <c r="N36" s="217">
        <f t="shared" si="5"/>
        <v>5.7639320118770527</v>
      </c>
      <c r="O36" s="217">
        <f t="shared" si="6"/>
        <v>5.2917960667256825</v>
      </c>
      <c r="P36" s="217">
        <f t="shared" si="7"/>
        <v>5.4721359451513703</v>
      </c>
      <c r="Q36" s="217">
        <f t="shared" si="0"/>
        <v>1.4569999999999503</v>
      </c>
      <c r="R36" s="218">
        <f t="shared" si="1"/>
        <v>1.4559999999999504</v>
      </c>
      <c r="T36" s="235"/>
      <c r="U36" s="235"/>
      <c r="V36" s="234"/>
      <c r="W36" s="234"/>
    </row>
    <row r="37" spans="3:23" x14ac:dyDescent="0.25">
      <c r="C37" s="1" t="s">
        <v>409</v>
      </c>
      <c r="D37" s="210">
        <v>15</v>
      </c>
      <c r="F37" s="237"/>
      <c r="H37" s="237"/>
      <c r="J37" s="216" t="str">
        <f t="shared" si="2"/>
        <v/>
      </c>
      <c r="K37" s="217" t="str">
        <f>IF(L36, "", TimeToDist($G$27, $D$6*$D$15, $D$5, $D$7, $D$13*$D$14, J37, $D$19/2, $D$17, $D$18, $D$20, FALSE))</f>
        <v/>
      </c>
      <c r="L37" s="217" t="b">
        <f t="shared" si="3"/>
        <v>1</v>
      </c>
      <c r="M37" s="217">
        <f t="shared" si="4"/>
        <v>5.2917960667256825</v>
      </c>
      <c r="N37" s="217">
        <f t="shared" si="5"/>
        <v>5.7639320118770527</v>
      </c>
      <c r="O37" s="217">
        <f t="shared" si="6"/>
        <v>5.4721359524917927</v>
      </c>
      <c r="P37" s="217">
        <f t="shared" si="7"/>
        <v>5.5835921261109425</v>
      </c>
      <c r="Q37" s="217">
        <f t="shared" si="0"/>
        <v>1.4559999999999504</v>
      </c>
      <c r="R37" s="218">
        <f t="shared" si="1"/>
        <v>1.4559999999999504</v>
      </c>
      <c r="T37" s="235"/>
      <c r="U37" s="235"/>
      <c r="V37" s="234"/>
      <c r="W37" s="234"/>
    </row>
    <row r="38" spans="3:23" x14ac:dyDescent="0.25">
      <c r="J38" s="216" t="str">
        <f t="shared" si="2"/>
        <v/>
      </c>
      <c r="K38" s="217" t="str">
        <f>IF(L37, "", TimeToDist($G$27, $D$6*$D$15, $D$5, $D$7, $D$13*$D$14, J38, $D$19/2, $D$17, $D$18, $D$20, FALSE))</f>
        <v/>
      </c>
      <c r="L38" s="217" t="b">
        <f t="shared" si="3"/>
        <v>1</v>
      </c>
      <c r="M38" s="217">
        <f t="shared" si="4"/>
        <v>5.4721359524917927</v>
      </c>
      <c r="N38" s="217">
        <f t="shared" si="5"/>
        <v>5.7639320118770527</v>
      </c>
      <c r="O38" s="217">
        <f t="shared" si="6"/>
        <v>5.5835921306475731</v>
      </c>
      <c r="P38" s="217">
        <f t="shared" si="7"/>
        <v>5.6524758337212724</v>
      </c>
      <c r="Q38" s="217">
        <f t="shared" si="0"/>
        <v>1.4559999999999504</v>
      </c>
      <c r="R38" s="218">
        <f t="shared" si="1"/>
        <v>1.4559999999999504</v>
      </c>
      <c r="T38" s="235"/>
      <c r="U38" s="235"/>
      <c r="V38" s="234"/>
      <c r="W38" s="234"/>
    </row>
    <row r="39" spans="3:23" x14ac:dyDescent="0.25">
      <c r="C39" s="1" t="s">
        <v>389</v>
      </c>
      <c r="D39" s="221">
        <f>TimeToDist_Shift(D35, D6*D15, D5, D7, D13*D14, D36, D37, D19/2, D17, D18, D20, H3="Forward Shifting")</f>
        <v>1.4799999999999478</v>
      </c>
      <c r="J39" s="216" t="str">
        <f t="shared" si="2"/>
        <v/>
      </c>
      <c r="K39" s="217" t="str">
        <f>IF(L38, "", TimeToDist($G$27, $D$6*$D$15, $D$5, $D$7, $D$13*$D$14, J39, $D$19/2, $D$17, $D$18, $D$20, FALSE))</f>
        <v/>
      </c>
      <c r="L39" s="217" t="b">
        <f t="shared" si="3"/>
        <v>1</v>
      </c>
      <c r="M39" s="217">
        <f t="shared" si="4"/>
        <v>5.5835921306475731</v>
      </c>
      <c r="N39" s="217">
        <f t="shared" si="5"/>
        <v>5.7639320118770527</v>
      </c>
      <c r="O39" s="217">
        <f t="shared" si="6"/>
        <v>5.6524758365250642</v>
      </c>
      <c r="P39" s="217">
        <f t="shared" si="7"/>
        <v>5.6950483059995616</v>
      </c>
      <c r="Q39" s="217">
        <f t="shared" si="0"/>
        <v>1.4559999999999504</v>
      </c>
      <c r="R39" s="218">
        <f t="shared" si="1"/>
        <v>1.4569999999999503</v>
      </c>
      <c r="T39" s="235"/>
      <c r="U39" s="235"/>
      <c r="V39" s="234"/>
      <c r="W39" s="234"/>
    </row>
    <row r="40" spans="3:23" x14ac:dyDescent="0.25">
      <c r="C40" s="1" t="str">
        <f>IF(ISBLANK($B$11), "High Top Speed (ft/s)", "High Top Speed (m/s)")</f>
        <v>High Top Speed (ft/s)</v>
      </c>
      <c r="D40" s="221">
        <f>$D$5/60*2*PI()*($D$19/IF(ISBLANK($B$11), 12, 1000)/2)/$D$36</f>
        <v>15.504341521882958</v>
      </c>
      <c r="H40" s="236"/>
      <c r="J40" s="216" t="str">
        <f t="shared" si="2"/>
        <v/>
      </c>
      <c r="K40" s="217" t="str">
        <f>IF(L39, "", TimeToDist($G$27, $D$6*$D$15, $D$5, $D$7, $D$13*$D$14, J40, $D$19/2, $D$17, $D$18, $D$20, FALSE))</f>
        <v/>
      </c>
      <c r="L40" s="217" t="b">
        <f t="shared" si="3"/>
        <v>1</v>
      </c>
      <c r="M40" s="217">
        <f t="shared" si="4"/>
        <v>5.5835921306475731</v>
      </c>
      <c r="N40" s="217">
        <f t="shared" si="5"/>
        <v>5.6950483059995616</v>
      </c>
      <c r="O40" s="217">
        <f t="shared" si="6"/>
        <v>5.6261646018549092</v>
      </c>
      <c r="P40" s="217">
        <f t="shared" si="7"/>
        <v>5.6524758347922255</v>
      </c>
      <c r="Q40" s="217">
        <f t="shared" si="0"/>
        <v>1.4559999999999504</v>
      </c>
      <c r="R40" s="218">
        <f t="shared" si="1"/>
        <v>1.4559999999999504</v>
      </c>
      <c r="T40" s="235"/>
      <c r="U40" s="235"/>
      <c r="V40" s="234"/>
      <c r="W40" s="234"/>
    </row>
    <row r="41" spans="3:23" x14ac:dyDescent="0.25">
      <c r="C41" s="1" t="str">
        <f>IF(ISBLANK($B$11), "Low Top Speed (ft/s)", "Low Top Speed (m/s)")</f>
        <v>Low Top Speed (ft/s)</v>
      </c>
      <c r="D41" s="221">
        <f>$D$5/60*2*PI()*($D$19/IF(ISBLANK($B$11), 12, 1000)/2)/$D$37</f>
        <v>6.2017366087531833</v>
      </c>
      <c r="H41" s="236"/>
      <c r="J41" s="216" t="str">
        <f t="shared" si="2"/>
        <v/>
      </c>
      <c r="K41" s="217" t="str">
        <f>IF(L40, "", TimeToDist($G$27, $D$6*$D$15, $D$5, $D$7, $D$13*$D$14, J41, $D$19/2, $D$17, $D$18, $D$20, FALSE))</f>
        <v/>
      </c>
      <c r="L41" s="217" t="b">
        <f t="shared" si="3"/>
        <v>1</v>
      </c>
      <c r="M41" s="217">
        <f t="shared" si="4"/>
        <v>5.6261646018549092</v>
      </c>
      <c r="N41" s="217">
        <f t="shared" si="5"/>
        <v>5.6950483059995616</v>
      </c>
      <c r="O41" s="217">
        <f t="shared" si="6"/>
        <v>5.6524758358631786</v>
      </c>
      <c r="P41" s="217">
        <f t="shared" si="7"/>
        <v>5.6687370719912922</v>
      </c>
      <c r="Q41" s="217">
        <f t="shared" si="0"/>
        <v>1.4559999999999504</v>
      </c>
      <c r="R41" s="218">
        <f t="shared" si="1"/>
        <v>1.4559999999999504</v>
      </c>
      <c r="T41" s="235"/>
      <c r="U41" s="235"/>
      <c r="V41" s="234"/>
      <c r="W41" s="234"/>
    </row>
    <row r="42" spans="3:23" x14ac:dyDescent="0.25">
      <c r="J42" s="216" t="str">
        <f t="shared" si="2"/>
        <v/>
      </c>
      <c r="K42" s="217" t="str">
        <f>IF(L41, "", TimeToDist($G$27, $D$6*$D$15, $D$5, $D$7, $D$13*$D$14, J42, $D$19/2, $D$17, $D$18, $D$20, FALSE))</f>
        <v/>
      </c>
      <c r="L42" s="217" t="b">
        <f t="shared" si="3"/>
        <v>1</v>
      </c>
      <c r="M42" s="217">
        <f t="shared" si="4"/>
        <v>5.6524758358631786</v>
      </c>
      <c r="N42" s="217">
        <f t="shared" si="5"/>
        <v>5.6950483059995616</v>
      </c>
      <c r="O42" s="217">
        <f t="shared" si="6"/>
        <v>5.6687370726531778</v>
      </c>
      <c r="P42" s="217">
        <f t="shared" si="7"/>
        <v>5.6787870692095623</v>
      </c>
      <c r="Q42" s="217">
        <f t="shared" si="0"/>
        <v>1.4559999999999504</v>
      </c>
      <c r="R42" s="218">
        <f t="shared" si="1"/>
        <v>1.4569999999999503</v>
      </c>
      <c r="T42" s="235"/>
      <c r="U42" s="235"/>
      <c r="V42" s="234"/>
      <c r="W42" s="234"/>
    </row>
    <row r="43" spans="3:23" x14ac:dyDescent="0.25">
      <c r="J43" s="216" t="str">
        <f t="shared" si="2"/>
        <v/>
      </c>
      <c r="K43" s="217" t="str">
        <f>IF(L42, "", TimeToDist($G$27, $D$6*$D$15, $D$5, $D$7, $D$13*$D$14, J43, $D$19/2, $D$17, $D$18, $D$20, FALSE))</f>
        <v/>
      </c>
      <c r="L43" s="217" t="b">
        <f t="shared" si="3"/>
        <v>1</v>
      </c>
      <c r="M43" s="217">
        <f t="shared" si="4"/>
        <v>5.6524758358631786</v>
      </c>
      <c r="N43" s="217">
        <f t="shared" si="5"/>
        <v>5.6787870692095623</v>
      </c>
      <c r="O43" s="217">
        <f t="shared" si="6"/>
        <v>5.6625258328286314</v>
      </c>
      <c r="P43" s="217">
        <f t="shared" si="7"/>
        <v>5.6687370722441095</v>
      </c>
      <c r="Q43" s="217">
        <f t="shared" si="0"/>
        <v>1.4559999999999504</v>
      </c>
      <c r="R43" s="218">
        <f t="shared" si="1"/>
        <v>1.4559999999999504</v>
      </c>
      <c r="T43" s="235"/>
      <c r="U43" s="235"/>
      <c r="V43" s="234"/>
      <c r="W43" s="234"/>
    </row>
    <row r="44" spans="3:23" x14ac:dyDescent="0.25">
      <c r="J44" s="216" t="str">
        <f t="shared" si="2"/>
        <v/>
      </c>
      <c r="K44" s="217" t="str">
        <f>IF(L43, "", TimeToDist($G$27, $D$6*$D$15, $D$5, $D$7, $D$13*$D$14, J44, $D$19/2, $D$17, $D$18, $D$20, FALSE))</f>
        <v/>
      </c>
      <c r="L44" s="217" t="b">
        <f t="shared" si="3"/>
        <v>1</v>
      </c>
      <c r="M44" s="217">
        <f t="shared" si="4"/>
        <v>5.6625258328286314</v>
      </c>
      <c r="N44" s="217">
        <f t="shared" si="5"/>
        <v>5.6787870692095623</v>
      </c>
      <c r="O44" s="217">
        <f t="shared" si="6"/>
        <v>5.6687370724969277</v>
      </c>
      <c r="P44" s="217">
        <f t="shared" si="7"/>
        <v>5.672575829541266</v>
      </c>
      <c r="Q44" s="217">
        <f t="shared" si="0"/>
        <v>1.4559999999999504</v>
      </c>
      <c r="R44" s="218">
        <f t="shared" si="1"/>
        <v>1.4559999999999504</v>
      </c>
      <c r="T44" s="235"/>
      <c r="U44" s="235"/>
      <c r="V44" s="234"/>
      <c r="W44" s="234"/>
    </row>
    <row r="45" spans="3:23" x14ac:dyDescent="0.25">
      <c r="J45" s="216" t="str">
        <f t="shared" si="2"/>
        <v/>
      </c>
      <c r="K45" s="217" t="str">
        <f>IF(L44, "", TimeToDist($G$27, $D$6*$D$15, $D$5, $D$7, $D$13*$D$14, J45, $D$19/2, $D$17, $D$18, $D$20, FALSE))</f>
        <v/>
      </c>
      <c r="L45" s="217" t="b">
        <f t="shared" si="3"/>
        <v>1</v>
      </c>
      <c r="M45" s="217">
        <f t="shared" si="4"/>
        <v>5.6687370724969277</v>
      </c>
      <c r="N45" s="217">
        <f t="shared" si="5"/>
        <v>5.6787870692095623</v>
      </c>
      <c r="O45" s="217">
        <f t="shared" si="6"/>
        <v>5.6725758296975162</v>
      </c>
      <c r="P45" s="217">
        <f t="shared" si="7"/>
        <v>5.6749483120089739</v>
      </c>
      <c r="Q45" s="217">
        <f t="shared" si="0"/>
        <v>1.4559999999999504</v>
      </c>
      <c r="R45" s="218">
        <f t="shared" si="1"/>
        <v>1.4559999999999504</v>
      </c>
      <c r="T45" s="235"/>
      <c r="U45" s="235"/>
      <c r="V45" s="234"/>
      <c r="W45" s="234"/>
    </row>
    <row r="46" spans="3:23" x14ac:dyDescent="0.25">
      <c r="J46" s="216" t="str">
        <f t="shared" si="2"/>
        <v/>
      </c>
      <c r="K46" s="217" t="str">
        <f>IF(L45, "", TimeToDist($G$27, $D$6*$D$15, $D$5, $D$7, $D$13*$D$14, J46, $D$19/2, $D$17, $D$18, $D$20, FALSE))</f>
        <v/>
      </c>
      <c r="L46" s="217" t="b">
        <f t="shared" si="3"/>
        <v>1</v>
      </c>
      <c r="M46" s="217">
        <f t="shared" si="4"/>
        <v>5.6725758296975162</v>
      </c>
      <c r="N46" s="217">
        <f t="shared" si="5"/>
        <v>5.6787870692095623</v>
      </c>
      <c r="O46" s="217">
        <f t="shared" si="6"/>
        <v>5.674948312105542</v>
      </c>
      <c r="P46" s="217">
        <f t="shared" si="7"/>
        <v>5.6764145868015365</v>
      </c>
      <c r="Q46" s="217">
        <f t="shared" si="0"/>
        <v>1.4559999999999504</v>
      </c>
      <c r="R46" s="218">
        <f t="shared" si="1"/>
        <v>1.4569999999999503</v>
      </c>
      <c r="T46" s="235"/>
      <c r="U46" s="235"/>
      <c r="V46" s="234"/>
      <c r="W46" s="234"/>
    </row>
    <row r="47" spans="3:23" x14ac:dyDescent="0.25">
      <c r="J47" s="216" t="str">
        <f t="shared" si="2"/>
        <v/>
      </c>
      <c r="K47" s="217" t="str">
        <f>IF(L46, "", TimeToDist($G$27, $D$6*$D$15, $D$5, $D$7, $D$13*$D$14, J47, $D$19/2, $D$17, $D$18, $D$20, FALSE))</f>
        <v/>
      </c>
      <c r="L47" s="217" t="b">
        <f t="shared" si="3"/>
        <v>1</v>
      </c>
      <c r="M47" s="217">
        <f t="shared" si="4"/>
        <v>5.6725758296975162</v>
      </c>
      <c r="N47" s="217">
        <f t="shared" si="5"/>
        <v>5.6764145868015365</v>
      </c>
      <c r="O47" s="217">
        <f t="shared" si="6"/>
        <v>5.6740421044531928</v>
      </c>
      <c r="P47" s="217">
        <f t="shared" si="7"/>
        <v>5.6749483120458599</v>
      </c>
      <c r="Q47" s="217">
        <f t="shared" si="0"/>
        <v>1.4559999999999504</v>
      </c>
      <c r="R47" s="218">
        <f t="shared" si="1"/>
        <v>1.4559999999999504</v>
      </c>
      <c r="T47" s="235"/>
      <c r="U47" s="235"/>
      <c r="V47" s="234"/>
      <c r="W47" s="234"/>
    </row>
    <row r="48" spans="3:23" x14ac:dyDescent="0.25">
      <c r="J48" s="216" t="str">
        <f t="shared" si="2"/>
        <v/>
      </c>
      <c r="K48" s="217" t="str">
        <f>IF(L47, "", TimeToDist($G$27, $D$6*$D$15, $D$5, $D$7, $D$13*$D$14, J48, $D$19/2, $D$17, $D$18, $D$20, FALSE))</f>
        <v/>
      </c>
      <c r="L48" s="217" t="b">
        <f t="shared" si="3"/>
        <v>1</v>
      </c>
      <c r="M48" s="217">
        <f t="shared" si="4"/>
        <v>5.6740421044531928</v>
      </c>
      <c r="N48" s="217">
        <f t="shared" si="5"/>
        <v>5.6764145868015365</v>
      </c>
      <c r="O48" s="217">
        <f t="shared" si="6"/>
        <v>5.674948312082746</v>
      </c>
      <c r="P48" s="217">
        <f t="shared" si="7"/>
        <v>5.6755083791719834</v>
      </c>
      <c r="Q48" s="217">
        <f t="shared" si="0"/>
        <v>1.4559999999999504</v>
      </c>
      <c r="R48" s="218">
        <f t="shared" si="1"/>
        <v>1.4559999999999504</v>
      </c>
      <c r="T48" s="235"/>
      <c r="U48" s="235"/>
      <c r="V48" s="234"/>
      <c r="W48" s="234"/>
    </row>
    <row r="49" spans="10:23" x14ac:dyDescent="0.25">
      <c r="J49" s="216" t="str">
        <f t="shared" si="2"/>
        <v/>
      </c>
      <c r="K49" s="217" t="str">
        <f>IF(L48, "", TimeToDist($G$27, $D$6*$D$15, $D$5, $D$7, $D$13*$D$14, J49, $D$19/2, $D$17, $D$18, $D$20, FALSE))</f>
        <v/>
      </c>
      <c r="L49" s="217" t="b">
        <f t="shared" si="3"/>
        <v>1</v>
      </c>
      <c r="M49" s="217">
        <f t="shared" si="4"/>
        <v>5.674948312082746</v>
      </c>
      <c r="N49" s="217">
        <f t="shared" si="5"/>
        <v>5.6764145868015365</v>
      </c>
      <c r="O49" s="217">
        <f t="shared" si="6"/>
        <v>5.6755083791947802</v>
      </c>
      <c r="P49" s="217">
        <f t="shared" si="7"/>
        <v>5.6758545196895023</v>
      </c>
      <c r="Q49" s="217">
        <f t="shared" si="0"/>
        <v>1.4559999999999504</v>
      </c>
      <c r="R49" s="218">
        <f t="shared" si="1"/>
        <v>1.4559999999999504</v>
      </c>
      <c r="T49" s="235"/>
      <c r="U49" s="235"/>
      <c r="V49" s="234"/>
      <c r="W49" s="234"/>
    </row>
    <row r="50" spans="10:23" x14ac:dyDescent="0.25">
      <c r="J50" s="216" t="str">
        <f t="shared" si="2"/>
        <v/>
      </c>
      <c r="K50" s="217" t="str">
        <f>IF(L49, "", TimeToDist($G$27, $D$6*$D$15, $D$5, $D$7, $D$13*$D$14, J50, $D$19/2, $D$17, $D$18, $D$20, FALSE))</f>
        <v/>
      </c>
      <c r="L50" s="217" t="b">
        <f t="shared" si="3"/>
        <v>1</v>
      </c>
      <c r="M50" s="217">
        <f t="shared" si="4"/>
        <v>5.6755083791947802</v>
      </c>
      <c r="N50" s="217">
        <f t="shared" si="5"/>
        <v>5.6764145868015365</v>
      </c>
      <c r="O50" s="217">
        <f t="shared" si="6"/>
        <v>5.6758545197035914</v>
      </c>
      <c r="P50" s="217">
        <f t="shared" si="7"/>
        <v>5.6760684462927253</v>
      </c>
      <c r="Q50" s="217">
        <f t="shared" si="0"/>
        <v>1.4559999999999504</v>
      </c>
      <c r="R50" s="218">
        <f t="shared" si="1"/>
        <v>1.4559999999999504</v>
      </c>
      <c r="T50" s="235"/>
      <c r="U50" s="235"/>
      <c r="V50" s="234"/>
      <c r="W50" s="234"/>
    </row>
    <row r="51" spans="10:23" x14ac:dyDescent="0.25">
      <c r="J51" s="216" t="str">
        <f t="shared" si="2"/>
        <v/>
      </c>
      <c r="K51" s="217" t="str">
        <f>IF(L50, "", TimeToDist($G$27, $D$6*$D$15, $D$5, $D$7, $D$13*$D$14, J51, $D$19/2, $D$17, $D$18, $D$20, FALSE))</f>
        <v/>
      </c>
      <c r="L51" s="217" t="b">
        <f t="shared" si="3"/>
        <v>1</v>
      </c>
      <c r="M51" s="217">
        <f t="shared" si="4"/>
        <v>5.6758545197035914</v>
      </c>
      <c r="N51" s="217">
        <f t="shared" si="5"/>
        <v>5.6764145868015365</v>
      </c>
      <c r="O51" s="217">
        <f t="shared" si="6"/>
        <v>5.676068446301433</v>
      </c>
      <c r="P51" s="217">
        <f t="shared" si="7"/>
        <v>5.676200660203695</v>
      </c>
      <c r="Q51" s="217">
        <f t="shared" si="0"/>
        <v>1.4559999999999504</v>
      </c>
      <c r="R51" s="218">
        <f t="shared" si="1"/>
        <v>1.4559999999999504</v>
      </c>
      <c r="T51" s="235"/>
      <c r="U51" s="235"/>
      <c r="V51" s="234"/>
      <c r="W51" s="234"/>
    </row>
    <row r="52" spans="10:23" x14ac:dyDescent="0.25">
      <c r="J52" s="216" t="str">
        <f t="shared" si="2"/>
        <v/>
      </c>
      <c r="K52" s="217" t="str">
        <f>IF(L51, "", TimeToDist($G$27, $D$6*$D$15, $D$5, $D$7, $D$13*$D$14, J52, $D$19/2, $D$17, $D$18, $D$20, FALSE))</f>
        <v/>
      </c>
      <c r="L52" s="217" t="b">
        <f t="shared" si="3"/>
        <v>1</v>
      </c>
      <c r="M52" s="217">
        <f t="shared" si="4"/>
        <v>5.676068446301433</v>
      </c>
      <c r="N52" s="217">
        <f t="shared" si="5"/>
        <v>5.6764145868015365</v>
      </c>
      <c r="O52" s="217">
        <f t="shared" si="6"/>
        <v>5.6762006602090773</v>
      </c>
      <c r="P52" s="217">
        <f t="shared" si="7"/>
        <v>5.6762823728938923</v>
      </c>
      <c r="Q52" s="217">
        <f t="shared" si="0"/>
        <v>1.4559999999999504</v>
      </c>
      <c r="R52" s="218">
        <f t="shared" si="1"/>
        <v>1.4559999999999504</v>
      </c>
      <c r="T52" s="235"/>
      <c r="U52" s="235"/>
      <c r="V52" s="234"/>
      <c r="W52" s="234"/>
    </row>
    <row r="53" spans="10:23" x14ac:dyDescent="0.25">
      <c r="J53" s="216" t="str">
        <f t="shared" si="2"/>
        <v/>
      </c>
      <c r="K53" s="217" t="str">
        <f>IF(L52, "", TimeToDist($G$27, $D$6*$D$15, $D$5, $D$7, $D$13*$D$14, J53, $D$19/2, $D$17, $D$18, $D$20, FALSE))</f>
        <v/>
      </c>
      <c r="L53" s="217" t="b">
        <f t="shared" si="3"/>
        <v>1</v>
      </c>
      <c r="M53" s="217">
        <f t="shared" si="4"/>
        <v>5.6762006602090773</v>
      </c>
      <c r="N53" s="217">
        <f t="shared" si="5"/>
        <v>5.6764145868015365</v>
      </c>
      <c r="O53" s="217">
        <f t="shared" si="6"/>
        <v>5.6762823728972185</v>
      </c>
      <c r="P53" s="217">
        <f t="shared" si="7"/>
        <v>5.6763328741133954</v>
      </c>
      <c r="Q53" s="217">
        <f t="shared" si="0"/>
        <v>1.4559999999999504</v>
      </c>
      <c r="R53" s="218">
        <f t="shared" si="1"/>
        <v>1.4559999999999504</v>
      </c>
      <c r="T53" s="235"/>
      <c r="U53" s="235"/>
      <c r="V53" s="234"/>
      <c r="W53" s="234"/>
    </row>
    <row r="54" spans="10:23" x14ac:dyDescent="0.25">
      <c r="J54" s="216" t="str">
        <f t="shared" si="2"/>
        <v/>
      </c>
      <c r="K54" s="217" t="str">
        <f>IF(L53, "", TimeToDist($G$27, $D$6*$D$15, $D$5, $D$7, $D$13*$D$14, J54, $D$19/2, $D$17, $D$18, $D$20, FALSE))</f>
        <v/>
      </c>
      <c r="L54" s="217" t="b">
        <f t="shared" si="3"/>
        <v>1</v>
      </c>
      <c r="M54" s="217">
        <f t="shared" si="4"/>
        <v>5.6762823728972185</v>
      </c>
      <c r="N54" s="217">
        <f t="shared" si="5"/>
        <v>5.6764145868015365</v>
      </c>
      <c r="O54" s="217">
        <f t="shared" si="6"/>
        <v>5.6763328741154506</v>
      </c>
      <c r="P54" s="217">
        <f t="shared" si="7"/>
        <v>5.6763640855833044</v>
      </c>
      <c r="Q54" s="217">
        <f t="shared" si="0"/>
        <v>1.4559999999999504</v>
      </c>
      <c r="R54" s="218">
        <f t="shared" si="1"/>
        <v>1.4559999999999504</v>
      </c>
      <c r="T54" s="235"/>
      <c r="U54" s="235"/>
      <c r="V54" s="234"/>
      <c r="W54" s="234"/>
    </row>
    <row r="55" spans="10:23" x14ac:dyDescent="0.25">
      <c r="J55" s="216" t="str">
        <f t="shared" si="2"/>
        <v/>
      </c>
      <c r="K55" s="217" t="str">
        <f>IF(L54, "", TimeToDist($G$27, $D$6*$D$15, $D$5, $D$7, $D$13*$D$14, J55, $D$19/2, $D$17, $D$18, $D$20, FALSE))</f>
        <v/>
      </c>
      <c r="L55" s="217" t="b">
        <f t="shared" si="3"/>
        <v>1</v>
      </c>
      <c r="M55" s="217">
        <f t="shared" si="4"/>
        <v>5.6763328741154506</v>
      </c>
      <c r="N55" s="217">
        <f t="shared" si="5"/>
        <v>5.6764145868015365</v>
      </c>
      <c r="O55" s="217">
        <f t="shared" si="6"/>
        <v>5.6763640855845745</v>
      </c>
      <c r="P55" s="217">
        <f t="shared" si="7"/>
        <v>5.6763833753324127</v>
      </c>
      <c r="Q55" s="217">
        <f t="shared" si="0"/>
        <v>1.4559999999999504</v>
      </c>
      <c r="R55" s="218">
        <f t="shared" si="1"/>
        <v>1.4569999999999503</v>
      </c>
      <c r="T55" s="235"/>
      <c r="U55" s="235"/>
      <c r="V55" s="234"/>
      <c r="W55" s="234"/>
    </row>
    <row r="56" spans="10:23" x14ac:dyDescent="0.25">
      <c r="J56" s="216" t="str">
        <f t="shared" si="2"/>
        <v/>
      </c>
      <c r="K56" s="217" t="str">
        <f>IF(L55, "", TimeToDist($G$27, $D$6*$D$15, $D$5, $D$7, $D$13*$D$14, J56, $D$19/2, $D$17, $D$18, $D$20, FALSE))</f>
        <v/>
      </c>
      <c r="L56" s="217" t="b">
        <f t="shared" si="3"/>
        <v>1</v>
      </c>
      <c r="M56" s="217">
        <f t="shared" si="4"/>
        <v>5.6763328741154506</v>
      </c>
      <c r="N56" s="217">
        <f t="shared" si="5"/>
        <v>5.6763833753324127</v>
      </c>
      <c r="O56" s="217">
        <f t="shared" si="6"/>
        <v>5.6763521638640739</v>
      </c>
      <c r="P56" s="217">
        <f t="shared" si="7"/>
        <v>5.6763640855837894</v>
      </c>
      <c r="Q56" s="217">
        <f t="shared" si="0"/>
        <v>1.4559999999999504</v>
      </c>
      <c r="R56" s="218">
        <f t="shared" si="1"/>
        <v>1.4559999999999504</v>
      </c>
      <c r="T56" s="235"/>
      <c r="U56" s="235"/>
      <c r="V56" s="234"/>
      <c r="W56" s="234"/>
    </row>
    <row r="57" spans="10:23" x14ac:dyDescent="0.25">
      <c r="J57" s="216" t="str">
        <f t="shared" si="2"/>
        <v/>
      </c>
      <c r="K57" s="217" t="str">
        <f>IF(L56, "", TimeToDist($G$27, $D$6*$D$15, $D$5, $D$7, $D$13*$D$14, J57, $D$19/2, $D$17, $D$18, $D$20, FALSE))</f>
        <v/>
      </c>
      <c r="L57" s="217" t="b">
        <f t="shared" si="3"/>
        <v>1</v>
      </c>
      <c r="M57" s="217">
        <f t="shared" si="4"/>
        <v>5.6763521638640739</v>
      </c>
      <c r="N57" s="217">
        <f t="shared" si="5"/>
        <v>5.6763833753324127</v>
      </c>
      <c r="O57" s="217">
        <f t="shared" si="6"/>
        <v>5.6763640855842743</v>
      </c>
      <c r="P57" s="217">
        <f t="shared" si="7"/>
        <v>5.6763714536122123</v>
      </c>
      <c r="Q57" s="217">
        <f t="shared" si="0"/>
        <v>1.4559999999999504</v>
      </c>
      <c r="R57" s="218">
        <f t="shared" si="1"/>
        <v>1.4559999999999504</v>
      </c>
      <c r="T57" s="235"/>
      <c r="U57" s="235"/>
      <c r="V57" s="234"/>
      <c r="W57" s="234"/>
    </row>
    <row r="58" spans="10:23" x14ac:dyDescent="0.25">
      <c r="J58" s="216" t="str">
        <f t="shared" si="2"/>
        <v/>
      </c>
      <c r="K58" s="217" t="str">
        <f>IF(L57, "", TimeToDist($G$27, $D$6*$D$15, $D$5, $D$7, $D$13*$D$14, J58, $D$19/2, $D$17, $D$18, $D$20, FALSE))</f>
        <v/>
      </c>
      <c r="L58" s="217" t="b">
        <f t="shared" si="3"/>
        <v>1</v>
      </c>
      <c r="M58" s="217">
        <f t="shared" si="4"/>
        <v>5.6763640855842743</v>
      </c>
      <c r="N58" s="217">
        <f t="shared" si="5"/>
        <v>5.6763833753324127</v>
      </c>
      <c r="O58" s="217">
        <f t="shared" si="6"/>
        <v>5.6763714536125116</v>
      </c>
      <c r="P58" s="217">
        <f t="shared" si="7"/>
        <v>5.6763760073041754</v>
      </c>
      <c r="Q58" s="217">
        <f t="shared" si="0"/>
        <v>1.4559999999999504</v>
      </c>
      <c r="R58" s="218">
        <f t="shared" si="1"/>
        <v>1.4569999999999503</v>
      </c>
      <c r="T58" s="235"/>
      <c r="U58" s="235"/>
      <c r="V58" s="234"/>
      <c r="W58" s="234"/>
    </row>
    <row r="59" spans="10:23" x14ac:dyDescent="0.25">
      <c r="J59" s="216" t="str">
        <f t="shared" si="2"/>
        <v/>
      </c>
      <c r="K59" s="217" t="str">
        <f>IF(L58, "", TimeToDist($G$27, $D$6*$D$15, $D$5, $D$7, $D$13*$D$14, J59, $D$19/2, $D$17, $D$18, $D$20, FALSE))</f>
        <v/>
      </c>
      <c r="L59" s="217" t="b">
        <f t="shared" si="3"/>
        <v>1</v>
      </c>
      <c r="M59" s="217">
        <f t="shared" si="4"/>
        <v>5.6763640855842743</v>
      </c>
      <c r="N59" s="217">
        <f t="shared" si="5"/>
        <v>5.6763760073041754</v>
      </c>
      <c r="O59" s="217">
        <f t="shared" si="6"/>
        <v>5.6763686392761237</v>
      </c>
      <c r="P59" s="217">
        <f t="shared" si="7"/>
        <v>5.676371453612326</v>
      </c>
      <c r="Q59" s="217">
        <f t="shared" si="0"/>
        <v>1.4559999999999504</v>
      </c>
      <c r="R59" s="218">
        <f t="shared" si="1"/>
        <v>1.4559999999999504</v>
      </c>
      <c r="T59" s="235"/>
      <c r="U59" s="235"/>
      <c r="V59" s="234"/>
      <c r="W59" s="234"/>
    </row>
    <row r="60" spans="10:23" x14ac:dyDescent="0.25">
      <c r="J60" s="216" t="str">
        <f t="shared" si="2"/>
        <v/>
      </c>
      <c r="K60" s="217" t="str">
        <f>IF(L59, "", TimeToDist($G$27, $D$6*$D$15, $D$5, $D$7, $D$13*$D$14, J60, $D$19/2, $D$17, $D$18, $D$20, FALSE))</f>
        <v/>
      </c>
      <c r="L60" s="217" t="b">
        <f t="shared" si="3"/>
        <v>1</v>
      </c>
      <c r="M60" s="217">
        <f t="shared" si="4"/>
        <v>5.6763686392761237</v>
      </c>
      <c r="N60" s="217">
        <f t="shared" si="5"/>
        <v>5.6763760073041754</v>
      </c>
      <c r="O60" s="217">
        <f t="shared" si="6"/>
        <v>5.6763714536124414</v>
      </c>
      <c r="P60" s="217">
        <f t="shared" si="7"/>
        <v>5.6763731929678576</v>
      </c>
      <c r="Q60" s="217">
        <f t="shared" si="0"/>
        <v>1.4559999999999504</v>
      </c>
      <c r="R60" s="218">
        <f t="shared" si="1"/>
        <v>1.4559999999999504</v>
      </c>
      <c r="T60" s="235"/>
      <c r="U60" s="235"/>
      <c r="V60" s="234"/>
      <c r="W60" s="234"/>
    </row>
    <row r="61" spans="10:23" x14ac:dyDescent="0.25">
      <c r="J61" s="216" t="str">
        <f t="shared" si="2"/>
        <v/>
      </c>
      <c r="K61" s="217" t="str">
        <f>IF(L60, "", TimeToDist($G$27, $D$6*$D$15, $D$5, $D$7, $D$13*$D$14, J61, $D$19/2, $D$17, $D$18, $D$20, FALSE))</f>
        <v/>
      </c>
      <c r="L61" s="217" t="b">
        <f t="shared" si="3"/>
        <v>1</v>
      </c>
      <c r="M61" s="217">
        <f t="shared" si="4"/>
        <v>5.6763714536124414</v>
      </c>
      <c r="N61" s="217">
        <f t="shared" si="5"/>
        <v>5.6763760073041754</v>
      </c>
      <c r="O61" s="217">
        <f t="shared" si="6"/>
        <v>5.6763731929679286</v>
      </c>
      <c r="P61" s="217">
        <f t="shared" si="7"/>
        <v>5.6763742679486882</v>
      </c>
      <c r="Q61" s="217">
        <f t="shared" si="0"/>
        <v>1.4559999999999504</v>
      </c>
      <c r="R61" s="218">
        <f t="shared" si="1"/>
        <v>1.4569999999999503</v>
      </c>
      <c r="T61" s="235"/>
      <c r="U61" s="235"/>
      <c r="V61" s="234"/>
      <c r="W61" s="234"/>
    </row>
    <row r="62" spans="10:23" x14ac:dyDescent="0.25">
      <c r="J62" s="216" t="str">
        <f t="shared" si="2"/>
        <v/>
      </c>
      <c r="K62" s="217" t="str">
        <f>IF(L61, "", TimeToDist($G$27, $D$6*$D$15, $D$5, $D$7, $D$13*$D$14, J62, $D$19/2, $D$17, $D$18, $D$20, FALSE))</f>
        <v/>
      </c>
      <c r="L62" s="217" t="b">
        <f t="shared" si="3"/>
        <v>1</v>
      </c>
      <c r="M62" s="217">
        <f t="shared" si="4"/>
        <v>5.6763714536124414</v>
      </c>
      <c r="N62" s="217">
        <f t="shared" si="5"/>
        <v>5.6763742679486882</v>
      </c>
      <c r="O62" s="217">
        <f t="shared" si="6"/>
        <v>5.6763725285932436</v>
      </c>
      <c r="P62" s="217">
        <f t="shared" si="7"/>
        <v>5.676373192967886</v>
      </c>
      <c r="Q62" s="217">
        <f t="shared" si="0"/>
        <v>1.4559999999999504</v>
      </c>
      <c r="R62" s="218">
        <f t="shared" si="1"/>
        <v>1.4559999999999504</v>
      </c>
      <c r="T62" s="235"/>
      <c r="U62" s="235"/>
      <c r="V62" s="234"/>
      <c r="W62" s="234"/>
    </row>
    <row r="63" spans="10:23" x14ac:dyDescent="0.25">
      <c r="J63" s="216" t="str">
        <f t="shared" si="2"/>
        <v/>
      </c>
      <c r="K63" s="217" t="str">
        <f>IF(L62, "", TimeToDist($G$27, $D$6*$D$15, $D$5, $D$7, $D$13*$D$14, J63, $D$19/2, $D$17, $D$18, $D$20, FALSE))</f>
        <v/>
      </c>
      <c r="L63" s="217" t="b">
        <f t="shared" si="3"/>
        <v>1</v>
      </c>
      <c r="M63" s="217">
        <f t="shared" si="4"/>
        <v>5.6763725285932436</v>
      </c>
      <c r="N63" s="217">
        <f t="shared" si="5"/>
        <v>5.6763742679486882</v>
      </c>
      <c r="O63" s="217">
        <f t="shared" si="6"/>
        <v>5.6763731929679127</v>
      </c>
      <c r="P63" s="217">
        <f t="shared" si="7"/>
        <v>5.6763736035740191</v>
      </c>
      <c r="Q63" s="217">
        <f t="shared" si="0"/>
        <v>1.4559999999999504</v>
      </c>
      <c r="R63" s="218">
        <f t="shared" si="1"/>
        <v>1.4569999999999503</v>
      </c>
      <c r="T63" s="235"/>
      <c r="U63" s="235"/>
      <c r="V63" s="234"/>
      <c r="W63" s="234"/>
    </row>
    <row r="64" spans="10:23" x14ac:dyDescent="0.25">
      <c r="J64" s="216" t="str">
        <f t="shared" si="2"/>
        <v/>
      </c>
      <c r="K64" s="217" t="str">
        <f>IF(L63, "", TimeToDist($G$27, $D$6*$D$15, $D$5, $D$7, $D$13*$D$14, J64, $D$19/2, $D$17, $D$18, $D$20, FALSE))</f>
        <v/>
      </c>
      <c r="L64" s="217" t="b">
        <f t="shared" si="3"/>
        <v>1</v>
      </c>
      <c r="M64" s="217">
        <f t="shared" si="4"/>
        <v>5.6763725285932436</v>
      </c>
      <c r="N64" s="217">
        <f t="shared" si="5"/>
        <v>5.6763736035740191</v>
      </c>
      <c r="O64" s="217">
        <f t="shared" si="6"/>
        <v>5.6763729391993669</v>
      </c>
      <c r="P64" s="217">
        <f t="shared" si="7"/>
        <v>5.6763731929678958</v>
      </c>
      <c r="Q64" s="217">
        <f t="shared" si="0"/>
        <v>1.4559999999999504</v>
      </c>
      <c r="R64" s="218">
        <f t="shared" si="1"/>
        <v>1.4559999999999504</v>
      </c>
      <c r="T64" s="235"/>
      <c r="U64" s="235"/>
      <c r="V64" s="234"/>
      <c r="W64" s="234"/>
    </row>
    <row r="65" spans="10:23" x14ac:dyDescent="0.25">
      <c r="J65" s="216" t="str">
        <f t="shared" si="2"/>
        <v/>
      </c>
      <c r="K65" s="217" t="str">
        <f>IF(L64, "", TimeToDist($G$27, $D$6*$D$15, $D$5, $D$7, $D$13*$D$14, J65, $D$19/2, $D$17, $D$18, $D$20, FALSE))</f>
        <v/>
      </c>
      <c r="L65" s="217" t="b">
        <f t="shared" si="3"/>
        <v>1</v>
      </c>
      <c r="M65" s="217">
        <f t="shared" si="4"/>
        <v>5.6763729391993669</v>
      </c>
      <c r="N65" s="217">
        <f t="shared" si="5"/>
        <v>5.6763736035740191</v>
      </c>
      <c r="O65" s="217">
        <f t="shared" si="6"/>
        <v>5.6763731929679055</v>
      </c>
      <c r="P65" s="217">
        <f t="shared" si="7"/>
        <v>5.6763733498054805</v>
      </c>
      <c r="Q65" s="217">
        <f t="shared" si="0"/>
        <v>1.4559999999999504</v>
      </c>
      <c r="R65" s="218">
        <f t="shared" si="1"/>
        <v>1.4559999999999504</v>
      </c>
      <c r="T65" s="235"/>
      <c r="U65" s="235"/>
      <c r="V65" s="234"/>
      <c r="W65" s="234"/>
    </row>
    <row r="66" spans="10:23" x14ac:dyDescent="0.25">
      <c r="J66" s="219" t="str">
        <f t="shared" si="2"/>
        <v/>
      </c>
      <c r="K66" s="220" t="str">
        <f>IF(L65, "", TimeToDist($G$27, $D$6*$D$15, $D$5, $D$7, $D$13*$D$14, J66, $D$19/2, $D$17, $D$18, $D$20, FALSE))</f>
        <v/>
      </c>
      <c r="L66" s="220" t="b">
        <f t="shared" si="3"/>
        <v>1</v>
      </c>
      <c r="M66" s="220">
        <f t="shared" si="4"/>
        <v>5.6763731929679055</v>
      </c>
      <c r="N66" s="220">
        <f t="shared" si="5"/>
        <v>5.6763736035740191</v>
      </c>
      <c r="O66" s="220">
        <f t="shared" si="6"/>
        <v>5.6763733498054867</v>
      </c>
      <c r="P66" s="220">
        <f t="shared" si="7"/>
        <v>5.676373446736438</v>
      </c>
      <c r="Q66" s="217">
        <f t="shared" si="0"/>
        <v>1.4559999999999504</v>
      </c>
      <c r="R66" s="218">
        <f t="shared" si="1"/>
        <v>1.4559999999999504</v>
      </c>
      <c r="T66" s="235"/>
      <c r="U66" s="235"/>
      <c r="V66" s="234"/>
      <c r="W66" s="234"/>
    </row>
    <row r="67" spans="10:23" x14ac:dyDescent="0.25">
      <c r="T67" s="235"/>
      <c r="U67" s="235"/>
      <c r="V67" s="234"/>
      <c r="W67" s="234"/>
    </row>
    <row r="68" spans="10:23" x14ac:dyDescent="0.25">
      <c r="T68" s="235"/>
      <c r="U68" s="235"/>
      <c r="V68" s="234"/>
      <c r="W68" s="234"/>
    </row>
    <row r="69" spans="10:23" x14ac:dyDescent="0.25">
      <c r="T69" s="235"/>
      <c r="U69" s="235"/>
      <c r="V69" s="234"/>
      <c r="W69" s="234"/>
    </row>
    <row r="70" spans="10:23" x14ac:dyDescent="0.25">
      <c r="T70" s="235"/>
      <c r="U70" s="235"/>
      <c r="V70" s="234"/>
      <c r="W70" s="234"/>
    </row>
    <row r="71" spans="10:23" x14ac:dyDescent="0.25">
      <c r="T71" s="235"/>
      <c r="U71" s="235"/>
      <c r="V71" s="234"/>
      <c r="W71" s="234"/>
    </row>
    <row r="72" spans="10:23" x14ac:dyDescent="0.25">
      <c r="T72" s="235"/>
      <c r="U72" s="235"/>
      <c r="V72" s="234"/>
      <c r="W72" s="234"/>
    </row>
    <row r="73" spans="10:23" x14ac:dyDescent="0.25">
      <c r="T73" s="235"/>
      <c r="U73" s="235"/>
      <c r="V73" s="234"/>
      <c r="W73" s="234"/>
    </row>
    <row r="74" spans="10:23" x14ac:dyDescent="0.25">
      <c r="T74" s="235"/>
      <c r="U74" s="235"/>
      <c r="V74" s="234"/>
      <c r="W74" s="234"/>
    </row>
    <row r="75" spans="10:23" x14ac:dyDescent="0.25">
      <c r="T75" s="235"/>
      <c r="U75" s="235"/>
      <c r="V75" s="234"/>
      <c r="W75" s="234"/>
    </row>
    <row r="76" spans="10:23" x14ac:dyDescent="0.25">
      <c r="T76" s="235"/>
      <c r="U76" s="235"/>
      <c r="V76" s="234"/>
      <c r="W76" s="234"/>
    </row>
    <row r="77" spans="10:23" x14ac:dyDescent="0.25">
      <c r="T77" s="235"/>
      <c r="U77" s="235"/>
      <c r="V77" s="234"/>
      <c r="W77" s="234"/>
    </row>
    <row r="78" spans="10:23" x14ac:dyDescent="0.25">
      <c r="T78" s="235"/>
      <c r="U78" s="235"/>
      <c r="V78" s="234"/>
      <c r="W78" s="234"/>
    </row>
    <row r="79" spans="10:23" x14ac:dyDescent="0.25">
      <c r="T79" s="235"/>
      <c r="U79" s="235"/>
      <c r="V79" s="234"/>
      <c r="W79" s="234"/>
    </row>
    <row r="80" spans="10:23" x14ac:dyDescent="0.25">
      <c r="T80" s="235"/>
      <c r="U80" s="235"/>
      <c r="V80" s="234"/>
      <c r="W80" s="234"/>
    </row>
    <row r="81" spans="20:23" x14ac:dyDescent="0.25">
      <c r="T81" s="235"/>
      <c r="U81" s="235"/>
      <c r="V81" s="234"/>
      <c r="W81" s="234"/>
    </row>
    <row r="82" spans="20:23" x14ac:dyDescent="0.25">
      <c r="T82" s="235"/>
      <c r="U82" s="235"/>
      <c r="V82" s="234"/>
      <c r="W82" s="234"/>
    </row>
    <row r="83" spans="20:23" x14ac:dyDescent="0.25">
      <c r="T83" s="235"/>
      <c r="U83" s="235"/>
      <c r="V83" s="234"/>
      <c r="W83" s="234"/>
    </row>
    <row r="84" spans="20:23" x14ac:dyDescent="0.25">
      <c r="T84" s="235"/>
      <c r="U84" s="235"/>
      <c r="V84" s="234"/>
      <c r="W84" s="234"/>
    </row>
    <row r="85" spans="20:23" x14ac:dyDescent="0.25">
      <c r="T85" s="235"/>
      <c r="U85" s="235"/>
      <c r="V85" s="234"/>
      <c r="W85" s="234"/>
    </row>
    <row r="86" spans="20:23" x14ac:dyDescent="0.25">
      <c r="T86" s="235"/>
      <c r="U86" s="235"/>
      <c r="V86" s="234"/>
      <c r="W86" s="234"/>
    </row>
    <row r="87" spans="20:23" x14ac:dyDescent="0.25">
      <c r="T87" s="235"/>
      <c r="U87" s="235"/>
      <c r="V87" s="234"/>
      <c r="W87" s="234"/>
    </row>
    <row r="88" spans="20:23" x14ac:dyDescent="0.25">
      <c r="T88" s="235"/>
      <c r="U88" s="235"/>
      <c r="V88" s="234"/>
      <c r="W88" s="234"/>
    </row>
    <row r="89" spans="20:23" x14ac:dyDescent="0.25">
      <c r="T89" s="235"/>
      <c r="U89" s="235"/>
      <c r="V89" s="234"/>
      <c r="W89" s="234"/>
    </row>
    <row r="90" spans="20:23" x14ac:dyDescent="0.25">
      <c r="T90" s="235"/>
      <c r="U90" s="235"/>
      <c r="V90" s="234"/>
      <c r="W90" s="234"/>
    </row>
    <row r="91" spans="20:23" x14ac:dyDescent="0.25">
      <c r="T91" s="235"/>
      <c r="U91" s="235"/>
      <c r="V91" s="234"/>
      <c r="W91" s="234"/>
    </row>
    <row r="92" spans="20:23" x14ac:dyDescent="0.25">
      <c r="T92" s="235"/>
      <c r="U92" s="235"/>
      <c r="V92" s="234"/>
      <c r="W92" s="234"/>
    </row>
    <row r="93" spans="20:23" x14ac:dyDescent="0.25">
      <c r="T93" s="235"/>
      <c r="U93" s="235"/>
      <c r="V93" s="234"/>
      <c r="W93" s="234"/>
    </row>
    <row r="94" spans="20:23" x14ac:dyDescent="0.25">
      <c r="T94" s="235"/>
      <c r="U94" s="235"/>
      <c r="V94" s="234"/>
      <c r="W94" s="234"/>
    </row>
    <row r="95" spans="20:23" x14ac:dyDescent="0.25">
      <c r="T95" s="235"/>
      <c r="U95" s="235"/>
      <c r="V95" s="234"/>
      <c r="W95" s="234"/>
    </row>
    <row r="96" spans="20:23" x14ac:dyDescent="0.25">
      <c r="T96" s="235"/>
      <c r="U96" s="235"/>
      <c r="V96" s="234"/>
      <c r="W96" s="234"/>
    </row>
    <row r="97" spans="16:23" x14ac:dyDescent="0.25">
      <c r="T97" s="235"/>
      <c r="U97" s="235"/>
      <c r="V97" s="234"/>
      <c r="W97" s="234"/>
    </row>
    <row r="98" spans="16:23" x14ac:dyDescent="0.25">
      <c r="T98" s="235"/>
      <c r="U98" s="235"/>
      <c r="V98" s="234"/>
      <c r="W98" s="234"/>
    </row>
    <row r="99" spans="16:23" x14ac:dyDescent="0.25">
      <c r="T99" s="235"/>
      <c r="U99" s="235"/>
      <c r="V99" s="234"/>
      <c r="W99" s="234"/>
    </row>
    <row r="100" spans="16:23" x14ac:dyDescent="0.25">
      <c r="P100" s="9">
        <v>0</v>
      </c>
      <c r="Q100" s="9">
        <v>1.1344552750417508E-5</v>
      </c>
      <c r="R100" s="9">
        <v>2.2689105500834986E-2</v>
      </c>
      <c r="S100" s="9">
        <v>22.689105500834984</v>
      </c>
      <c r="T100" s="235"/>
      <c r="U100" s="235"/>
      <c r="V100" s="234"/>
      <c r="W100" s="234"/>
    </row>
    <row r="101" spans="16:23" x14ac:dyDescent="0.25">
      <c r="P101" s="9">
        <v>0.05</v>
      </c>
      <c r="Q101" s="9">
        <v>2.950718170383591E-2</v>
      </c>
      <c r="R101" s="9">
        <v>1.1571443805425836</v>
      </c>
      <c r="S101" s="9">
        <v>22.689105500834984</v>
      </c>
      <c r="T101" s="235"/>
      <c r="U101" s="235"/>
      <c r="V101" s="234"/>
      <c r="W101" s="234"/>
    </row>
    <row r="102" spans="16:23" x14ac:dyDescent="0.25">
      <c r="P102" s="9">
        <v>0.1</v>
      </c>
      <c r="Q102" s="9">
        <v>0.11572578260700864</v>
      </c>
      <c r="R102" s="9">
        <v>2.291599655584331</v>
      </c>
      <c r="S102" s="9">
        <v>22.689105500834984</v>
      </c>
      <c r="T102" s="235"/>
      <c r="U102" s="235"/>
      <c r="V102" s="234"/>
      <c r="W102" s="234"/>
    </row>
    <row r="103" spans="16:23" x14ac:dyDescent="0.25">
      <c r="P103" s="9">
        <v>0.15</v>
      </c>
      <c r="Q103" s="9">
        <v>0.2586671472622688</v>
      </c>
      <c r="R103" s="9">
        <v>3.4260549306260755</v>
      </c>
      <c r="S103" s="9">
        <v>22.689105500834984</v>
      </c>
      <c r="T103" s="235"/>
      <c r="U103" s="235"/>
      <c r="V103" s="234"/>
      <c r="W103" s="234"/>
    </row>
    <row r="104" spans="16:23" x14ac:dyDescent="0.25">
      <c r="P104" s="9">
        <v>0.2</v>
      </c>
      <c r="Q104" s="9">
        <v>0.45833127566961557</v>
      </c>
      <c r="R104" s="9">
        <v>4.5605102056678071</v>
      </c>
      <c r="S104" s="9">
        <v>22.689105500834984</v>
      </c>
      <c r="T104" s="235"/>
      <c r="U104" s="235"/>
      <c r="V104" s="234"/>
      <c r="W104" s="234"/>
    </row>
    <row r="105" spans="16:23" x14ac:dyDescent="0.25">
      <c r="P105" s="9">
        <v>0.25</v>
      </c>
      <c r="Q105" s="9">
        <v>0.71454579971764653</v>
      </c>
      <c r="R105" s="9">
        <v>5.6733767257057375</v>
      </c>
      <c r="S105" s="9">
        <v>20.896642423093063</v>
      </c>
      <c r="T105" s="235"/>
      <c r="U105" s="235"/>
      <c r="V105" s="234"/>
      <c r="W105" s="234"/>
    </row>
    <row r="106" spans="16:23" x14ac:dyDescent="0.25">
      <c r="P106" s="9">
        <v>0.3</v>
      </c>
      <c r="Q106" s="9">
        <v>1.0228899199122725</v>
      </c>
      <c r="R106" s="9">
        <v>6.6327150703104838</v>
      </c>
      <c r="S106" s="9">
        <v>17.572883647512242</v>
      </c>
      <c r="T106" s="235"/>
      <c r="U106" s="235"/>
      <c r="V106" s="234"/>
      <c r="W106" s="234"/>
    </row>
    <row r="107" spans="16:23" x14ac:dyDescent="0.25">
      <c r="P107" s="9">
        <v>0.35</v>
      </c>
      <c r="Q107" s="9">
        <v>1.3750763694315318</v>
      </c>
      <c r="R107" s="9">
        <v>7.441326142086762</v>
      </c>
      <c r="S107" s="9">
        <v>15.391325380928585</v>
      </c>
      <c r="T107" s="235"/>
      <c r="U107" s="235"/>
      <c r="V107" s="234"/>
      <c r="W107" s="234"/>
    </row>
    <row r="108" spans="16:23" x14ac:dyDescent="0.25">
      <c r="P108" s="9">
        <v>0.4</v>
      </c>
      <c r="Q108" s="9">
        <v>1.7657717275505744</v>
      </c>
      <c r="R108" s="9">
        <v>8.1745863370991341</v>
      </c>
      <c r="S108" s="9">
        <v>13.962305304554652</v>
      </c>
      <c r="T108" s="235"/>
      <c r="U108" s="235"/>
      <c r="V108" s="234"/>
      <c r="W108" s="234"/>
    </row>
    <row r="109" spans="16:23" x14ac:dyDescent="0.25">
      <c r="P109" s="9">
        <v>0.45</v>
      </c>
      <c r="Q109" s="9">
        <v>2.1914004660839081</v>
      </c>
      <c r="R109" s="9">
        <v>8.8397663951548129</v>
      </c>
      <c r="S109" s="9">
        <v>12.665963755087216</v>
      </c>
      <c r="T109" s="235"/>
      <c r="U109" s="235"/>
      <c r="V109" s="234"/>
      <c r="W109" s="234"/>
    </row>
    <row r="110" spans="16:23" x14ac:dyDescent="0.25">
      <c r="P110" s="9">
        <v>0.5</v>
      </c>
      <c r="Q110" s="9">
        <v>2.6487191670209262</v>
      </c>
      <c r="R110" s="9">
        <v>9.4431872717339278</v>
      </c>
      <c r="S110" s="9">
        <v>11.489982087187986</v>
      </c>
      <c r="T110" s="235"/>
      <c r="U110" s="235"/>
      <c r="V110" s="234"/>
      <c r="W110" s="234"/>
    </row>
    <row r="111" spans="16:23" x14ac:dyDescent="0.25">
      <c r="P111" s="9">
        <v>0.55000000000000004</v>
      </c>
      <c r="Q111" s="9">
        <v>3.1347855501243092</v>
      </c>
      <c r="R111" s="9">
        <v>9.990583048083387</v>
      </c>
      <c r="S111" s="9">
        <v>10.423185390126804</v>
      </c>
      <c r="T111" s="235"/>
      <c r="U111" s="235"/>
      <c r="V111" s="234"/>
      <c r="W111" s="234"/>
    </row>
    <row r="112" spans="16:23" x14ac:dyDescent="0.25">
      <c r="P112" s="9">
        <v>0.6</v>
      </c>
      <c r="Q112" s="9">
        <v>3.6469305135494627</v>
      </c>
      <c r="R112" s="9">
        <v>10.487155420030275</v>
      </c>
      <c r="S112" s="9">
        <v>9.4554362968151331</v>
      </c>
      <c r="T112" s="235"/>
      <c r="U112" s="235"/>
      <c r="V112" s="234"/>
      <c r="W112" s="234"/>
    </row>
    <row r="113" spans="16:23" x14ac:dyDescent="0.25">
      <c r="P113" s="9">
        <v>0.65</v>
      </c>
      <c r="Q113" s="9">
        <v>4.182732770375317</v>
      </c>
      <c r="R113" s="9">
        <v>10.937623127737947</v>
      </c>
      <c r="S113" s="9">
        <v>8.5775386522259325</v>
      </c>
      <c r="T113" s="235"/>
      <c r="U113" s="235"/>
      <c r="V113" s="234"/>
      <c r="W113" s="234"/>
    </row>
    <row r="114" spans="16:23" x14ac:dyDescent="0.25">
      <c r="P114" s="9">
        <v>0.70000000000000095</v>
      </c>
      <c r="Q114" s="9">
        <v>4.7399958400268707</v>
      </c>
      <c r="R114" s="9">
        <v>11.346266796115616</v>
      </c>
      <c r="S114" s="9">
        <v>7.7811501257971072</v>
      </c>
      <c r="T114" s="235"/>
      <c r="U114" s="235"/>
      <c r="V114" s="234"/>
      <c r="W114" s="234"/>
    </row>
    <row r="115" spans="16:23" x14ac:dyDescent="0.25">
      <c r="P115" s="9">
        <v>0.750000000000001</v>
      </c>
      <c r="Q115" s="9">
        <v>5.3167271759479142</v>
      </c>
      <c r="R115" s="9">
        <v>11.716969611984394</v>
      </c>
      <c r="S115" s="9">
        <v>7.0587029374073849</v>
      </c>
      <c r="T115" s="235"/>
      <c r="U115" s="235"/>
      <c r="V115" s="234"/>
      <c r="W115" s="234"/>
    </row>
    <row r="116" spans="16:23" x14ac:dyDescent="0.25">
      <c r="P116" s="9">
        <v>0.80000000000000104</v>
      </c>
      <c r="Q116" s="9">
        <v>5.9111192311818241</v>
      </c>
      <c r="R116" s="9">
        <v>12.053254224538348</v>
      </c>
      <c r="S116" s="9">
        <v>6.4033319436128213</v>
      </c>
      <c r="T116" s="235"/>
      <c r="U116" s="235"/>
      <c r="V116" s="234"/>
      <c r="W116" s="234"/>
    </row>
    <row r="117" spans="16:23" x14ac:dyDescent="0.25">
      <c r="P117" s="9">
        <v>0.85000000000000098</v>
      </c>
      <c r="Q117" s="9">
        <v>6.521532281933732</v>
      </c>
      <c r="R117" s="9">
        <v>12.358316219752881</v>
      </c>
      <c r="S117" s="9">
        <v>5.8088094007753179</v>
      </c>
      <c r="T117" s="235"/>
      <c r="U117" s="235"/>
      <c r="V117" s="234"/>
      <c r="W117" s="234"/>
    </row>
    <row r="118" spans="16:23" x14ac:dyDescent="0.25">
      <c r="P118" s="9">
        <v>0.90000000000000102</v>
      </c>
      <c r="Q118" s="9">
        <v>7.1464788458931467</v>
      </c>
      <c r="R118" s="9">
        <v>12.635054486834161</v>
      </c>
      <c r="S118" s="9">
        <v>5.2694857851610886</v>
      </c>
      <c r="T118" s="235"/>
      <c r="U118" s="235"/>
      <c r="V118" s="234"/>
      <c r="W118" s="234"/>
    </row>
    <row r="119" spans="16:23" x14ac:dyDescent="0.25">
      <c r="P119" s="9">
        <v>0.95000000000000095</v>
      </c>
      <c r="Q119" s="9">
        <v>7.7846095472500414</v>
      </c>
      <c r="R119" s="9">
        <v>12.886098765271015</v>
      </c>
      <c r="S119" s="9">
        <v>4.7802361076451581</v>
      </c>
      <c r="T119" s="235"/>
      <c r="U119" s="235"/>
      <c r="V119" s="234"/>
      <c r="W119" s="234"/>
    </row>
    <row r="120" spans="16:23" x14ac:dyDescent="0.25">
      <c r="P120" s="9">
        <v>1</v>
      </c>
      <c r="Q120" s="9">
        <v>8.4347002940848395</v>
      </c>
      <c r="R120" s="9">
        <v>13.113834634258637</v>
      </c>
      <c r="S120" s="9">
        <v>4.3364112128705505</v>
      </c>
      <c r="T120" s="235"/>
      <c r="U120" s="235"/>
      <c r="V120" s="234"/>
      <c r="W120" s="234"/>
    </row>
    <row r="121" spans="16:23" x14ac:dyDescent="0.25">
      <c r="P121" s="9">
        <v>1.05</v>
      </c>
      <c r="Q121" s="9">
        <v>9.0956406462840373</v>
      </c>
      <c r="R121" s="9">
        <v>13.320426181958835</v>
      </c>
      <c r="S121" s="9">
        <v>3.933793600076545</v>
      </c>
      <c r="T121" s="235"/>
      <c r="U121" s="235"/>
      <c r="V121" s="234"/>
      <c r="W121" s="234"/>
    </row>
    <row r="122" spans="16:23" x14ac:dyDescent="0.25">
      <c r="P122" s="9">
        <v>1.0999999999999901</v>
      </c>
      <c r="Q122" s="9">
        <v>9.7664232634463488</v>
      </c>
      <c r="R122" s="9">
        <v>13.507836570014476</v>
      </c>
      <c r="S122" s="9">
        <v>3.5685573457779811</v>
      </c>
      <c r="T122" s="235"/>
      <c r="U122" s="235"/>
      <c r="V122" s="234"/>
      <c r="W122" s="234"/>
    </row>
    <row r="123" spans="16:23" x14ac:dyDescent="0.25">
      <c r="P123" s="9">
        <v>1.1499999999999799</v>
      </c>
      <c r="Q123" s="9">
        <v>10.446134332506155</v>
      </c>
      <c r="R123" s="9">
        <v>13.677846688735015</v>
      </c>
      <c r="S123" s="9">
        <v>3.2372317474557541</v>
      </c>
      <c r="T123" s="235"/>
      <c r="U123" s="235"/>
      <c r="V123" s="234"/>
      <c r="W123" s="234"/>
    </row>
    <row r="124" spans="16:23" x14ac:dyDescent="0.25">
      <c r="P124" s="9">
        <v>1.19999999999998</v>
      </c>
      <c r="Q124" s="9">
        <v>11.133944884112454</v>
      </c>
      <c r="R124" s="9">
        <v>13.83207208022602</v>
      </c>
      <c r="S124" s="9">
        <v>2.9366683427783729</v>
      </c>
      <c r="T124" s="235"/>
      <c r="U124" s="235"/>
      <c r="V124" s="234"/>
      <c r="W124" s="234"/>
    </row>
    <row r="125" spans="16:23" x14ac:dyDescent="0.25">
      <c r="P125" s="9">
        <v>1.24999999999997</v>
      </c>
      <c r="Q125" s="9">
        <v>11.829102915245336</v>
      </c>
      <c r="R125" s="9">
        <v>13.971978290277359</v>
      </c>
      <c r="S125" s="9">
        <v>2.6640109909506919</v>
      </c>
      <c r="T125" s="235"/>
      <c r="U125" s="235"/>
      <c r="V125" s="234"/>
      <c r="W125" s="234"/>
    </row>
    <row r="126" spans="16:23" x14ac:dyDescent="0.25">
      <c r="P126" s="9">
        <v>1.2999999999999701</v>
      </c>
      <c r="Q126" s="9">
        <v>12.530926243214566</v>
      </c>
      <c r="R126" s="9">
        <v>14.098894794892354</v>
      </c>
      <c r="S126" s="9">
        <v>2.4166687318840263</v>
      </c>
      <c r="T126" s="235"/>
      <c r="U126" s="235"/>
      <c r="V126" s="234"/>
      <c r="W126" s="234"/>
    </row>
    <row r="127" spans="16:23" x14ac:dyDescent="0.25">
      <c r="P127" s="9">
        <v>1.3499999999999599</v>
      </c>
      <c r="Q127" s="9">
        <v>13.238796023134581</v>
      </c>
      <c r="R127" s="9">
        <v>14.214027633797647</v>
      </c>
      <c r="S127" s="9">
        <v>2.1922911652784505</v>
      </c>
      <c r="T127" s="235"/>
      <c r="U127" s="235"/>
      <c r="V127" s="234"/>
      <c r="W127" s="234"/>
    </row>
    <row r="128" spans="16:23" x14ac:dyDescent="0.25">
      <c r="P128" s="9">
        <v>1.3999999999999599</v>
      </c>
      <c r="Q128" s="9">
        <v>13.952150867274655</v>
      </c>
      <c r="R128" s="9">
        <v>14.318470870984212</v>
      </c>
      <c r="S128" s="9">
        <v>1.9887461156544453</v>
      </c>
      <c r="T128" s="235"/>
      <c r="U128" s="235"/>
      <c r="V128" s="234"/>
      <c r="W128" s="234"/>
    </row>
    <row r="129" spans="16:23" x14ac:dyDescent="0.25">
      <c r="P129" s="9">
        <v>1.44999999999995</v>
      </c>
      <c r="Q129" s="9">
        <v>14.670481510402816</v>
      </c>
      <c r="R129" s="9">
        <v>14.413216991185253</v>
      </c>
      <c r="S129" s="9">
        <v>1.804099371092593</v>
      </c>
      <c r="T129" s="235"/>
      <c r="U129" s="235"/>
      <c r="V129" s="234"/>
      <c r="W129" s="234"/>
    </row>
    <row r="130" spans="16:23" x14ac:dyDescent="0.25">
      <c r="P130" s="9"/>
      <c r="Q130" s="9"/>
      <c r="R130" s="9"/>
      <c r="S130" s="9"/>
      <c r="T130" s="235"/>
      <c r="U130" s="235"/>
      <c r="V130" s="234"/>
      <c r="W130" s="234"/>
    </row>
    <row r="131" spans="16:23" x14ac:dyDescent="0.25">
      <c r="P131" s="9"/>
      <c r="Q131" s="9"/>
      <c r="R131" s="9"/>
      <c r="S131" s="9"/>
      <c r="T131" s="235"/>
      <c r="U131" s="235"/>
      <c r="V131" s="234"/>
      <c r="W131" s="234"/>
    </row>
    <row r="132" spans="16:23" x14ac:dyDescent="0.25">
      <c r="P132" s="9"/>
      <c r="Q132" s="9"/>
      <c r="R132" s="9"/>
      <c r="S132" s="9"/>
      <c r="T132" s="235"/>
      <c r="U132" s="235"/>
      <c r="V132" s="234"/>
      <c r="W132" s="234"/>
    </row>
    <row r="133" spans="16:23" x14ac:dyDescent="0.25">
      <c r="P133" s="9"/>
      <c r="Q133" s="9"/>
      <c r="R133" s="9"/>
      <c r="S133" s="9"/>
      <c r="T133" s="235"/>
      <c r="U133" s="235"/>
      <c r="V133" s="234"/>
      <c r="W133" s="234"/>
    </row>
    <row r="134" spans="16:23" x14ac:dyDescent="0.25">
      <c r="P134" s="9"/>
      <c r="Q134" s="9"/>
      <c r="R134" s="9"/>
      <c r="S134" s="9"/>
      <c r="T134" s="235"/>
      <c r="U134" s="235"/>
      <c r="V134" s="234"/>
      <c r="W134" s="234"/>
    </row>
    <row r="135" spans="16:23" x14ac:dyDescent="0.25">
      <c r="P135" s="9"/>
      <c r="Q135" s="9"/>
      <c r="R135" s="9"/>
      <c r="S135" s="9"/>
      <c r="T135" s="235"/>
      <c r="U135" s="235"/>
      <c r="V135" s="234"/>
      <c r="W135" s="234"/>
    </row>
    <row r="136" spans="16:23" x14ac:dyDescent="0.25">
      <c r="P136" s="9"/>
      <c r="Q136" s="9"/>
      <c r="R136" s="9"/>
      <c r="S136" s="9"/>
      <c r="T136" s="235"/>
      <c r="U136" s="235"/>
      <c r="V136" s="234"/>
      <c r="W136" s="234"/>
    </row>
    <row r="137" spans="16:23" x14ac:dyDescent="0.25">
      <c r="P137" s="9"/>
      <c r="Q137" s="9"/>
      <c r="R137" s="9"/>
      <c r="S137" s="9"/>
      <c r="T137" s="235"/>
      <c r="U137" s="235"/>
      <c r="V137" s="234"/>
      <c r="W137" s="234"/>
    </row>
    <row r="138" spans="16:23" x14ac:dyDescent="0.25">
      <c r="P138" s="9"/>
      <c r="Q138" s="9"/>
      <c r="R138" s="9"/>
      <c r="S138" s="9"/>
      <c r="T138" s="235"/>
      <c r="U138" s="235"/>
      <c r="V138" s="234"/>
      <c r="W138" s="234"/>
    </row>
    <row r="139" spans="16:23" x14ac:dyDescent="0.25">
      <c r="P139" s="9"/>
      <c r="Q139" s="9"/>
      <c r="R139" s="9"/>
      <c r="S139" s="9"/>
      <c r="T139" s="235"/>
      <c r="U139" s="235"/>
      <c r="V139" s="234"/>
      <c r="W139" s="234"/>
    </row>
    <row r="140" spans="16:23" x14ac:dyDescent="0.25">
      <c r="P140" s="9"/>
      <c r="Q140" s="9"/>
      <c r="R140" s="9"/>
      <c r="S140" s="9"/>
      <c r="T140" s="235"/>
      <c r="U140" s="235"/>
      <c r="V140" s="234"/>
      <c r="W140" s="234"/>
    </row>
    <row r="141" spans="16:23" x14ac:dyDescent="0.25">
      <c r="P141" s="9"/>
      <c r="Q141" s="9"/>
      <c r="R141" s="9"/>
      <c r="S141" s="9"/>
      <c r="T141" s="235"/>
      <c r="U141" s="235"/>
      <c r="V141" s="234"/>
      <c r="W141" s="234"/>
    </row>
    <row r="142" spans="16:23" x14ac:dyDescent="0.25">
      <c r="P142" s="9"/>
      <c r="Q142" s="9"/>
      <c r="R142" s="9"/>
      <c r="S142" s="9"/>
      <c r="T142" s="235"/>
      <c r="U142" s="235"/>
      <c r="V142" s="234"/>
      <c r="W142" s="234"/>
    </row>
    <row r="143" spans="16:23" x14ac:dyDescent="0.25">
      <c r="P143" s="9"/>
      <c r="Q143" s="9"/>
      <c r="R143" s="9"/>
      <c r="S143" s="9"/>
      <c r="T143" s="235"/>
      <c r="U143" s="235"/>
      <c r="V143" s="234"/>
      <c r="W143" s="234"/>
    </row>
    <row r="144" spans="16:23" x14ac:dyDescent="0.25">
      <c r="P144" s="9"/>
      <c r="Q144" s="9"/>
      <c r="R144" s="9"/>
      <c r="S144" s="9"/>
      <c r="T144" s="235"/>
      <c r="U144" s="235"/>
      <c r="V144" s="234"/>
      <c r="W144" s="234"/>
    </row>
    <row r="145" spans="16:23" x14ac:dyDescent="0.25">
      <c r="P145" s="9"/>
      <c r="Q145" s="9"/>
      <c r="R145" s="9"/>
      <c r="S145" s="9"/>
      <c r="T145" s="235"/>
      <c r="U145" s="235"/>
      <c r="V145" s="234"/>
      <c r="W145" s="234"/>
    </row>
    <row r="146" spans="16:23" x14ac:dyDescent="0.25">
      <c r="P146" s="9"/>
      <c r="Q146" s="9"/>
      <c r="R146" s="9"/>
      <c r="S146" s="9"/>
      <c r="T146" s="235"/>
      <c r="U146" s="235"/>
      <c r="V146" s="234"/>
      <c r="W146" s="234"/>
    </row>
    <row r="147" spans="16:23" x14ac:dyDescent="0.25">
      <c r="P147" s="9"/>
      <c r="Q147" s="9"/>
      <c r="R147" s="9"/>
      <c r="S147" s="9"/>
      <c r="T147" s="235"/>
      <c r="U147" s="235"/>
      <c r="V147" s="234"/>
      <c r="W147" s="234"/>
    </row>
    <row r="148" spans="16:23" x14ac:dyDescent="0.25">
      <c r="P148" s="9"/>
      <c r="Q148" s="9"/>
      <c r="R148" s="9"/>
      <c r="S148" s="9"/>
      <c r="T148" s="235"/>
      <c r="U148" s="235"/>
      <c r="V148" s="234"/>
      <c r="W148" s="234"/>
    </row>
    <row r="149" spans="16:23" x14ac:dyDescent="0.25">
      <c r="P149" s="9"/>
      <c r="Q149" s="9"/>
      <c r="R149" s="9"/>
      <c r="S149" s="9"/>
      <c r="T149" s="235"/>
      <c r="U149" s="235"/>
      <c r="V149" s="234"/>
      <c r="W149" s="234"/>
    </row>
    <row r="150" spans="16:23" x14ac:dyDescent="0.25">
      <c r="P150" s="9"/>
      <c r="Q150" s="9"/>
      <c r="R150" s="9"/>
      <c r="S150" s="9"/>
      <c r="T150" s="235"/>
      <c r="U150" s="235"/>
      <c r="V150" s="234"/>
      <c r="W150" s="234"/>
    </row>
    <row r="151" spans="16:23" x14ac:dyDescent="0.25">
      <c r="P151" s="9"/>
      <c r="Q151" s="9"/>
      <c r="R151" s="9"/>
      <c r="S151" s="9"/>
      <c r="T151" s="235"/>
      <c r="U151" s="235"/>
      <c r="V151" s="234"/>
      <c r="W151" s="234"/>
    </row>
    <row r="152" spans="16:23" x14ac:dyDescent="0.25">
      <c r="P152" s="9"/>
      <c r="Q152" s="9"/>
      <c r="R152" s="9"/>
      <c r="S152" s="9"/>
      <c r="T152" s="235"/>
      <c r="U152" s="235"/>
      <c r="V152" s="234"/>
      <c r="W152" s="234"/>
    </row>
    <row r="153" spans="16:23" x14ac:dyDescent="0.25">
      <c r="P153" s="9"/>
      <c r="Q153" s="9"/>
      <c r="R153" s="9"/>
      <c r="S153" s="9"/>
      <c r="T153" s="235"/>
      <c r="U153" s="235"/>
      <c r="V153" s="234"/>
      <c r="W153" s="234"/>
    </row>
    <row r="154" spans="16:23" x14ac:dyDescent="0.25">
      <c r="P154" s="9"/>
      <c r="Q154" s="9"/>
      <c r="R154" s="9"/>
      <c r="S154" s="9"/>
      <c r="T154" s="235"/>
      <c r="U154" s="235"/>
      <c r="V154" s="234"/>
      <c r="W154" s="234"/>
    </row>
    <row r="155" spans="16:23" x14ac:dyDescent="0.25">
      <c r="P155" s="9"/>
      <c r="Q155" s="9"/>
      <c r="R155" s="9"/>
      <c r="S155" s="9"/>
      <c r="T155" s="235"/>
      <c r="U155" s="235"/>
      <c r="V155" s="234"/>
      <c r="W155" s="234"/>
    </row>
    <row r="156" spans="16:23" x14ac:dyDescent="0.25">
      <c r="P156" s="9"/>
      <c r="Q156" s="9"/>
      <c r="R156" s="9"/>
      <c r="S156" s="9"/>
      <c r="T156" s="235"/>
      <c r="U156" s="235"/>
      <c r="V156" s="234"/>
      <c r="W156" s="234"/>
    </row>
    <row r="157" spans="16:23" x14ac:dyDescent="0.25">
      <c r="P157" s="9"/>
      <c r="Q157" s="9"/>
      <c r="R157" s="9"/>
      <c r="S157" s="9"/>
      <c r="T157" s="235"/>
      <c r="U157" s="235"/>
      <c r="V157" s="234"/>
      <c r="W157" s="234"/>
    </row>
    <row r="158" spans="16:23" x14ac:dyDescent="0.25">
      <c r="P158" s="9"/>
      <c r="Q158" s="9"/>
      <c r="R158" s="9"/>
      <c r="S158" s="9"/>
      <c r="T158" s="235"/>
      <c r="U158" s="235"/>
      <c r="V158" s="234"/>
      <c r="W158" s="234"/>
    </row>
    <row r="159" spans="16:23" x14ac:dyDescent="0.25">
      <c r="P159" s="9"/>
      <c r="Q159" s="9"/>
      <c r="R159" s="9"/>
      <c r="S159" s="9"/>
      <c r="T159" s="235"/>
      <c r="U159" s="235"/>
      <c r="V159" s="234"/>
      <c r="W159" s="234"/>
    </row>
    <row r="160" spans="16:23" x14ac:dyDescent="0.25">
      <c r="P160" s="9"/>
      <c r="Q160" s="9"/>
      <c r="R160" s="9"/>
      <c r="S160" s="9"/>
      <c r="T160" s="235"/>
      <c r="U160" s="235"/>
      <c r="V160" s="234"/>
      <c r="W160" s="234"/>
    </row>
    <row r="161" spans="16:23" x14ac:dyDescent="0.25">
      <c r="P161" s="9"/>
      <c r="Q161" s="9"/>
      <c r="R161" s="9"/>
      <c r="S161" s="9"/>
      <c r="T161" s="235"/>
      <c r="U161" s="235"/>
      <c r="V161" s="234"/>
      <c r="W161" s="234"/>
    </row>
    <row r="162" spans="16:23" x14ac:dyDescent="0.25">
      <c r="P162" s="9"/>
      <c r="Q162" s="9"/>
      <c r="R162" s="9"/>
      <c r="S162" s="9"/>
      <c r="T162" s="235"/>
      <c r="U162" s="235"/>
      <c r="V162" s="234"/>
      <c r="W162" s="234"/>
    </row>
    <row r="163" spans="16:23" x14ac:dyDescent="0.25">
      <c r="P163" s="9"/>
      <c r="Q163" s="9"/>
      <c r="R163" s="9"/>
      <c r="S163" s="9"/>
      <c r="T163" s="235"/>
      <c r="U163" s="235"/>
      <c r="V163" s="234"/>
      <c r="W163" s="234"/>
    </row>
    <row r="164" spans="16:23" x14ac:dyDescent="0.25">
      <c r="P164" s="9"/>
      <c r="Q164" s="9"/>
      <c r="R164" s="9"/>
      <c r="S164" s="9"/>
      <c r="T164" s="235"/>
      <c r="U164" s="235"/>
      <c r="V164" s="234"/>
      <c r="W164" s="234"/>
    </row>
    <row r="165" spans="16:23" x14ac:dyDescent="0.25">
      <c r="P165" s="9"/>
      <c r="Q165" s="9"/>
      <c r="R165" s="9"/>
      <c r="S165" s="9"/>
      <c r="T165" s="235"/>
      <c r="U165" s="235"/>
      <c r="V165" s="234"/>
      <c r="W165" s="234"/>
    </row>
    <row r="166" spans="16:23" x14ac:dyDescent="0.25">
      <c r="P166" s="9"/>
      <c r="Q166" s="9"/>
      <c r="R166" s="9"/>
      <c r="S166" s="9"/>
      <c r="T166" s="235"/>
      <c r="U166" s="235"/>
      <c r="V166" s="234"/>
      <c r="W166" s="234"/>
    </row>
    <row r="167" spans="16:23" x14ac:dyDescent="0.25">
      <c r="P167" s="9"/>
      <c r="Q167" s="9"/>
      <c r="R167" s="9"/>
      <c r="S167" s="9"/>
      <c r="T167" s="235"/>
      <c r="U167" s="235"/>
      <c r="V167" s="234"/>
      <c r="W167" s="234"/>
    </row>
    <row r="168" spans="16:23" x14ac:dyDescent="0.25">
      <c r="P168" s="9"/>
      <c r="Q168" s="9"/>
      <c r="R168" s="9"/>
      <c r="S168" s="9"/>
      <c r="T168" s="235"/>
      <c r="U168" s="235"/>
      <c r="V168" s="234"/>
      <c r="W168" s="234"/>
    </row>
    <row r="169" spans="16:23" x14ac:dyDescent="0.25">
      <c r="P169" s="9"/>
      <c r="Q169" s="9"/>
      <c r="R169" s="9"/>
      <c r="S169" s="9"/>
      <c r="T169" s="235"/>
      <c r="U169" s="235"/>
      <c r="V169" s="234"/>
      <c r="W169" s="234"/>
    </row>
    <row r="170" spans="16:23" x14ac:dyDescent="0.25">
      <c r="P170" s="9"/>
      <c r="Q170" s="9"/>
      <c r="R170" s="9"/>
      <c r="S170" s="9"/>
      <c r="T170" s="235"/>
      <c r="U170" s="235"/>
      <c r="V170" s="234"/>
      <c r="W170" s="234"/>
    </row>
    <row r="171" spans="16:23" x14ac:dyDescent="0.25">
      <c r="P171" s="9"/>
      <c r="Q171" s="9"/>
      <c r="R171" s="9"/>
      <c r="S171" s="9"/>
      <c r="T171" s="235"/>
      <c r="U171" s="235"/>
      <c r="V171" s="234"/>
      <c r="W171" s="234"/>
    </row>
    <row r="172" spans="16:23" x14ac:dyDescent="0.25">
      <c r="P172" s="9"/>
      <c r="Q172" s="9"/>
      <c r="R172" s="9"/>
      <c r="S172" s="9"/>
      <c r="T172" s="235"/>
      <c r="U172" s="235"/>
      <c r="V172" s="234"/>
      <c r="W172" s="234"/>
    </row>
    <row r="173" spans="16:23" x14ac:dyDescent="0.25">
      <c r="P173" s="9"/>
      <c r="Q173" s="9"/>
      <c r="R173" s="9"/>
      <c r="S173" s="9"/>
      <c r="T173" s="235"/>
      <c r="U173" s="235"/>
      <c r="V173" s="234"/>
      <c r="W173" s="234"/>
    </row>
    <row r="174" spans="16:23" x14ac:dyDescent="0.25">
      <c r="P174" s="9"/>
      <c r="Q174" s="9"/>
      <c r="R174" s="9"/>
      <c r="S174" s="9"/>
      <c r="T174" s="235"/>
      <c r="U174" s="235"/>
      <c r="V174" s="234"/>
      <c r="W174" s="234"/>
    </row>
    <row r="175" spans="16:23" x14ac:dyDescent="0.25">
      <c r="P175" s="9"/>
      <c r="Q175" s="9"/>
      <c r="R175" s="9"/>
      <c r="S175" s="9"/>
      <c r="T175" s="235"/>
      <c r="U175" s="235"/>
      <c r="V175" s="234"/>
      <c r="W175" s="234"/>
    </row>
    <row r="176" spans="16:23" x14ac:dyDescent="0.25">
      <c r="P176" s="9"/>
      <c r="Q176" s="9"/>
      <c r="R176" s="9"/>
      <c r="S176" s="9"/>
      <c r="T176" s="235"/>
      <c r="U176" s="235"/>
      <c r="V176" s="234"/>
      <c r="W176" s="234"/>
    </row>
    <row r="177" spans="16:23" x14ac:dyDescent="0.25">
      <c r="P177" s="9"/>
      <c r="Q177" s="9"/>
      <c r="R177" s="9"/>
      <c r="S177" s="9"/>
      <c r="T177" s="235"/>
      <c r="U177" s="235"/>
      <c r="V177" s="234"/>
      <c r="W177" s="234"/>
    </row>
    <row r="178" spans="16:23" x14ac:dyDescent="0.25">
      <c r="P178" s="9"/>
      <c r="Q178" s="9"/>
      <c r="R178" s="9"/>
      <c r="S178" s="9"/>
      <c r="T178" s="235"/>
      <c r="U178" s="235"/>
      <c r="V178" s="234"/>
      <c r="W178" s="234"/>
    </row>
    <row r="179" spans="16:23" x14ac:dyDescent="0.25">
      <c r="P179" s="9"/>
      <c r="Q179" s="9"/>
      <c r="R179" s="9"/>
      <c r="S179" s="9"/>
      <c r="T179" s="235"/>
      <c r="U179" s="235"/>
      <c r="V179" s="234"/>
      <c r="W179" s="234"/>
    </row>
    <row r="180" spans="16:23" x14ac:dyDescent="0.25">
      <c r="P180" s="9"/>
      <c r="Q180" s="9"/>
      <c r="R180" s="9"/>
      <c r="S180" s="9"/>
      <c r="T180" s="235"/>
      <c r="U180" s="235"/>
      <c r="V180" s="234"/>
      <c r="W180" s="234"/>
    </row>
    <row r="181" spans="16:23" x14ac:dyDescent="0.25">
      <c r="P181" s="9"/>
      <c r="Q181" s="9"/>
      <c r="R181" s="9"/>
      <c r="S181" s="9"/>
      <c r="T181" s="235"/>
      <c r="U181" s="235"/>
      <c r="V181" s="234"/>
      <c r="W181" s="234"/>
    </row>
    <row r="182" spans="16:23" x14ac:dyDescent="0.25">
      <c r="P182" s="9"/>
      <c r="Q182" s="9"/>
      <c r="R182" s="9"/>
      <c r="S182" s="9"/>
      <c r="T182" s="235"/>
      <c r="U182" s="235"/>
      <c r="V182" s="234"/>
      <c r="W182" s="234"/>
    </row>
    <row r="183" spans="16:23" x14ac:dyDescent="0.25">
      <c r="P183" s="9"/>
      <c r="Q183" s="9"/>
      <c r="R183" s="9"/>
      <c r="S183" s="9"/>
      <c r="T183" s="235"/>
      <c r="U183" s="235"/>
      <c r="V183" s="234"/>
      <c r="W183" s="234"/>
    </row>
    <row r="184" spans="16:23" x14ac:dyDescent="0.25">
      <c r="P184" s="9"/>
      <c r="Q184" s="9"/>
      <c r="R184" s="9"/>
      <c r="S184" s="9"/>
      <c r="T184" s="235"/>
      <c r="U184" s="235"/>
      <c r="V184" s="234"/>
      <c r="W184" s="234"/>
    </row>
    <row r="185" spans="16:23" x14ac:dyDescent="0.25">
      <c r="P185" s="9"/>
      <c r="Q185" s="9"/>
      <c r="R185" s="9"/>
      <c r="S185" s="9"/>
      <c r="T185" s="235"/>
      <c r="U185" s="235"/>
      <c r="V185" s="234"/>
      <c r="W185" s="234"/>
    </row>
    <row r="186" spans="16:23" x14ac:dyDescent="0.25">
      <c r="P186" s="9"/>
      <c r="Q186" s="9"/>
      <c r="R186" s="9"/>
      <c r="S186" s="9"/>
      <c r="T186" s="235"/>
      <c r="U186" s="235"/>
      <c r="V186" s="234"/>
      <c r="W186" s="234"/>
    </row>
    <row r="187" spans="16:23" x14ac:dyDescent="0.25">
      <c r="P187" s="9"/>
      <c r="Q187" s="9"/>
      <c r="R187" s="9"/>
      <c r="S187" s="9"/>
      <c r="T187" s="235"/>
      <c r="U187" s="235"/>
      <c r="V187" s="234"/>
      <c r="W187" s="234"/>
    </row>
    <row r="188" spans="16:23" x14ac:dyDescent="0.25">
      <c r="P188" s="9"/>
      <c r="Q188" s="9"/>
      <c r="R188" s="9"/>
      <c r="S188" s="9"/>
      <c r="T188" s="235"/>
      <c r="U188" s="235"/>
      <c r="V188" s="234"/>
      <c r="W188" s="234"/>
    </row>
    <row r="189" spans="16:23" x14ac:dyDescent="0.25">
      <c r="P189" s="9"/>
      <c r="Q189" s="9"/>
      <c r="R189" s="9"/>
      <c r="S189" s="9"/>
      <c r="T189" s="235"/>
      <c r="U189" s="235"/>
      <c r="V189" s="234"/>
      <c r="W189" s="234"/>
    </row>
    <row r="190" spans="16:23" x14ac:dyDescent="0.25">
      <c r="P190" s="9"/>
      <c r="Q190" s="9"/>
      <c r="R190" s="9"/>
      <c r="S190" s="9"/>
      <c r="T190" s="235"/>
      <c r="U190" s="235"/>
      <c r="V190" s="234"/>
      <c r="W190" s="234"/>
    </row>
    <row r="191" spans="16:23" x14ac:dyDescent="0.25">
      <c r="P191" s="9"/>
      <c r="Q191" s="9"/>
      <c r="R191" s="9"/>
      <c r="S191" s="9"/>
      <c r="T191" s="235"/>
      <c r="U191" s="235"/>
      <c r="V191" s="234"/>
      <c r="W191" s="234"/>
    </row>
    <row r="192" spans="16:23" x14ac:dyDescent="0.25">
      <c r="P192" s="9"/>
      <c r="Q192" s="9"/>
      <c r="R192" s="9"/>
      <c r="S192" s="9"/>
      <c r="T192" s="235"/>
      <c r="U192" s="235"/>
      <c r="V192" s="234"/>
      <c r="W192" s="234"/>
    </row>
    <row r="193" spans="16:23" x14ac:dyDescent="0.25">
      <c r="P193" s="9"/>
      <c r="Q193" s="9"/>
      <c r="R193" s="9"/>
      <c r="S193" s="9"/>
      <c r="T193" s="235"/>
      <c r="U193" s="235"/>
      <c r="V193" s="234"/>
      <c r="W193" s="234"/>
    </row>
    <row r="194" spans="16:23" x14ac:dyDescent="0.25">
      <c r="P194" s="9"/>
      <c r="Q194" s="9"/>
      <c r="R194" s="9"/>
      <c r="S194" s="9"/>
      <c r="T194" s="235"/>
      <c r="U194" s="235"/>
      <c r="V194" s="234"/>
      <c r="W194" s="234"/>
    </row>
    <row r="195" spans="16:23" x14ac:dyDescent="0.25">
      <c r="P195" s="9"/>
      <c r="Q195" s="9"/>
      <c r="R195" s="9"/>
      <c r="S195" s="9"/>
      <c r="T195" s="235"/>
      <c r="U195" s="235"/>
      <c r="V195" s="234"/>
      <c r="W195" s="234"/>
    </row>
    <row r="196" spans="16:23" x14ac:dyDescent="0.25">
      <c r="P196" s="9"/>
      <c r="Q196" s="9"/>
      <c r="R196" s="9"/>
      <c r="S196" s="9"/>
      <c r="T196" s="235"/>
      <c r="U196" s="235"/>
      <c r="V196" s="234"/>
      <c r="W196" s="234"/>
    </row>
    <row r="197" spans="16:23" x14ac:dyDescent="0.25">
      <c r="P197" s="9"/>
      <c r="Q197" s="9"/>
      <c r="R197" s="9"/>
      <c r="S197" s="9"/>
      <c r="T197" s="235"/>
      <c r="U197" s="235"/>
      <c r="V197" s="234"/>
      <c r="W197" s="234"/>
    </row>
    <row r="198" spans="16:23" x14ac:dyDescent="0.25">
      <c r="P198" s="9"/>
      <c r="Q198" s="9"/>
      <c r="R198" s="9"/>
      <c r="S198" s="9"/>
      <c r="T198" s="235"/>
      <c r="U198" s="235"/>
      <c r="V198" s="234"/>
      <c r="W198" s="234"/>
    </row>
    <row r="199" spans="16:23" x14ac:dyDescent="0.25">
      <c r="P199" s="9"/>
      <c r="Q199" s="9"/>
      <c r="R199" s="9"/>
      <c r="S199" s="9"/>
      <c r="T199" s="235"/>
      <c r="U199" s="235"/>
      <c r="V199" s="234"/>
      <c r="W199" s="234"/>
    </row>
    <row r="200" spans="16:23" x14ac:dyDescent="0.25">
      <c r="P200" s="9"/>
      <c r="Q200" s="9"/>
      <c r="R200" s="9"/>
      <c r="S200" s="9"/>
      <c r="T200" s="235"/>
      <c r="U200" s="235"/>
      <c r="V200" s="234"/>
      <c r="W200" s="234"/>
    </row>
    <row r="201" spans="16:23" x14ac:dyDescent="0.25">
      <c r="P201" s="9"/>
      <c r="Q201" s="9"/>
      <c r="R201" s="9"/>
      <c r="S201" s="9"/>
      <c r="T201" s="235"/>
      <c r="U201" s="235"/>
      <c r="V201" s="234"/>
      <c r="W201" s="234"/>
    </row>
    <row r="202" spans="16:23" x14ac:dyDescent="0.25">
      <c r="P202" s="9"/>
      <c r="Q202" s="9"/>
      <c r="R202" s="9"/>
      <c r="S202" s="9"/>
      <c r="T202" s="235"/>
      <c r="U202" s="235"/>
      <c r="V202" s="234"/>
      <c r="W202" s="234"/>
    </row>
    <row r="203" spans="16:23" x14ac:dyDescent="0.25">
      <c r="P203" s="9"/>
      <c r="Q203" s="9"/>
      <c r="R203" s="9"/>
      <c r="S203" s="9"/>
      <c r="T203" s="235"/>
      <c r="U203" s="235"/>
      <c r="V203" s="234"/>
      <c r="W203" s="234"/>
    </row>
    <row r="204" spans="16:23" x14ac:dyDescent="0.25">
      <c r="P204" s="9"/>
      <c r="Q204" s="9"/>
      <c r="R204" s="9"/>
      <c r="S204" s="9"/>
      <c r="T204" s="235"/>
      <c r="U204" s="235"/>
      <c r="V204" s="234"/>
      <c r="W204" s="234"/>
    </row>
    <row r="205" spans="16:23" x14ac:dyDescent="0.25">
      <c r="P205" s="9"/>
      <c r="Q205" s="9"/>
      <c r="R205" s="9"/>
      <c r="S205" s="9"/>
      <c r="T205" s="235"/>
      <c r="U205" s="235"/>
      <c r="V205" s="234"/>
      <c r="W205" s="234"/>
    </row>
    <row r="206" spans="16:23" x14ac:dyDescent="0.25">
      <c r="P206" s="9"/>
      <c r="Q206" s="9"/>
      <c r="R206" s="9"/>
      <c r="S206" s="9"/>
      <c r="T206" s="235"/>
      <c r="U206" s="235"/>
      <c r="V206" s="234"/>
      <c r="W206" s="234"/>
    </row>
    <row r="207" spans="16:23" x14ac:dyDescent="0.25">
      <c r="P207" s="9"/>
      <c r="Q207" s="9"/>
      <c r="R207" s="9"/>
      <c r="S207" s="9"/>
      <c r="T207" s="235"/>
      <c r="U207" s="235"/>
      <c r="V207" s="234"/>
      <c r="W207" s="234"/>
    </row>
    <row r="208" spans="16:23" x14ac:dyDescent="0.25">
      <c r="P208" s="9"/>
      <c r="Q208" s="9"/>
      <c r="R208" s="9"/>
      <c r="S208" s="9"/>
      <c r="T208" s="235"/>
      <c r="U208" s="235"/>
      <c r="V208" s="234"/>
      <c r="W208" s="234"/>
    </row>
    <row r="209" spans="16:23" x14ac:dyDescent="0.25">
      <c r="P209" s="9"/>
      <c r="Q209" s="9"/>
      <c r="R209" s="9"/>
      <c r="S209" s="9"/>
      <c r="T209" s="235"/>
      <c r="U209" s="235"/>
      <c r="V209" s="234"/>
      <c r="W209" s="234"/>
    </row>
    <row r="210" spans="16:23" x14ac:dyDescent="0.25">
      <c r="P210" s="9"/>
      <c r="Q210" s="9"/>
      <c r="R210" s="9"/>
      <c r="S210" s="9"/>
      <c r="T210" s="235"/>
      <c r="U210" s="235"/>
      <c r="V210" s="234"/>
      <c r="W210" s="234"/>
    </row>
    <row r="211" spans="16:23" x14ac:dyDescent="0.25">
      <c r="P211" s="9"/>
      <c r="Q211" s="9"/>
      <c r="R211" s="9"/>
      <c r="S211" s="9"/>
      <c r="T211" s="235"/>
      <c r="U211" s="235"/>
      <c r="V211" s="234"/>
      <c r="W211" s="234"/>
    </row>
    <row r="212" spans="16:23" x14ac:dyDescent="0.25">
      <c r="P212" s="9"/>
      <c r="Q212" s="9"/>
      <c r="R212" s="9"/>
      <c r="S212" s="9"/>
      <c r="T212" s="235"/>
      <c r="U212" s="235"/>
      <c r="V212" s="234"/>
      <c r="W212" s="234"/>
    </row>
    <row r="213" spans="16:23" x14ac:dyDescent="0.25">
      <c r="P213" s="9"/>
      <c r="Q213" s="9"/>
      <c r="R213" s="9"/>
      <c r="S213" s="9"/>
      <c r="T213" s="235"/>
      <c r="U213" s="235"/>
      <c r="V213" s="234"/>
      <c r="W213" s="234"/>
    </row>
    <row r="214" spans="16:23" x14ac:dyDescent="0.25">
      <c r="P214" s="9"/>
      <c r="Q214" s="9"/>
      <c r="R214" s="9"/>
      <c r="S214" s="9"/>
      <c r="T214" s="235"/>
      <c r="U214" s="235"/>
      <c r="V214" s="234"/>
      <c r="W214" s="234"/>
    </row>
    <row r="215" spans="16:23" x14ac:dyDescent="0.25">
      <c r="P215" s="9"/>
      <c r="Q215" s="9"/>
      <c r="R215" s="9"/>
      <c r="S215" s="9"/>
      <c r="T215" s="235"/>
      <c r="U215" s="235"/>
      <c r="V215" s="234"/>
      <c r="W215" s="234"/>
    </row>
    <row r="216" spans="16:23" x14ac:dyDescent="0.25">
      <c r="P216" s="9"/>
      <c r="Q216" s="9"/>
      <c r="R216" s="9"/>
      <c r="S216" s="9"/>
      <c r="T216" s="235"/>
      <c r="U216" s="235"/>
      <c r="V216" s="234"/>
      <c r="W216" s="234"/>
    </row>
    <row r="217" spans="16:23" x14ac:dyDescent="0.25">
      <c r="P217" s="9"/>
      <c r="Q217" s="9"/>
      <c r="R217" s="9"/>
      <c r="S217" s="9"/>
      <c r="T217" s="235"/>
      <c r="U217" s="235"/>
      <c r="V217" s="234"/>
      <c r="W217" s="234"/>
    </row>
    <row r="218" spans="16:23" x14ac:dyDescent="0.25">
      <c r="P218" s="9"/>
      <c r="Q218" s="9"/>
      <c r="R218" s="9"/>
      <c r="S218" s="9"/>
      <c r="T218" s="235"/>
      <c r="U218" s="235"/>
      <c r="V218" s="234"/>
      <c r="W218" s="234"/>
    </row>
    <row r="219" spans="16:23" x14ac:dyDescent="0.25">
      <c r="P219" s="9"/>
      <c r="Q219" s="9"/>
      <c r="R219" s="9"/>
      <c r="S219" s="9"/>
      <c r="T219" s="235"/>
      <c r="U219" s="235"/>
      <c r="V219" s="234"/>
      <c r="W219" s="234"/>
    </row>
    <row r="220" spans="16:23" x14ac:dyDescent="0.25">
      <c r="P220" s="9"/>
      <c r="Q220" s="9"/>
      <c r="R220" s="9"/>
      <c r="S220" s="9"/>
      <c r="T220" s="235"/>
      <c r="U220" s="235"/>
      <c r="V220" s="234"/>
      <c r="W220" s="234"/>
    </row>
    <row r="221" spans="16:23" x14ac:dyDescent="0.25">
      <c r="P221" s="9"/>
      <c r="Q221" s="9"/>
      <c r="R221" s="9"/>
      <c r="S221" s="9"/>
      <c r="T221" s="235"/>
      <c r="U221" s="235"/>
      <c r="V221" s="234"/>
      <c r="W221" s="234"/>
    </row>
    <row r="222" spans="16:23" x14ac:dyDescent="0.25">
      <c r="P222" s="9"/>
      <c r="Q222" s="9"/>
      <c r="R222" s="9"/>
      <c r="S222" s="9"/>
      <c r="T222" s="235"/>
      <c r="U222" s="235"/>
      <c r="V222" s="234"/>
      <c r="W222" s="234"/>
    </row>
    <row r="223" spans="16:23" x14ac:dyDescent="0.25">
      <c r="P223" s="9"/>
      <c r="Q223" s="9"/>
      <c r="R223" s="9"/>
      <c r="S223" s="9"/>
      <c r="T223" s="235"/>
      <c r="U223" s="235"/>
      <c r="V223" s="234"/>
      <c r="W223" s="234"/>
    </row>
    <row r="224" spans="16:23" x14ac:dyDescent="0.25">
      <c r="P224" s="9"/>
      <c r="Q224" s="9"/>
      <c r="R224" s="9"/>
      <c r="S224" s="9"/>
      <c r="T224" s="235"/>
      <c r="U224" s="235"/>
      <c r="V224" s="234"/>
      <c r="W224" s="234"/>
    </row>
    <row r="225" spans="16:23" x14ac:dyDescent="0.25">
      <c r="P225" s="9"/>
      <c r="Q225" s="9"/>
      <c r="R225" s="9"/>
      <c r="S225" s="9"/>
      <c r="T225" s="235"/>
      <c r="U225" s="235"/>
      <c r="V225" s="234"/>
      <c r="W225" s="234"/>
    </row>
    <row r="226" spans="16:23" x14ac:dyDescent="0.25">
      <c r="P226" s="9"/>
      <c r="Q226" s="9"/>
      <c r="R226" s="9"/>
      <c r="S226" s="9"/>
      <c r="T226" s="235"/>
      <c r="U226" s="235"/>
      <c r="V226" s="234"/>
      <c r="W226" s="234"/>
    </row>
    <row r="227" spans="16:23" x14ac:dyDescent="0.25">
      <c r="P227" s="9"/>
      <c r="Q227" s="9"/>
      <c r="R227" s="9"/>
      <c r="S227" s="9"/>
      <c r="T227" s="235"/>
      <c r="U227" s="235"/>
      <c r="V227" s="234"/>
      <c r="W227" s="234"/>
    </row>
    <row r="228" spans="16:23" x14ac:dyDescent="0.25">
      <c r="P228" s="9"/>
      <c r="Q228" s="9"/>
      <c r="R228" s="9"/>
      <c r="S228" s="9"/>
      <c r="T228" s="235"/>
      <c r="U228" s="235"/>
      <c r="V228" s="234"/>
      <c r="W228" s="234"/>
    </row>
    <row r="229" spans="16:23" x14ac:dyDescent="0.25">
      <c r="P229" s="9"/>
      <c r="Q229" s="9"/>
      <c r="R229" s="9"/>
      <c r="S229" s="9"/>
      <c r="T229" s="235"/>
      <c r="U229" s="235"/>
      <c r="V229" s="234"/>
      <c r="W229" s="234"/>
    </row>
    <row r="230" spans="16:23" x14ac:dyDescent="0.25">
      <c r="P230" s="9"/>
      <c r="Q230" s="9"/>
      <c r="R230" s="9"/>
      <c r="S230" s="9"/>
      <c r="T230" s="235"/>
      <c r="U230" s="235"/>
      <c r="V230" s="234"/>
      <c r="W230" s="234"/>
    </row>
    <row r="231" spans="16:23" x14ac:dyDescent="0.25">
      <c r="P231" s="9"/>
      <c r="Q231" s="9"/>
      <c r="R231" s="9"/>
      <c r="S231" s="9"/>
      <c r="T231" s="235"/>
      <c r="U231" s="235"/>
      <c r="V231" s="234"/>
      <c r="W231" s="234"/>
    </row>
    <row r="232" spans="16:23" x14ac:dyDescent="0.25">
      <c r="P232" s="9"/>
      <c r="Q232" s="9"/>
      <c r="R232" s="9"/>
      <c r="S232" s="9"/>
      <c r="T232" s="235"/>
      <c r="U232" s="235"/>
      <c r="V232" s="234"/>
      <c r="W232" s="234"/>
    </row>
    <row r="233" spans="16:23" x14ac:dyDescent="0.25">
      <c r="P233" s="9"/>
      <c r="Q233" s="9"/>
      <c r="R233" s="9"/>
      <c r="S233" s="9"/>
      <c r="T233" s="235"/>
      <c r="U233" s="235"/>
      <c r="V233" s="234"/>
      <c r="W233" s="234"/>
    </row>
    <row r="234" spans="16:23" x14ac:dyDescent="0.25">
      <c r="P234" s="9"/>
      <c r="Q234" s="9"/>
      <c r="R234" s="9"/>
      <c r="S234" s="9"/>
      <c r="T234" s="235"/>
      <c r="U234" s="235"/>
      <c r="V234" s="234"/>
      <c r="W234" s="234"/>
    </row>
    <row r="235" spans="16:23" x14ac:dyDescent="0.25">
      <c r="P235" s="9"/>
      <c r="Q235" s="9"/>
      <c r="R235" s="9"/>
      <c r="S235" s="9"/>
      <c r="T235" s="235"/>
      <c r="U235" s="235"/>
      <c r="V235" s="234"/>
      <c r="W235" s="234"/>
    </row>
    <row r="236" spans="16:23" x14ac:dyDescent="0.25">
      <c r="P236" s="9"/>
      <c r="Q236" s="9"/>
      <c r="R236" s="9"/>
      <c r="S236" s="9"/>
      <c r="T236" s="235"/>
      <c r="U236" s="235"/>
      <c r="V236" s="234"/>
      <c r="W236" s="234"/>
    </row>
    <row r="237" spans="16:23" x14ac:dyDescent="0.25">
      <c r="P237" s="9"/>
      <c r="Q237" s="9"/>
      <c r="R237" s="9"/>
      <c r="S237" s="9"/>
      <c r="T237" s="235"/>
      <c r="U237" s="235"/>
      <c r="V237" s="234"/>
      <c r="W237" s="234"/>
    </row>
    <row r="238" spans="16:23" x14ac:dyDescent="0.25">
      <c r="P238" s="9"/>
      <c r="Q238" s="9"/>
      <c r="R238" s="9"/>
      <c r="S238" s="9"/>
      <c r="T238" s="235"/>
      <c r="U238" s="235"/>
      <c r="V238" s="234"/>
      <c r="W238" s="234"/>
    </row>
    <row r="239" spans="16:23" x14ac:dyDescent="0.25">
      <c r="P239" s="9"/>
      <c r="Q239" s="9"/>
      <c r="R239" s="9"/>
      <c r="S239" s="9"/>
      <c r="T239" s="235"/>
      <c r="U239" s="235"/>
      <c r="V239" s="234"/>
      <c r="W239" s="234"/>
    </row>
    <row r="240" spans="16:23" x14ac:dyDescent="0.25">
      <c r="P240" s="9"/>
      <c r="Q240" s="9"/>
      <c r="R240" s="9"/>
      <c r="S240" s="9"/>
      <c r="T240" s="235"/>
      <c r="U240" s="235"/>
      <c r="V240" s="234"/>
      <c r="W240" s="234"/>
    </row>
    <row r="241" spans="16:23" x14ac:dyDescent="0.25">
      <c r="P241" s="9"/>
      <c r="Q241" s="9"/>
      <c r="R241" s="9"/>
      <c r="S241" s="9"/>
      <c r="T241" s="235"/>
      <c r="U241" s="235"/>
      <c r="V241" s="234"/>
      <c r="W241" s="234"/>
    </row>
    <row r="242" spans="16:23" x14ac:dyDescent="0.25">
      <c r="P242" s="9"/>
      <c r="Q242" s="9"/>
      <c r="R242" s="9"/>
      <c r="S242" s="9"/>
      <c r="T242" s="235"/>
      <c r="U242" s="235"/>
      <c r="V242" s="234"/>
      <c r="W242" s="234"/>
    </row>
    <row r="243" spans="16:23" x14ac:dyDescent="0.25">
      <c r="P243" s="9"/>
      <c r="Q243" s="9"/>
      <c r="R243" s="9"/>
      <c r="S243" s="9"/>
      <c r="T243" s="235"/>
      <c r="U243" s="235"/>
      <c r="V243" s="234"/>
      <c r="W243" s="234"/>
    </row>
    <row r="244" spans="16:23" x14ac:dyDescent="0.25">
      <c r="P244" s="9"/>
      <c r="Q244" s="9"/>
      <c r="R244" s="9"/>
      <c r="S244" s="9"/>
      <c r="T244" s="235"/>
      <c r="U244" s="235"/>
      <c r="V244" s="234"/>
      <c r="W244" s="234"/>
    </row>
    <row r="245" spans="16:23" x14ac:dyDescent="0.25">
      <c r="P245" s="9"/>
      <c r="Q245" s="9"/>
      <c r="R245" s="9"/>
      <c r="S245" s="9"/>
      <c r="T245" s="235"/>
      <c r="U245" s="235"/>
      <c r="V245" s="234"/>
      <c r="W245" s="234"/>
    </row>
    <row r="246" spans="16:23" x14ac:dyDescent="0.25">
      <c r="P246" s="9"/>
      <c r="Q246" s="9"/>
      <c r="R246" s="9"/>
      <c r="S246" s="9"/>
      <c r="T246" s="235"/>
      <c r="U246" s="235"/>
      <c r="V246" s="234"/>
      <c r="W246" s="234"/>
    </row>
    <row r="247" spans="16:23" x14ac:dyDescent="0.25">
      <c r="P247" s="9"/>
      <c r="Q247" s="9"/>
      <c r="R247" s="9"/>
      <c r="S247" s="9"/>
      <c r="T247" s="235"/>
      <c r="U247" s="235"/>
      <c r="V247" s="234"/>
      <c r="W247" s="234"/>
    </row>
    <row r="248" spans="16:23" x14ac:dyDescent="0.25">
      <c r="P248" s="9"/>
      <c r="Q248" s="9"/>
      <c r="R248" s="9"/>
      <c r="S248" s="9"/>
      <c r="T248" s="235"/>
      <c r="U248" s="235"/>
      <c r="V248" s="234"/>
      <c r="W248" s="234"/>
    </row>
    <row r="249" spans="16:23" x14ac:dyDescent="0.25">
      <c r="P249" s="9"/>
      <c r="Q249" s="9"/>
      <c r="R249" s="9"/>
      <c r="S249" s="9"/>
      <c r="T249" s="235"/>
      <c r="U249" s="235"/>
      <c r="V249" s="234"/>
      <c r="W249" s="234"/>
    </row>
    <row r="250" spans="16:23" x14ac:dyDescent="0.25">
      <c r="P250" s="9"/>
      <c r="Q250" s="9"/>
      <c r="R250" s="9"/>
      <c r="S250" s="9"/>
      <c r="T250" s="235"/>
      <c r="U250" s="235"/>
      <c r="V250" s="234"/>
      <c r="W250" s="234"/>
    </row>
    <row r="251" spans="16:23" x14ac:dyDescent="0.25">
      <c r="P251" s="9"/>
      <c r="Q251" s="9"/>
      <c r="R251" s="9"/>
      <c r="S251" s="9"/>
      <c r="T251" s="235"/>
      <c r="U251" s="235"/>
      <c r="V251" s="234"/>
      <c r="W251" s="234"/>
    </row>
    <row r="252" spans="16:23" x14ac:dyDescent="0.25">
      <c r="P252" s="9"/>
      <c r="Q252" s="9"/>
      <c r="R252" s="9"/>
      <c r="S252" s="9"/>
      <c r="T252" s="235"/>
      <c r="U252" s="235"/>
      <c r="V252" s="234"/>
      <c r="W252" s="234"/>
    </row>
    <row r="253" spans="16:23" x14ac:dyDescent="0.25">
      <c r="P253" s="9"/>
      <c r="Q253" s="9"/>
      <c r="R253" s="9"/>
      <c r="S253" s="9"/>
      <c r="T253" s="235"/>
      <c r="U253" s="235"/>
      <c r="V253" s="234"/>
      <c r="W253" s="234"/>
    </row>
    <row r="254" spans="16:23" x14ac:dyDescent="0.25">
      <c r="P254" s="9"/>
      <c r="Q254" s="9"/>
      <c r="R254" s="9"/>
      <c r="S254" s="9"/>
      <c r="T254" s="235"/>
      <c r="U254" s="235"/>
      <c r="V254" s="234"/>
      <c r="W254" s="234"/>
    </row>
    <row r="255" spans="16:23" x14ac:dyDescent="0.25">
      <c r="P255" s="9"/>
      <c r="Q255" s="9"/>
      <c r="R255" s="9"/>
      <c r="S255" s="9"/>
      <c r="T255" s="235"/>
      <c r="U255" s="235"/>
      <c r="V255" s="234"/>
      <c r="W255" s="234"/>
    </row>
    <row r="256" spans="16:23" x14ac:dyDescent="0.25">
      <c r="P256" s="9"/>
      <c r="Q256" s="9"/>
      <c r="R256" s="9"/>
      <c r="S256" s="9"/>
      <c r="T256" s="235"/>
      <c r="U256" s="235"/>
      <c r="V256" s="234"/>
      <c r="W256" s="234"/>
    </row>
    <row r="257" spans="16:23" x14ac:dyDescent="0.25">
      <c r="P257" s="9"/>
      <c r="Q257" s="9"/>
      <c r="R257" s="9"/>
      <c r="S257" s="9"/>
      <c r="T257" s="235"/>
      <c r="U257" s="235"/>
      <c r="V257" s="234"/>
      <c r="W257" s="234"/>
    </row>
    <row r="258" spans="16:23" x14ac:dyDescent="0.25">
      <c r="P258" s="9"/>
      <c r="Q258" s="9"/>
      <c r="R258" s="9"/>
      <c r="S258" s="9"/>
      <c r="T258" s="235"/>
      <c r="U258" s="235"/>
      <c r="V258" s="234"/>
      <c r="W258" s="234"/>
    </row>
    <row r="259" spans="16:23" x14ac:dyDescent="0.25">
      <c r="P259" s="9"/>
      <c r="Q259" s="9"/>
      <c r="R259" s="9"/>
      <c r="S259" s="9"/>
      <c r="T259" s="235"/>
      <c r="U259" s="235"/>
      <c r="V259" s="234"/>
      <c r="W259" s="234"/>
    </row>
    <row r="260" spans="16:23" x14ac:dyDescent="0.25">
      <c r="P260" s="9"/>
      <c r="Q260" s="9"/>
      <c r="R260" s="9"/>
      <c r="S260" s="9"/>
      <c r="T260" s="235"/>
      <c r="U260" s="235"/>
      <c r="V260" s="234"/>
      <c r="W260" s="234"/>
    </row>
    <row r="261" spans="16:23" x14ac:dyDescent="0.25">
      <c r="P261" s="9"/>
      <c r="Q261" s="9"/>
      <c r="R261" s="9"/>
      <c r="S261" s="9"/>
      <c r="T261" s="235"/>
      <c r="U261" s="235"/>
      <c r="V261" s="234"/>
      <c r="W261" s="234"/>
    </row>
    <row r="262" spans="16:23" x14ac:dyDescent="0.25">
      <c r="P262" s="9"/>
      <c r="Q262" s="9"/>
      <c r="R262" s="9"/>
      <c r="S262" s="9"/>
      <c r="T262" s="235"/>
      <c r="U262" s="235"/>
      <c r="V262" s="234"/>
      <c r="W262" s="234"/>
    </row>
    <row r="263" spans="16:23" x14ac:dyDescent="0.25">
      <c r="P263" s="9"/>
      <c r="Q263" s="9"/>
      <c r="R263" s="9"/>
      <c r="S263" s="9"/>
      <c r="T263" s="235"/>
      <c r="U263" s="235"/>
      <c r="V263" s="234"/>
      <c r="W263" s="234"/>
    </row>
    <row r="264" spans="16:23" x14ac:dyDescent="0.25">
      <c r="P264" s="9"/>
      <c r="Q264" s="9"/>
      <c r="R264" s="9"/>
      <c r="S264" s="9"/>
      <c r="T264" s="235"/>
      <c r="U264" s="235"/>
      <c r="V264" s="234"/>
      <c r="W264" s="234"/>
    </row>
    <row r="265" spans="16:23" x14ac:dyDescent="0.25">
      <c r="P265" s="9"/>
      <c r="Q265" s="9"/>
      <c r="R265" s="9"/>
      <c r="S265" s="9"/>
      <c r="T265" s="235"/>
      <c r="U265" s="235"/>
      <c r="V265" s="234"/>
      <c r="W265" s="234"/>
    </row>
    <row r="266" spans="16:23" x14ac:dyDescent="0.25">
      <c r="P266" s="9"/>
      <c r="Q266" s="9"/>
      <c r="R266" s="9"/>
      <c r="S266" s="9"/>
      <c r="T266" s="235"/>
      <c r="U266" s="235"/>
      <c r="V266" s="234"/>
      <c r="W266" s="234"/>
    </row>
    <row r="267" spans="16:23" x14ac:dyDescent="0.25">
      <c r="P267" s="9"/>
      <c r="Q267" s="9"/>
      <c r="R267" s="9"/>
      <c r="S267" s="9"/>
      <c r="T267" s="235"/>
      <c r="U267" s="235"/>
      <c r="V267" s="234"/>
      <c r="W267" s="234"/>
    </row>
    <row r="268" spans="16:23" x14ac:dyDescent="0.25">
      <c r="P268" s="9"/>
      <c r="Q268" s="9"/>
      <c r="R268" s="9"/>
      <c r="S268" s="9"/>
      <c r="T268" s="235"/>
      <c r="U268" s="235"/>
      <c r="V268" s="234"/>
      <c r="W268" s="234"/>
    </row>
    <row r="269" spans="16:23" x14ac:dyDescent="0.25">
      <c r="P269" s="9"/>
      <c r="Q269" s="9"/>
      <c r="R269" s="9"/>
      <c r="S269" s="9"/>
      <c r="T269" s="235"/>
      <c r="U269" s="235"/>
      <c r="V269" s="234"/>
      <c r="W269" s="234"/>
    </row>
    <row r="270" spans="16:23" x14ac:dyDescent="0.25">
      <c r="P270" s="9"/>
      <c r="Q270" s="9"/>
      <c r="R270" s="9"/>
      <c r="S270" s="9"/>
      <c r="T270" s="235"/>
      <c r="U270" s="235"/>
      <c r="V270" s="234"/>
      <c r="W270" s="234"/>
    </row>
    <row r="271" spans="16:23" x14ac:dyDescent="0.25">
      <c r="P271" s="9"/>
      <c r="Q271" s="9"/>
      <c r="R271" s="9"/>
      <c r="S271" s="9"/>
      <c r="T271" s="235"/>
      <c r="U271" s="235"/>
      <c r="V271" s="234"/>
      <c r="W271" s="234"/>
    </row>
    <row r="272" spans="16:23" x14ac:dyDescent="0.25">
      <c r="P272" s="9"/>
      <c r="Q272" s="9"/>
      <c r="R272" s="9"/>
      <c r="S272" s="9"/>
      <c r="T272" s="235"/>
      <c r="U272" s="235"/>
      <c r="V272" s="234"/>
      <c r="W272" s="234"/>
    </row>
    <row r="273" spans="16:23" x14ac:dyDescent="0.25">
      <c r="P273" s="9"/>
      <c r="Q273" s="9"/>
      <c r="R273" s="9"/>
      <c r="S273" s="9"/>
      <c r="T273" s="235"/>
      <c r="U273" s="235"/>
      <c r="V273" s="234"/>
      <c r="W273" s="234"/>
    </row>
    <row r="274" spans="16:23" x14ac:dyDescent="0.25">
      <c r="P274" s="9"/>
      <c r="Q274" s="9"/>
      <c r="R274" s="9"/>
      <c r="S274" s="9"/>
      <c r="T274" s="235"/>
      <c r="U274" s="235"/>
      <c r="V274" s="234"/>
      <c r="W274" s="234"/>
    </row>
    <row r="275" spans="16:23" x14ac:dyDescent="0.25">
      <c r="P275" s="9"/>
      <c r="Q275" s="9"/>
      <c r="R275" s="9"/>
      <c r="S275" s="9"/>
      <c r="T275" s="235"/>
      <c r="U275" s="235"/>
      <c r="V275" s="234"/>
      <c r="W275" s="234"/>
    </row>
    <row r="276" spans="16:23" x14ac:dyDescent="0.25">
      <c r="P276" s="9"/>
      <c r="Q276" s="9"/>
      <c r="R276" s="9"/>
      <c r="S276" s="9"/>
      <c r="T276" s="235"/>
      <c r="U276" s="235"/>
      <c r="V276" s="234"/>
      <c r="W276" s="234"/>
    </row>
    <row r="277" spans="16:23" x14ac:dyDescent="0.25">
      <c r="P277" s="9"/>
      <c r="Q277" s="9"/>
      <c r="R277" s="9"/>
      <c r="S277" s="9"/>
      <c r="T277" s="235"/>
      <c r="U277" s="235"/>
      <c r="V277" s="234"/>
      <c r="W277" s="234"/>
    </row>
    <row r="278" spans="16:23" x14ac:dyDescent="0.25">
      <c r="P278" s="9"/>
      <c r="Q278" s="9"/>
      <c r="R278" s="9"/>
      <c r="S278" s="9"/>
      <c r="T278" s="235"/>
      <c r="U278" s="235"/>
      <c r="V278" s="234"/>
      <c r="W278" s="234"/>
    </row>
    <row r="279" spans="16:23" x14ac:dyDescent="0.25">
      <c r="P279" s="9"/>
      <c r="Q279" s="9"/>
      <c r="R279" s="9"/>
      <c r="S279" s="9"/>
      <c r="T279" s="235"/>
      <c r="U279" s="235"/>
      <c r="V279" s="234"/>
      <c r="W279" s="234"/>
    </row>
    <row r="280" spans="16:23" x14ac:dyDescent="0.25">
      <c r="P280" s="9"/>
      <c r="Q280" s="9"/>
      <c r="R280" s="9"/>
      <c r="S280" s="9"/>
      <c r="T280" s="235"/>
      <c r="U280" s="235"/>
      <c r="V280" s="234"/>
      <c r="W280" s="234"/>
    </row>
    <row r="281" spans="16:23" x14ac:dyDescent="0.25">
      <c r="P281" s="9"/>
      <c r="Q281" s="9"/>
      <c r="R281" s="9"/>
      <c r="S281" s="9"/>
      <c r="T281" s="235"/>
      <c r="U281" s="235"/>
      <c r="V281" s="234"/>
      <c r="W281" s="234"/>
    </row>
    <row r="282" spans="16:23" x14ac:dyDescent="0.25">
      <c r="P282" s="9"/>
      <c r="Q282" s="9"/>
      <c r="R282" s="9"/>
      <c r="S282" s="9"/>
      <c r="T282" s="235"/>
      <c r="U282" s="235"/>
      <c r="V282" s="234"/>
      <c r="W282" s="234"/>
    </row>
    <row r="283" spans="16:23" x14ac:dyDescent="0.25">
      <c r="P283" s="9"/>
      <c r="Q283" s="9"/>
      <c r="R283" s="9"/>
      <c r="S283" s="9"/>
      <c r="T283" s="235"/>
      <c r="U283" s="235"/>
      <c r="V283" s="234"/>
      <c r="W283" s="234"/>
    </row>
    <row r="284" spans="16:23" x14ac:dyDescent="0.25">
      <c r="P284" s="9"/>
      <c r="Q284" s="9"/>
      <c r="R284" s="9"/>
      <c r="S284" s="9"/>
      <c r="T284" s="235"/>
      <c r="U284" s="235"/>
      <c r="V284" s="234"/>
      <c r="W284" s="234"/>
    </row>
    <row r="285" spans="16:23" x14ac:dyDescent="0.25">
      <c r="P285" s="9"/>
      <c r="Q285" s="9"/>
      <c r="R285" s="9"/>
      <c r="S285" s="9"/>
      <c r="T285" s="235"/>
      <c r="U285" s="235"/>
      <c r="V285" s="234"/>
      <c r="W285" s="234"/>
    </row>
    <row r="286" spans="16:23" x14ac:dyDescent="0.25">
      <c r="P286" s="9"/>
      <c r="Q286" s="9"/>
      <c r="R286" s="9"/>
      <c r="S286" s="9"/>
      <c r="T286" s="235"/>
      <c r="U286" s="235"/>
      <c r="V286" s="234"/>
      <c r="W286" s="234"/>
    </row>
    <row r="287" spans="16:23" x14ac:dyDescent="0.25">
      <c r="P287" s="9"/>
      <c r="Q287" s="9"/>
      <c r="R287" s="9"/>
      <c r="S287" s="9"/>
      <c r="T287" s="235"/>
      <c r="U287" s="235"/>
      <c r="V287" s="234"/>
      <c r="W287" s="234"/>
    </row>
    <row r="288" spans="16:23" x14ac:dyDescent="0.25">
      <c r="P288" s="9"/>
      <c r="Q288" s="9"/>
      <c r="R288" s="9"/>
      <c r="S288" s="9"/>
      <c r="T288" s="235"/>
      <c r="U288" s="235"/>
      <c r="V288" s="234"/>
      <c r="W288" s="234"/>
    </row>
    <row r="289" spans="16:23" x14ac:dyDescent="0.25">
      <c r="P289" s="9"/>
      <c r="Q289" s="9"/>
      <c r="R289" s="9"/>
      <c r="S289" s="9"/>
      <c r="T289" s="235"/>
      <c r="U289" s="235"/>
      <c r="V289" s="234"/>
      <c r="W289" s="234"/>
    </row>
    <row r="290" spans="16:23" x14ac:dyDescent="0.25">
      <c r="P290" s="9"/>
      <c r="Q290" s="9"/>
      <c r="R290" s="9"/>
      <c r="S290" s="9"/>
      <c r="T290" s="235"/>
      <c r="U290" s="235"/>
      <c r="V290" s="234"/>
      <c r="W290" s="234"/>
    </row>
    <row r="291" spans="16:23" x14ac:dyDescent="0.25">
      <c r="P291" s="9"/>
      <c r="Q291" s="9"/>
      <c r="R291" s="9"/>
      <c r="S291" s="9"/>
      <c r="T291" s="235"/>
      <c r="U291" s="235"/>
      <c r="V291" s="234"/>
      <c r="W291" s="234"/>
    </row>
    <row r="292" spans="16:23" x14ac:dyDescent="0.25">
      <c r="P292" s="9"/>
      <c r="Q292" s="9"/>
      <c r="R292" s="9"/>
      <c r="S292" s="9"/>
      <c r="T292" s="235"/>
      <c r="U292" s="235"/>
      <c r="V292" s="234"/>
      <c r="W292" s="234"/>
    </row>
    <row r="293" spans="16:23" x14ac:dyDescent="0.25">
      <c r="P293" s="9"/>
      <c r="Q293" s="9"/>
      <c r="R293" s="9"/>
      <c r="S293" s="9"/>
      <c r="T293" s="235"/>
      <c r="U293" s="235"/>
      <c r="V293" s="234"/>
      <c r="W293" s="234"/>
    </row>
    <row r="294" spans="16:23" x14ac:dyDescent="0.25">
      <c r="P294" s="9"/>
      <c r="Q294" s="9"/>
      <c r="R294" s="9"/>
      <c r="S294" s="9"/>
      <c r="T294" s="235"/>
      <c r="U294" s="235"/>
      <c r="V294" s="234"/>
      <c r="W294" s="234"/>
    </row>
    <row r="295" spans="16:23" x14ac:dyDescent="0.25">
      <c r="P295" s="9"/>
      <c r="Q295" s="9"/>
      <c r="R295" s="9"/>
      <c r="S295" s="9"/>
      <c r="T295" s="235"/>
      <c r="U295" s="235"/>
      <c r="V295" s="234"/>
      <c r="W295" s="234"/>
    </row>
    <row r="296" spans="16:23" x14ac:dyDescent="0.25">
      <c r="P296" s="9"/>
      <c r="Q296" s="9"/>
      <c r="R296" s="9"/>
      <c r="S296" s="9"/>
    </row>
    <row r="297" spans="16:23" x14ac:dyDescent="0.25">
      <c r="P297" s="9"/>
      <c r="Q297" s="9"/>
      <c r="R297" s="9"/>
      <c r="S297" s="9"/>
    </row>
    <row r="298" spans="16:23" x14ac:dyDescent="0.25">
      <c r="P298" s="9"/>
      <c r="Q298" s="9"/>
      <c r="R298" s="9"/>
      <c r="S298" s="9"/>
    </row>
    <row r="299" spans="16:23" x14ac:dyDescent="0.25">
      <c r="P299" s="9"/>
      <c r="Q299" s="9"/>
      <c r="R299" s="9"/>
      <c r="S299" s="9"/>
    </row>
    <row r="300" spans="16:23" x14ac:dyDescent="0.25">
      <c r="P300" s="9"/>
      <c r="Q300" s="9"/>
      <c r="R300" s="9"/>
      <c r="S300" s="9"/>
    </row>
    <row r="301" spans="16:23" x14ac:dyDescent="0.25">
      <c r="P301" s="9"/>
      <c r="Q301" s="9"/>
      <c r="R301" s="9"/>
      <c r="S301" s="9"/>
    </row>
    <row r="302" spans="16:23" x14ac:dyDescent="0.25">
      <c r="P302" s="9"/>
      <c r="Q302" s="9"/>
      <c r="R302" s="9"/>
      <c r="S302" s="9"/>
    </row>
    <row r="303" spans="16:23" x14ac:dyDescent="0.25">
      <c r="P303" s="9"/>
      <c r="Q303" s="9"/>
      <c r="R303" s="9"/>
      <c r="S303" s="9"/>
    </row>
    <row r="304" spans="16:23" x14ac:dyDescent="0.25">
      <c r="P304" s="9"/>
      <c r="Q304" s="9"/>
      <c r="R304" s="9"/>
      <c r="S304" s="9"/>
    </row>
    <row r="305" spans="16:19" x14ac:dyDescent="0.25">
      <c r="P305" s="9"/>
      <c r="Q305" s="9"/>
      <c r="R305" s="9"/>
      <c r="S305" s="9"/>
    </row>
    <row r="306" spans="16:19" x14ac:dyDescent="0.25">
      <c r="P306" s="9"/>
      <c r="Q306" s="9"/>
      <c r="R306" s="9"/>
      <c r="S306" s="9"/>
    </row>
    <row r="307" spans="16:19" x14ac:dyDescent="0.25">
      <c r="P307" s="9"/>
      <c r="Q307" s="9"/>
      <c r="R307" s="9"/>
      <c r="S307" s="9"/>
    </row>
    <row r="308" spans="16:19" x14ac:dyDescent="0.25">
      <c r="P308" s="9"/>
      <c r="Q308" s="9"/>
      <c r="R308" s="9"/>
      <c r="S308" s="9"/>
    </row>
    <row r="309" spans="16:19" x14ac:dyDescent="0.25">
      <c r="P309" s="9"/>
      <c r="Q309" s="9"/>
      <c r="R309" s="9"/>
      <c r="S309" s="9"/>
    </row>
    <row r="310" spans="16:19" x14ac:dyDescent="0.25">
      <c r="P310" s="9"/>
      <c r="Q310" s="9"/>
      <c r="R310" s="9"/>
      <c r="S310" s="9"/>
    </row>
    <row r="311" spans="16:19" x14ac:dyDescent="0.25">
      <c r="P311" s="9"/>
      <c r="Q311" s="9"/>
      <c r="R311" s="9"/>
      <c r="S311" s="9"/>
    </row>
    <row r="312" spans="16:19" x14ac:dyDescent="0.25">
      <c r="P312" s="9"/>
      <c r="Q312" s="9"/>
      <c r="R312" s="9"/>
      <c r="S312" s="9"/>
    </row>
    <row r="313" spans="16:19" x14ac:dyDescent="0.25">
      <c r="P313" s="9"/>
      <c r="Q313" s="9"/>
      <c r="R313" s="9"/>
      <c r="S313" s="9"/>
    </row>
    <row r="314" spans="16:19" x14ac:dyDescent="0.25">
      <c r="P314" s="9"/>
      <c r="Q314" s="9"/>
      <c r="R314" s="9"/>
      <c r="S314" s="9"/>
    </row>
    <row r="315" spans="16:19" x14ac:dyDescent="0.25">
      <c r="P315" s="9"/>
      <c r="Q315" s="9"/>
      <c r="R315" s="9"/>
      <c r="S315" s="9"/>
    </row>
    <row r="316" spans="16:19" x14ac:dyDescent="0.25">
      <c r="P316" s="9"/>
      <c r="Q316" s="9"/>
      <c r="R316" s="9"/>
      <c r="S316" s="9"/>
    </row>
    <row r="317" spans="16:19" x14ac:dyDescent="0.25">
      <c r="P317" s="9"/>
      <c r="Q317" s="9"/>
      <c r="R317" s="9"/>
      <c r="S317" s="9"/>
    </row>
    <row r="318" spans="16:19" x14ac:dyDescent="0.25">
      <c r="P318" s="9"/>
      <c r="Q318" s="9"/>
      <c r="R318" s="9"/>
      <c r="S318" s="9"/>
    </row>
    <row r="319" spans="16:19" x14ac:dyDescent="0.25">
      <c r="P319" s="9"/>
      <c r="Q319" s="9"/>
      <c r="R319" s="9"/>
      <c r="S319" s="9"/>
    </row>
    <row r="320" spans="16:19" x14ac:dyDescent="0.25">
      <c r="P320" s="9"/>
      <c r="Q320" s="9"/>
      <c r="R320" s="9"/>
      <c r="S320" s="9"/>
    </row>
    <row r="321" spans="16:19" x14ac:dyDescent="0.25">
      <c r="P321" s="9"/>
      <c r="Q321" s="9"/>
      <c r="R321" s="9"/>
      <c r="S321" s="9"/>
    </row>
    <row r="322" spans="16:19" x14ac:dyDescent="0.25">
      <c r="P322" s="9"/>
      <c r="Q322" s="9"/>
      <c r="R322" s="9"/>
      <c r="S322" s="9"/>
    </row>
    <row r="323" spans="16:19" x14ac:dyDescent="0.25">
      <c r="P323" s="9"/>
      <c r="Q323" s="9"/>
      <c r="R323" s="9"/>
      <c r="S323" s="9"/>
    </row>
    <row r="324" spans="16:19" x14ac:dyDescent="0.25">
      <c r="P324" s="9"/>
      <c r="Q324" s="9"/>
      <c r="R324" s="9"/>
      <c r="S324" s="9"/>
    </row>
    <row r="325" spans="16:19" x14ac:dyDescent="0.25">
      <c r="P325" s="9"/>
      <c r="Q325" s="9"/>
      <c r="R325" s="9"/>
      <c r="S325" s="9"/>
    </row>
    <row r="326" spans="16:19" x14ac:dyDescent="0.25">
      <c r="P326" s="9"/>
      <c r="Q326" s="9"/>
      <c r="R326" s="9"/>
      <c r="S326" s="9"/>
    </row>
    <row r="327" spans="16:19" x14ac:dyDescent="0.25">
      <c r="P327" s="9"/>
      <c r="Q327" s="9"/>
      <c r="R327" s="9"/>
      <c r="S327" s="9"/>
    </row>
    <row r="328" spans="16:19" x14ac:dyDescent="0.25">
      <c r="P328" s="9"/>
      <c r="Q328" s="9"/>
      <c r="R328" s="9"/>
      <c r="S328" s="9"/>
    </row>
    <row r="329" spans="16:19" x14ac:dyDescent="0.25">
      <c r="P329" s="9"/>
      <c r="Q329" s="9"/>
      <c r="R329" s="9"/>
      <c r="S329" s="9"/>
    </row>
    <row r="330" spans="16:19" x14ac:dyDescent="0.25">
      <c r="P330" s="9"/>
      <c r="Q330" s="9"/>
      <c r="R330" s="9"/>
      <c r="S330" s="9"/>
    </row>
    <row r="331" spans="16:19" x14ac:dyDescent="0.25">
      <c r="P331" s="9"/>
      <c r="Q331" s="9"/>
      <c r="R331" s="9"/>
      <c r="S331" s="9"/>
    </row>
    <row r="332" spans="16:19" x14ac:dyDescent="0.25">
      <c r="P332" s="9"/>
      <c r="Q332" s="9"/>
      <c r="R332" s="9"/>
      <c r="S332" s="9"/>
    </row>
    <row r="333" spans="16:19" x14ac:dyDescent="0.25">
      <c r="P333" s="9"/>
      <c r="Q333" s="9"/>
      <c r="R333" s="9"/>
      <c r="S333" s="9"/>
    </row>
    <row r="334" spans="16:19" x14ac:dyDescent="0.25">
      <c r="P334" s="9"/>
      <c r="Q334" s="9"/>
      <c r="R334" s="9"/>
      <c r="S334" s="9"/>
    </row>
    <row r="335" spans="16:19" x14ac:dyDescent="0.25">
      <c r="P335" s="9"/>
      <c r="Q335" s="9"/>
      <c r="R335" s="9"/>
      <c r="S335" s="9"/>
    </row>
    <row r="336" spans="16:19" x14ac:dyDescent="0.25">
      <c r="P336" s="9"/>
      <c r="Q336" s="9"/>
      <c r="R336" s="9"/>
      <c r="S336" s="9"/>
    </row>
    <row r="337" spans="16:19" x14ac:dyDescent="0.25">
      <c r="P337" s="9"/>
      <c r="Q337" s="9"/>
      <c r="R337" s="9"/>
      <c r="S337" s="9"/>
    </row>
    <row r="338" spans="16:19" x14ac:dyDescent="0.25">
      <c r="P338" s="9"/>
      <c r="Q338" s="9"/>
      <c r="R338" s="9"/>
      <c r="S338" s="9"/>
    </row>
    <row r="339" spans="16:19" x14ac:dyDescent="0.25">
      <c r="P339" s="9"/>
      <c r="Q339" s="9"/>
      <c r="R339" s="9"/>
      <c r="S339" s="9"/>
    </row>
    <row r="340" spans="16:19" x14ac:dyDescent="0.25">
      <c r="P340" s="9"/>
      <c r="Q340" s="9"/>
      <c r="R340" s="9"/>
      <c r="S340" s="9"/>
    </row>
    <row r="341" spans="16:19" x14ac:dyDescent="0.25">
      <c r="P341" s="9"/>
      <c r="Q341" s="9"/>
      <c r="R341" s="9"/>
      <c r="S341" s="9"/>
    </row>
    <row r="342" spans="16:19" x14ac:dyDescent="0.25">
      <c r="P342" s="9"/>
      <c r="Q342" s="9"/>
      <c r="R342" s="9"/>
      <c r="S342" s="9"/>
    </row>
    <row r="343" spans="16:19" x14ac:dyDescent="0.25">
      <c r="P343" s="9"/>
      <c r="Q343" s="9"/>
      <c r="R343" s="9"/>
      <c r="S343" s="9"/>
    </row>
    <row r="344" spans="16:19" x14ac:dyDescent="0.25">
      <c r="P344" s="9"/>
      <c r="Q344" s="9"/>
      <c r="R344" s="9"/>
      <c r="S344" s="9"/>
    </row>
    <row r="345" spans="16:19" x14ac:dyDescent="0.25">
      <c r="P345" s="9"/>
      <c r="Q345" s="9"/>
      <c r="R345" s="9"/>
      <c r="S345" s="9"/>
    </row>
    <row r="346" spans="16:19" x14ac:dyDescent="0.25">
      <c r="P346" s="9"/>
      <c r="Q346" s="9"/>
      <c r="R346" s="9"/>
      <c r="S346" s="9"/>
    </row>
    <row r="347" spans="16:19" x14ac:dyDescent="0.25">
      <c r="P347" s="9"/>
      <c r="Q347" s="9"/>
      <c r="R347" s="9"/>
      <c r="S347" s="9"/>
    </row>
    <row r="348" spans="16:19" x14ac:dyDescent="0.25">
      <c r="P348" s="9"/>
      <c r="Q348" s="9"/>
      <c r="R348" s="9"/>
      <c r="S348" s="9"/>
    </row>
    <row r="349" spans="16:19" x14ac:dyDescent="0.25">
      <c r="P349" s="9"/>
      <c r="Q349" s="9"/>
      <c r="R349" s="9"/>
      <c r="S349" s="9"/>
    </row>
    <row r="350" spans="16:19" x14ac:dyDescent="0.25">
      <c r="P350" s="9"/>
      <c r="Q350" s="9"/>
      <c r="R350" s="9"/>
      <c r="S350" s="9"/>
    </row>
    <row r="351" spans="16:19" x14ac:dyDescent="0.25">
      <c r="P351" s="9"/>
      <c r="Q351" s="9"/>
      <c r="R351" s="9"/>
      <c r="S351" s="9"/>
    </row>
    <row r="352" spans="16:19" x14ac:dyDescent="0.25">
      <c r="P352" s="9"/>
      <c r="Q352" s="9"/>
      <c r="R352" s="9"/>
      <c r="S352" s="9"/>
    </row>
    <row r="353" spans="16:19" x14ac:dyDescent="0.25">
      <c r="P353" s="9"/>
      <c r="Q353" s="9"/>
      <c r="R353" s="9"/>
      <c r="S353" s="9"/>
    </row>
    <row r="354" spans="16:19" x14ac:dyDescent="0.25">
      <c r="P354" s="9"/>
      <c r="Q354" s="9"/>
      <c r="R354" s="9"/>
      <c r="S354" s="9"/>
    </row>
    <row r="355" spans="16:19" x14ac:dyDescent="0.25">
      <c r="P355" s="9"/>
      <c r="Q355" s="9"/>
      <c r="R355" s="9"/>
      <c r="S355" s="9"/>
    </row>
    <row r="356" spans="16:19" x14ac:dyDescent="0.25">
      <c r="P356" s="9"/>
      <c r="Q356" s="9"/>
      <c r="R356" s="9"/>
      <c r="S356" s="9"/>
    </row>
    <row r="357" spans="16:19" x14ac:dyDescent="0.25">
      <c r="P357" s="9"/>
      <c r="Q357" s="9"/>
      <c r="R357" s="9"/>
      <c r="S357" s="9"/>
    </row>
    <row r="358" spans="16:19" x14ac:dyDescent="0.25">
      <c r="P358" s="9"/>
      <c r="Q358" s="9"/>
      <c r="R358" s="9"/>
      <c r="S358" s="9"/>
    </row>
    <row r="359" spans="16:19" x14ac:dyDescent="0.25">
      <c r="P359" s="9"/>
      <c r="Q359" s="9"/>
      <c r="R359" s="9"/>
      <c r="S359" s="9"/>
    </row>
    <row r="360" spans="16:19" x14ac:dyDescent="0.25">
      <c r="P360" s="9"/>
      <c r="Q360" s="9"/>
      <c r="R360" s="9"/>
      <c r="S360" s="9"/>
    </row>
    <row r="361" spans="16:19" x14ac:dyDescent="0.25">
      <c r="P361" s="9"/>
      <c r="Q361" s="9"/>
      <c r="R361" s="9"/>
      <c r="S361" s="9"/>
    </row>
    <row r="362" spans="16:19" x14ac:dyDescent="0.25">
      <c r="P362" s="9"/>
      <c r="Q362" s="9"/>
      <c r="R362" s="9"/>
      <c r="S362" s="9"/>
    </row>
    <row r="363" spans="16:19" x14ac:dyDescent="0.25">
      <c r="P363" s="9"/>
      <c r="Q363" s="9"/>
      <c r="R363" s="9"/>
      <c r="S363" s="9"/>
    </row>
    <row r="364" spans="16:19" x14ac:dyDescent="0.25">
      <c r="P364" s="9"/>
      <c r="Q364" s="9"/>
      <c r="R364" s="9"/>
      <c r="S364" s="9"/>
    </row>
    <row r="365" spans="16:19" x14ac:dyDescent="0.25">
      <c r="P365" s="9"/>
      <c r="Q365" s="9"/>
      <c r="R365" s="9"/>
      <c r="S365" s="9"/>
    </row>
    <row r="366" spans="16:19" x14ac:dyDescent="0.25">
      <c r="P366" s="9"/>
      <c r="Q366" s="9"/>
      <c r="R366" s="9"/>
      <c r="S366" s="9"/>
    </row>
    <row r="367" spans="16:19" x14ac:dyDescent="0.25">
      <c r="P367" s="9"/>
      <c r="Q367" s="9"/>
      <c r="R367" s="9"/>
      <c r="S367" s="9"/>
    </row>
    <row r="368" spans="16:19" x14ac:dyDescent="0.25">
      <c r="P368" s="9"/>
      <c r="Q368" s="9"/>
      <c r="R368" s="9"/>
      <c r="S368" s="9"/>
    </row>
    <row r="369" spans="16:19" x14ac:dyDescent="0.25">
      <c r="P369" s="9"/>
      <c r="Q369" s="9"/>
      <c r="R369" s="9"/>
      <c r="S369" s="9"/>
    </row>
    <row r="370" spans="16:19" x14ac:dyDescent="0.25">
      <c r="P370" s="9"/>
      <c r="Q370" s="9"/>
      <c r="R370" s="9"/>
      <c r="S370" s="9"/>
    </row>
    <row r="371" spans="16:19" x14ac:dyDescent="0.25">
      <c r="P371" s="9"/>
      <c r="Q371" s="9"/>
      <c r="R371" s="9"/>
      <c r="S371" s="9"/>
    </row>
    <row r="372" spans="16:19" x14ac:dyDescent="0.25">
      <c r="P372" s="9"/>
      <c r="Q372" s="9"/>
      <c r="R372" s="9"/>
      <c r="S372" s="9"/>
    </row>
    <row r="373" spans="16:19" x14ac:dyDescent="0.25">
      <c r="P373" s="9"/>
      <c r="Q373" s="9"/>
      <c r="R373" s="9"/>
      <c r="S373" s="9"/>
    </row>
    <row r="374" spans="16:19" x14ac:dyDescent="0.25">
      <c r="P374" s="9"/>
      <c r="Q374" s="9"/>
      <c r="R374" s="9"/>
      <c r="S374" s="9"/>
    </row>
    <row r="375" spans="16:19" x14ac:dyDescent="0.25">
      <c r="P375" s="9"/>
      <c r="Q375" s="9"/>
      <c r="R375" s="9"/>
      <c r="S375" s="9"/>
    </row>
    <row r="376" spans="16:19" x14ac:dyDescent="0.25">
      <c r="P376" s="9"/>
      <c r="Q376" s="9"/>
      <c r="R376" s="9"/>
      <c r="S376" s="9"/>
    </row>
    <row r="377" spans="16:19" x14ac:dyDescent="0.25">
      <c r="P377" s="9"/>
      <c r="Q377" s="9"/>
      <c r="R377" s="9"/>
      <c r="S377" s="9"/>
    </row>
    <row r="378" spans="16:19" x14ac:dyDescent="0.25">
      <c r="P378" s="9"/>
      <c r="Q378" s="9"/>
      <c r="R378" s="9"/>
      <c r="S378" s="9"/>
    </row>
    <row r="379" spans="16:19" x14ac:dyDescent="0.25">
      <c r="P379" s="9"/>
      <c r="Q379" s="9"/>
      <c r="R379" s="9"/>
      <c r="S379" s="9"/>
    </row>
    <row r="380" spans="16:19" x14ac:dyDescent="0.25">
      <c r="P380" s="9"/>
      <c r="Q380" s="9"/>
      <c r="R380" s="9"/>
      <c r="S380" s="9"/>
    </row>
    <row r="381" spans="16:19" x14ac:dyDescent="0.25">
      <c r="P381" s="9"/>
      <c r="Q381" s="9"/>
      <c r="R381" s="9"/>
      <c r="S381" s="9"/>
    </row>
    <row r="382" spans="16:19" x14ac:dyDescent="0.25">
      <c r="P382" s="9"/>
      <c r="Q382" s="9"/>
      <c r="R382" s="9"/>
      <c r="S382" s="9"/>
    </row>
    <row r="383" spans="16:19" x14ac:dyDescent="0.25">
      <c r="P383" s="9"/>
      <c r="Q383" s="9"/>
      <c r="R383" s="9"/>
      <c r="S383" s="9"/>
    </row>
    <row r="384" spans="16:19" x14ac:dyDescent="0.25">
      <c r="P384" s="9"/>
      <c r="Q384" s="9"/>
      <c r="R384" s="9"/>
      <c r="S384" s="9"/>
    </row>
    <row r="385" spans="16:19" x14ac:dyDescent="0.25">
      <c r="P385" s="9"/>
      <c r="Q385" s="9"/>
      <c r="R385" s="9"/>
      <c r="S385" s="9"/>
    </row>
    <row r="386" spans="16:19" x14ac:dyDescent="0.25">
      <c r="P386" s="9"/>
      <c r="Q386" s="9"/>
      <c r="R386" s="9"/>
      <c r="S386" s="9"/>
    </row>
    <row r="387" spans="16:19" x14ac:dyDescent="0.25">
      <c r="P387" s="9"/>
      <c r="Q387" s="9"/>
      <c r="R387" s="9"/>
      <c r="S387" s="9"/>
    </row>
    <row r="388" spans="16:19" x14ac:dyDescent="0.25">
      <c r="P388" s="9"/>
      <c r="Q388" s="9"/>
      <c r="R388" s="9"/>
      <c r="S388" s="9"/>
    </row>
    <row r="389" spans="16:19" x14ac:dyDescent="0.25">
      <c r="P389" s="9"/>
      <c r="Q389" s="9"/>
      <c r="R389" s="9"/>
      <c r="S389" s="9"/>
    </row>
    <row r="390" spans="16:19" x14ac:dyDescent="0.25">
      <c r="P390" s="9"/>
      <c r="Q390" s="9"/>
      <c r="R390" s="9"/>
      <c r="S390" s="9"/>
    </row>
    <row r="391" spans="16:19" x14ac:dyDescent="0.25">
      <c r="P391" s="9"/>
      <c r="Q391" s="9"/>
      <c r="R391" s="9"/>
      <c r="S391" s="9"/>
    </row>
    <row r="392" spans="16:19" x14ac:dyDescent="0.25">
      <c r="P392" s="9"/>
      <c r="Q392" s="9"/>
      <c r="R392" s="9"/>
      <c r="S392" s="9"/>
    </row>
    <row r="393" spans="16:19" x14ac:dyDescent="0.25">
      <c r="P393" s="9"/>
      <c r="Q393" s="9"/>
      <c r="R393" s="9"/>
      <c r="S393" s="9"/>
    </row>
    <row r="394" spans="16:19" x14ac:dyDescent="0.25">
      <c r="P394" s="9"/>
      <c r="Q394" s="9"/>
      <c r="R394" s="9"/>
      <c r="S394" s="9"/>
    </row>
    <row r="395" spans="16:19" x14ac:dyDescent="0.25">
      <c r="P395" s="9"/>
      <c r="Q395" s="9"/>
      <c r="R395" s="9"/>
      <c r="S395" s="9"/>
    </row>
    <row r="396" spans="16:19" x14ac:dyDescent="0.25">
      <c r="P396" s="9"/>
      <c r="Q396" s="9"/>
      <c r="R396" s="9"/>
      <c r="S396" s="9"/>
    </row>
    <row r="397" spans="16:19" x14ac:dyDescent="0.25">
      <c r="P397" s="9"/>
      <c r="Q397" s="9"/>
      <c r="R397" s="9"/>
      <c r="S397" s="9"/>
    </row>
    <row r="398" spans="16:19" x14ac:dyDescent="0.25">
      <c r="P398" s="9"/>
      <c r="Q398" s="9"/>
      <c r="R398" s="9"/>
      <c r="S398" s="9"/>
    </row>
    <row r="399" spans="16:19" x14ac:dyDescent="0.25">
      <c r="P399" s="9"/>
      <c r="Q399" s="9"/>
      <c r="R399" s="9"/>
      <c r="S399" s="9"/>
    </row>
    <row r="400" spans="16:19" x14ac:dyDescent="0.25">
      <c r="P400" s="9"/>
      <c r="Q400" s="9"/>
      <c r="R400" s="9"/>
      <c r="S400" s="9"/>
    </row>
    <row r="401" spans="16:19" x14ac:dyDescent="0.25">
      <c r="P401" s="9"/>
      <c r="Q401" s="9"/>
      <c r="R401" s="9"/>
      <c r="S401" s="9"/>
    </row>
    <row r="402" spans="16:19" x14ac:dyDescent="0.25">
      <c r="P402" s="9"/>
      <c r="Q402" s="9"/>
      <c r="R402" s="9"/>
      <c r="S402" s="9"/>
    </row>
    <row r="403" spans="16:19" x14ac:dyDescent="0.25">
      <c r="P403" s="9"/>
      <c r="Q403" s="9"/>
      <c r="R403" s="9"/>
      <c r="S403" s="9"/>
    </row>
    <row r="404" spans="16:19" x14ac:dyDescent="0.25">
      <c r="P404" s="9"/>
      <c r="Q404" s="9"/>
      <c r="R404" s="9"/>
      <c r="S404" s="9"/>
    </row>
    <row r="405" spans="16:19" x14ac:dyDescent="0.25">
      <c r="P405" s="9"/>
      <c r="Q405" s="9"/>
      <c r="R405" s="9"/>
      <c r="S405" s="9"/>
    </row>
    <row r="406" spans="16:19" x14ac:dyDescent="0.25">
      <c r="P406" s="9"/>
      <c r="Q406" s="9"/>
      <c r="R406" s="9"/>
      <c r="S406" s="9"/>
    </row>
    <row r="407" spans="16:19" x14ac:dyDescent="0.25">
      <c r="P407" s="9"/>
      <c r="Q407" s="9"/>
      <c r="R407" s="9"/>
      <c r="S407" s="9"/>
    </row>
    <row r="408" spans="16:19" x14ac:dyDescent="0.25">
      <c r="P408" s="9"/>
      <c r="Q408" s="9"/>
      <c r="R408" s="9"/>
      <c r="S408" s="9"/>
    </row>
    <row r="409" spans="16:19" x14ac:dyDescent="0.25">
      <c r="P409" s="9"/>
      <c r="Q409" s="9"/>
      <c r="R409" s="9"/>
      <c r="S409" s="9"/>
    </row>
    <row r="410" spans="16:19" x14ac:dyDescent="0.25">
      <c r="P410" s="9"/>
      <c r="Q410" s="9"/>
      <c r="R410" s="9"/>
      <c r="S410" s="9"/>
    </row>
    <row r="411" spans="16:19" x14ac:dyDescent="0.25">
      <c r="P411" s="9"/>
      <c r="Q411" s="9"/>
      <c r="R411" s="9"/>
      <c r="S411" s="9"/>
    </row>
    <row r="412" spans="16:19" x14ac:dyDescent="0.25">
      <c r="P412" s="9"/>
      <c r="Q412" s="9"/>
      <c r="R412" s="9"/>
      <c r="S412" s="9"/>
    </row>
    <row r="413" spans="16:19" x14ac:dyDescent="0.25">
      <c r="P413" s="9"/>
      <c r="Q413" s="9"/>
      <c r="R413" s="9"/>
      <c r="S413" s="9"/>
    </row>
    <row r="414" spans="16:19" x14ac:dyDescent="0.25">
      <c r="P414" s="9"/>
      <c r="Q414" s="9"/>
      <c r="R414" s="9"/>
      <c r="S414" s="9"/>
    </row>
    <row r="415" spans="16:19" x14ac:dyDescent="0.25">
      <c r="P415" s="9"/>
      <c r="Q415" s="9"/>
      <c r="R415" s="9"/>
      <c r="S415" s="9"/>
    </row>
    <row r="416" spans="16:19" x14ac:dyDescent="0.25">
      <c r="P416" s="9"/>
      <c r="Q416" s="9"/>
      <c r="R416" s="9"/>
      <c r="S416" s="9"/>
    </row>
    <row r="417" spans="16:19" x14ac:dyDescent="0.25">
      <c r="P417" s="9"/>
      <c r="Q417" s="9"/>
      <c r="R417" s="9"/>
      <c r="S417" s="9"/>
    </row>
    <row r="418" spans="16:19" x14ac:dyDescent="0.25">
      <c r="P418" s="9"/>
      <c r="Q418" s="9"/>
      <c r="R418" s="9"/>
      <c r="S418" s="9"/>
    </row>
    <row r="419" spans="16:19" x14ac:dyDescent="0.25">
      <c r="P419" s="9"/>
      <c r="Q419" s="9"/>
      <c r="R419" s="9"/>
      <c r="S419" s="9"/>
    </row>
    <row r="420" spans="16:19" x14ac:dyDescent="0.25">
      <c r="P420" s="9"/>
      <c r="Q420" s="9"/>
      <c r="R420" s="9"/>
      <c r="S420" s="9"/>
    </row>
    <row r="421" spans="16:19" x14ac:dyDescent="0.25">
      <c r="P421" s="9"/>
      <c r="Q421" s="9"/>
      <c r="R421" s="9"/>
      <c r="S421" s="9"/>
    </row>
    <row r="422" spans="16:19" x14ac:dyDescent="0.25">
      <c r="P422" s="9"/>
      <c r="Q422" s="9"/>
      <c r="R422" s="9"/>
      <c r="S422" s="9"/>
    </row>
    <row r="423" spans="16:19" x14ac:dyDescent="0.25">
      <c r="P423" s="9"/>
      <c r="Q423" s="9"/>
      <c r="R423" s="9"/>
      <c r="S423" s="9"/>
    </row>
    <row r="424" spans="16:19" x14ac:dyDescent="0.25">
      <c r="P424" s="9"/>
      <c r="Q424" s="9"/>
      <c r="R424" s="9"/>
      <c r="S424" s="9"/>
    </row>
    <row r="425" spans="16:19" x14ac:dyDescent="0.25">
      <c r="P425" s="9"/>
      <c r="Q425" s="9"/>
      <c r="R425" s="9"/>
      <c r="S425" s="9"/>
    </row>
    <row r="426" spans="16:19" x14ac:dyDescent="0.25">
      <c r="P426" s="9"/>
      <c r="Q426" s="9"/>
      <c r="R426" s="9"/>
      <c r="S426" s="9"/>
    </row>
    <row r="427" spans="16:19" x14ac:dyDescent="0.25">
      <c r="P427" s="9"/>
      <c r="Q427" s="9"/>
      <c r="R427" s="9"/>
      <c r="S427" s="9"/>
    </row>
    <row r="428" spans="16:19" x14ac:dyDescent="0.25">
      <c r="P428" s="9"/>
      <c r="Q428" s="9"/>
      <c r="R428" s="9"/>
      <c r="S428" s="9"/>
    </row>
    <row r="429" spans="16:19" x14ac:dyDescent="0.25">
      <c r="P429" s="9"/>
      <c r="Q429" s="9"/>
      <c r="R429" s="9"/>
      <c r="S429" s="9"/>
    </row>
    <row r="430" spans="16:19" x14ac:dyDescent="0.25">
      <c r="P430" s="9"/>
      <c r="Q430" s="9"/>
      <c r="R430" s="9"/>
      <c r="S430" s="9"/>
    </row>
    <row r="431" spans="16:19" x14ac:dyDescent="0.25">
      <c r="P431" s="9"/>
      <c r="Q431" s="9"/>
      <c r="R431" s="9"/>
      <c r="S431" s="9"/>
    </row>
    <row r="432" spans="16:19" x14ac:dyDescent="0.25">
      <c r="P432" s="9"/>
      <c r="Q432" s="9"/>
      <c r="R432" s="9"/>
      <c r="S432" s="9"/>
    </row>
    <row r="433" spans="16:19" x14ac:dyDescent="0.25">
      <c r="P433" s="9"/>
      <c r="Q433" s="9"/>
      <c r="R433" s="9"/>
      <c r="S433" s="9"/>
    </row>
    <row r="434" spans="16:19" x14ac:dyDescent="0.25">
      <c r="P434" s="9"/>
      <c r="Q434" s="9"/>
      <c r="R434" s="9"/>
      <c r="S434" s="9"/>
    </row>
    <row r="435" spans="16:19" x14ac:dyDescent="0.25">
      <c r="P435" s="9"/>
      <c r="Q435" s="9"/>
      <c r="R435" s="9"/>
      <c r="S435" s="9"/>
    </row>
    <row r="436" spans="16:19" x14ac:dyDescent="0.25">
      <c r="P436" s="9"/>
      <c r="Q436" s="9"/>
      <c r="R436" s="9"/>
      <c r="S436" s="9"/>
    </row>
    <row r="437" spans="16:19" x14ac:dyDescent="0.25">
      <c r="P437" s="9"/>
      <c r="Q437" s="9"/>
      <c r="R437" s="9"/>
      <c r="S437" s="9"/>
    </row>
    <row r="438" spans="16:19" x14ac:dyDescent="0.25">
      <c r="P438" s="9"/>
      <c r="Q438" s="9"/>
      <c r="R438" s="9"/>
      <c r="S438" s="9"/>
    </row>
    <row r="439" spans="16:19" x14ac:dyDescent="0.25">
      <c r="P439" s="9"/>
      <c r="Q439" s="9"/>
      <c r="R439" s="9"/>
      <c r="S439" s="9"/>
    </row>
    <row r="440" spans="16:19" x14ac:dyDescent="0.25">
      <c r="P440" s="9"/>
      <c r="Q440" s="9"/>
      <c r="R440" s="9"/>
      <c r="S440" s="9"/>
    </row>
    <row r="441" spans="16:19" x14ac:dyDescent="0.25">
      <c r="P441" s="9"/>
      <c r="Q441" s="9"/>
      <c r="R441" s="9"/>
      <c r="S441" s="9"/>
    </row>
    <row r="442" spans="16:19" x14ac:dyDescent="0.25">
      <c r="P442" s="9"/>
      <c r="Q442" s="9"/>
      <c r="R442" s="9"/>
      <c r="S442" s="9"/>
    </row>
    <row r="443" spans="16:19" x14ac:dyDescent="0.25">
      <c r="P443" s="9"/>
      <c r="Q443" s="9"/>
      <c r="R443" s="9"/>
      <c r="S443" s="9"/>
    </row>
    <row r="444" spans="16:19" x14ac:dyDescent="0.25">
      <c r="P444" s="9"/>
      <c r="Q444" s="9"/>
      <c r="R444" s="9"/>
      <c r="S444" s="9"/>
    </row>
    <row r="445" spans="16:19" x14ac:dyDescent="0.25">
      <c r="P445" s="9"/>
      <c r="Q445" s="9"/>
      <c r="R445" s="9"/>
      <c r="S445" s="9"/>
    </row>
    <row r="446" spans="16:19" x14ac:dyDescent="0.25">
      <c r="P446" s="9"/>
      <c r="Q446" s="9"/>
      <c r="R446" s="9"/>
      <c r="S446" s="9"/>
    </row>
    <row r="447" spans="16:19" x14ac:dyDescent="0.25">
      <c r="P447" s="9"/>
      <c r="Q447" s="9"/>
      <c r="R447" s="9"/>
      <c r="S447" s="9"/>
    </row>
    <row r="448" spans="16:19" x14ac:dyDescent="0.25">
      <c r="P448" s="9"/>
      <c r="Q448" s="9"/>
      <c r="R448" s="9"/>
      <c r="S448" s="9"/>
    </row>
    <row r="449" spans="16:19" x14ac:dyDescent="0.25">
      <c r="P449" s="9"/>
      <c r="Q449" s="9"/>
      <c r="R449" s="9"/>
      <c r="S449" s="9"/>
    </row>
    <row r="450" spans="16:19" x14ac:dyDescent="0.25">
      <c r="P450" s="9"/>
      <c r="Q450" s="9"/>
      <c r="R450" s="9"/>
      <c r="S450" s="9"/>
    </row>
    <row r="451" spans="16:19" x14ac:dyDescent="0.25">
      <c r="P451" s="9"/>
      <c r="Q451" s="9"/>
      <c r="R451" s="9"/>
      <c r="S451" s="9"/>
    </row>
    <row r="452" spans="16:19" x14ac:dyDescent="0.25">
      <c r="P452" s="9"/>
      <c r="Q452" s="9"/>
      <c r="R452" s="9"/>
      <c r="S452" s="9"/>
    </row>
    <row r="453" spans="16:19" x14ac:dyDescent="0.25">
      <c r="P453" s="9"/>
      <c r="Q453" s="9"/>
      <c r="R453" s="9"/>
      <c r="S453" s="9"/>
    </row>
    <row r="454" spans="16:19" x14ac:dyDescent="0.25">
      <c r="P454" s="9"/>
      <c r="Q454" s="9"/>
      <c r="R454" s="9"/>
      <c r="S454" s="9"/>
    </row>
    <row r="455" spans="16:19" x14ac:dyDescent="0.25">
      <c r="P455" s="9"/>
      <c r="Q455" s="9"/>
      <c r="R455" s="9"/>
      <c r="S455" s="9"/>
    </row>
    <row r="456" spans="16:19" x14ac:dyDescent="0.25">
      <c r="P456" s="9"/>
      <c r="Q456" s="9"/>
      <c r="R456" s="9"/>
      <c r="S456" s="9"/>
    </row>
    <row r="457" spans="16:19" x14ac:dyDescent="0.25">
      <c r="P457" s="9"/>
      <c r="Q457" s="9"/>
      <c r="R457" s="9"/>
      <c r="S457" s="9"/>
    </row>
    <row r="458" spans="16:19" x14ac:dyDescent="0.25">
      <c r="P458" s="9"/>
      <c r="Q458" s="9"/>
      <c r="R458" s="9"/>
      <c r="S458" s="9"/>
    </row>
    <row r="459" spans="16:19" x14ac:dyDescent="0.25">
      <c r="P459" s="9"/>
      <c r="Q459" s="9"/>
      <c r="R459" s="9"/>
      <c r="S459" s="9"/>
    </row>
    <row r="460" spans="16:19" x14ac:dyDescent="0.25">
      <c r="P460" s="9"/>
      <c r="Q460" s="9"/>
      <c r="R460" s="9"/>
      <c r="S460" s="9"/>
    </row>
    <row r="461" spans="16:19" x14ac:dyDescent="0.25">
      <c r="P461" s="9"/>
      <c r="Q461" s="9"/>
      <c r="R461" s="9"/>
      <c r="S461" s="9"/>
    </row>
    <row r="462" spans="16:19" x14ac:dyDescent="0.25">
      <c r="P462" s="9"/>
      <c r="Q462" s="9"/>
      <c r="R462" s="9"/>
      <c r="S462" s="9"/>
    </row>
    <row r="463" spans="16:19" x14ac:dyDescent="0.25">
      <c r="P463" s="9"/>
      <c r="Q463" s="9"/>
      <c r="R463" s="9"/>
      <c r="S463" s="9"/>
    </row>
    <row r="464" spans="16:19" x14ac:dyDescent="0.25">
      <c r="P464" s="9"/>
      <c r="Q464" s="9"/>
      <c r="R464" s="9"/>
      <c r="S464" s="9"/>
    </row>
    <row r="465" spans="16:19" x14ac:dyDescent="0.25">
      <c r="P465" s="9"/>
      <c r="Q465" s="9"/>
      <c r="R465" s="9"/>
      <c r="S465" s="9"/>
    </row>
    <row r="466" spans="16:19" x14ac:dyDescent="0.25">
      <c r="P466" s="9"/>
      <c r="Q466" s="9"/>
      <c r="R466" s="9"/>
      <c r="S466" s="9"/>
    </row>
    <row r="467" spans="16:19" x14ac:dyDescent="0.25">
      <c r="P467" s="9"/>
      <c r="Q467" s="9"/>
      <c r="R467" s="9"/>
      <c r="S467" s="9"/>
    </row>
    <row r="468" spans="16:19" x14ac:dyDescent="0.25">
      <c r="P468" s="9"/>
      <c r="Q468" s="9"/>
      <c r="R468" s="9"/>
      <c r="S468" s="9"/>
    </row>
    <row r="469" spans="16:19" x14ac:dyDescent="0.25">
      <c r="P469" s="9"/>
      <c r="Q469" s="9"/>
      <c r="R469" s="9"/>
      <c r="S469" s="9"/>
    </row>
    <row r="470" spans="16:19" x14ac:dyDescent="0.25">
      <c r="P470" s="9"/>
      <c r="Q470" s="9"/>
      <c r="R470" s="9"/>
      <c r="S470" s="9"/>
    </row>
    <row r="471" spans="16:19" x14ac:dyDescent="0.25">
      <c r="P471" s="9"/>
      <c r="Q471" s="9"/>
      <c r="R471" s="9"/>
      <c r="S471" s="9"/>
    </row>
    <row r="472" spans="16:19" x14ac:dyDescent="0.25">
      <c r="P472" s="9"/>
      <c r="Q472" s="9"/>
      <c r="R472" s="9"/>
      <c r="S472" s="9"/>
    </row>
    <row r="473" spans="16:19" x14ac:dyDescent="0.25">
      <c r="P473" s="9"/>
      <c r="Q473" s="9"/>
      <c r="R473" s="9"/>
      <c r="S473" s="9"/>
    </row>
    <row r="474" spans="16:19" x14ac:dyDescent="0.25">
      <c r="P474" s="9"/>
      <c r="Q474" s="9"/>
      <c r="R474" s="9"/>
      <c r="S474" s="9"/>
    </row>
    <row r="475" spans="16:19" x14ac:dyDescent="0.25">
      <c r="P475" s="9"/>
      <c r="Q475" s="9"/>
      <c r="R475" s="9"/>
      <c r="S475" s="9"/>
    </row>
    <row r="476" spans="16:19" x14ac:dyDescent="0.25">
      <c r="P476" s="9"/>
      <c r="Q476" s="9"/>
      <c r="R476" s="9"/>
      <c r="S476" s="9"/>
    </row>
    <row r="477" spans="16:19" x14ac:dyDescent="0.25">
      <c r="P477" s="9"/>
      <c r="Q477" s="9"/>
      <c r="R477" s="9"/>
      <c r="S477" s="9"/>
    </row>
    <row r="478" spans="16:19" x14ac:dyDescent="0.25">
      <c r="P478" s="9"/>
      <c r="Q478" s="9"/>
      <c r="R478" s="9"/>
      <c r="S478" s="9"/>
    </row>
    <row r="479" spans="16:19" x14ac:dyDescent="0.25">
      <c r="P479" s="9"/>
      <c r="Q479" s="9"/>
      <c r="R479" s="9"/>
      <c r="S479" s="9"/>
    </row>
    <row r="480" spans="16:19" x14ac:dyDescent="0.25">
      <c r="P480" s="9"/>
      <c r="Q480" s="9"/>
      <c r="R480" s="9"/>
      <c r="S480" s="9"/>
    </row>
    <row r="481" spans="16:19" x14ac:dyDescent="0.25">
      <c r="P481" s="9"/>
      <c r="Q481" s="9"/>
      <c r="R481" s="9"/>
      <c r="S481" s="9"/>
    </row>
    <row r="482" spans="16:19" x14ac:dyDescent="0.25">
      <c r="P482" s="9"/>
      <c r="Q482" s="9"/>
      <c r="R482" s="9"/>
      <c r="S482" s="9"/>
    </row>
    <row r="483" spans="16:19" x14ac:dyDescent="0.25">
      <c r="P483" s="9"/>
      <c r="Q483" s="9"/>
      <c r="R483" s="9"/>
      <c r="S483" s="9"/>
    </row>
    <row r="484" spans="16:19" x14ac:dyDescent="0.25">
      <c r="P484" s="9"/>
      <c r="Q484" s="9"/>
      <c r="R484" s="9"/>
      <c r="S484" s="9"/>
    </row>
    <row r="485" spans="16:19" x14ac:dyDescent="0.25">
      <c r="P485" s="9"/>
      <c r="Q485" s="9"/>
      <c r="R485" s="9"/>
      <c r="S485" s="9"/>
    </row>
    <row r="486" spans="16:19" x14ac:dyDescent="0.25">
      <c r="P486" s="9"/>
      <c r="Q486" s="9"/>
      <c r="R486" s="9"/>
      <c r="S486" s="9"/>
    </row>
    <row r="487" spans="16:19" x14ac:dyDescent="0.25">
      <c r="P487" s="9"/>
      <c r="Q487" s="9"/>
      <c r="R487" s="9"/>
      <c r="S487" s="9"/>
    </row>
    <row r="488" spans="16:19" x14ac:dyDescent="0.25">
      <c r="P488" s="9"/>
      <c r="Q488" s="9"/>
      <c r="R488" s="9"/>
      <c r="S488" s="9"/>
    </row>
    <row r="489" spans="16:19" x14ac:dyDescent="0.25">
      <c r="P489" s="9"/>
      <c r="Q489" s="9"/>
      <c r="R489" s="9"/>
      <c r="S489" s="9"/>
    </row>
    <row r="490" spans="16:19" x14ac:dyDescent="0.25">
      <c r="P490" s="9"/>
      <c r="Q490" s="9"/>
      <c r="R490" s="9"/>
      <c r="S490" s="9"/>
    </row>
    <row r="491" spans="16:19" x14ac:dyDescent="0.25">
      <c r="P491" s="9"/>
      <c r="Q491" s="9"/>
      <c r="R491" s="9"/>
      <c r="S491" s="9"/>
    </row>
    <row r="492" spans="16:19" x14ac:dyDescent="0.25">
      <c r="P492" s="9"/>
      <c r="Q492" s="9"/>
      <c r="R492" s="9"/>
      <c r="S492" s="9"/>
    </row>
    <row r="493" spans="16:19" x14ac:dyDescent="0.25">
      <c r="P493" s="9"/>
      <c r="Q493" s="9"/>
      <c r="R493" s="9"/>
      <c r="S493" s="9"/>
    </row>
    <row r="494" spans="16:19" x14ac:dyDescent="0.25">
      <c r="P494" s="9"/>
      <c r="Q494" s="9"/>
      <c r="R494" s="9"/>
      <c r="S494" s="9"/>
    </row>
    <row r="495" spans="16:19" x14ac:dyDescent="0.25">
      <c r="P495" s="9"/>
      <c r="Q495" s="9"/>
      <c r="R495" s="9"/>
      <c r="S495" s="9"/>
    </row>
    <row r="496" spans="16:19" x14ac:dyDescent="0.25">
      <c r="P496" s="9"/>
      <c r="Q496" s="9"/>
      <c r="R496" s="9"/>
      <c r="S496" s="9"/>
    </row>
    <row r="497" spans="16:19" x14ac:dyDescent="0.25">
      <c r="P497" s="9"/>
      <c r="Q497" s="9"/>
      <c r="R497" s="9"/>
      <c r="S497" s="9"/>
    </row>
    <row r="498" spans="16:19" x14ac:dyDescent="0.25">
      <c r="P498" s="9"/>
      <c r="Q498" s="9"/>
      <c r="R498" s="9"/>
      <c r="S498" s="9"/>
    </row>
    <row r="499" spans="16:19" x14ac:dyDescent="0.25">
      <c r="P499" s="9"/>
      <c r="Q499" s="9"/>
      <c r="R499" s="9"/>
      <c r="S499" s="9"/>
    </row>
    <row r="500" spans="16:19" x14ac:dyDescent="0.25">
      <c r="P500" s="9"/>
      <c r="Q500" s="9"/>
      <c r="R500" s="9"/>
      <c r="S500" s="9"/>
    </row>
  </sheetData>
  <mergeCells count="1">
    <mergeCell ref="C4:D4"/>
  </mergeCells>
  <conditionalFormatting sqref="D13">
    <cfRule type="expression" dxfId="48" priority="12">
      <formula>$D$13&lt;=0</formula>
    </cfRule>
  </conditionalFormatting>
  <conditionalFormatting sqref="D14">
    <cfRule type="expression" dxfId="47" priority="11">
      <formula>$D$14&lt;=0</formula>
    </cfRule>
  </conditionalFormatting>
  <conditionalFormatting sqref="D15">
    <cfRule type="expression" dxfId="46" priority="10">
      <formula>OR($D$15&lt;=0, $D$15&gt;1)</formula>
    </cfRule>
  </conditionalFormatting>
  <conditionalFormatting sqref="D17">
    <cfRule type="expression" dxfId="45" priority="9">
      <formula>$D$17&lt;=0</formula>
    </cfRule>
  </conditionalFormatting>
  <conditionalFormatting sqref="D18">
    <cfRule type="expression" dxfId="44" priority="8">
      <formula>OR($D$18&lt;=0, $D$18&gt;1)</formula>
    </cfRule>
  </conditionalFormatting>
  <conditionalFormatting sqref="D19">
    <cfRule type="expression" dxfId="43" priority="7">
      <formula>$D$19&lt;=0</formula>
    </cfRule>
  </conditionalFormatting>
  <conditionalFormatting sqref="D20">
    <cfRule type="expression" dxfId="42" priority="6">
      <formula>$D$20&lt;=0</formula>
    </cfRule>
  </conditionalFormatting>
  <conditionalFormatting sqref="D28 D36:D37">
    <cfRule type="expression" dxfId="41" priority="5">
      <formula>$D$28&lt;=0</formula>
    </cfRule>
  </conditionalFormatting>
  <conditionalFormatting sqref="D27">
    <cfRule type="expression" dxfId="40" priority="4">
      <formula>$D$27&lt;=0</formula>
    </cfRule>
  </conditionalFormatting>
  <conditionalFormatting sqref="G27">
    <cfRule type="expression" dxfId="39" priority="3">
      <formula>$G$27&lt;=0</formula>
    </cfRule>
  </conditionalFormatting>
  <dataValidations count="1">
    <dataValidation type="list" allowBlank="1" showInputMessage="1" showErrorMessage="1" sqref="H3">
      <formula1>"None,Forward Single,Reverse Single,Forward Shifting"</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UsefulValues!$X$5:$X$22</xm:f>
          </x14:formula1>
          <xm:sqref>C4:D4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B2:P27"/>
  <sheetViews>
    <sheetView workbookViewId="0"/>
  </sheetViews>
  <sheetFormatPr defaultColWidth="9.140625" defaultRowHeight="15" x14ac:dyDescent="0.25"/>
  <cols>
    <col min="1" max="1" width="9.140625" style="25"/>
    <col min="2" max="2" width="2.7109375" style="25" customWidth="1"/>
    <col min="3" max="3" width="18.85546875" style="25" customWidth="1"/>
    <col min="4" max="4" width="8.85546875" style="25" customWidth="1"/>
    <col min="5" max="5" width="9.42578125" style="25" customWidth="1"/>
    <col min="6" max="6" width="8.7109375" style="25" customWidth="1"/>
    <col min="7" max="7" width="20.85546875" style="25" customWidth="1"/>
    <col min="8" max="9" width="11.28515625" style="25" customWidth="1"/>
    <col min="10" max="10" width="12.7109375" style="25" customWidth="1"/>
    <col min="11" max="19" width="11.28515625" style="25" customWidth="1"/>
    <col min="20" max="16384" width="9.140625" style="25"/>
  </cols>
  <sheetData>
    <row r="2" spans="3:16" ht="30.6" x14ac:dyDescent="1.1000000000000001">
      <c r="C2" s="5" t="s">
        <v>262</v>
      </c>
    </row>
    <row r="4" spans="3:16" ht="14.45" x14ac:dyDescent="0.55000000000000004">
      <c r="C4" s="226" t="s">
        <v>284</v>
      </c>
      <c r="D4" s="226"/>
      <c r="E4" s="7" t="s">
        <v>18</v>
      </c>
      <c r="H4" s="159" t="s">
        <v>20</v>
      </c>
      <c r="I4" s="111" t="s">
        <v>19</v>
      </c>
      <c r="J4" s="159" t="s">
        <v>321</v>
      </c>
      <c r="K4" s="111" t="s">
        <v>289</v>
      </c>
      <c r="L4" s="159" t="s">
        <v>21</v>
      </c>
      <c r="M4" s="159" t="s">
        <v>22</v>
      </c>
      <c r="N4" s="111" t="s">
        <v>23</v>
      </c>
      <c r="O4" s="111" t="s">
        <v>319</v>
      </c>
    </row>
    <row r="5" spans="3:16" ht="14.45" x14ac:dyDescent="0.55000000000000004">
      <c r="C5" s="126" t="s">
        <v>24</v>
      </c>
      <c r="D5" s="189">
        <f>VLOOKUP($C$4,UsefulValues!$X$5:$AC$22,2,FALSE)</f>
        <v>18730</v>
      </c>
      <c r="E5" s="128">
        <f>D5*(D$12/12)</f>
        <v>18730</v>
      </c>
      <c r="G5" s="126" t="s">
        <v>25</v>
      </c>
      <c r="H5" s="197">
        <f>E27</f>
        <v>7.2</v>
      </c>
      <c r="I5" s="197">
        <f>D15*(I11*IF(ISBLANK(B$19), 1, 2.205))/E6*0.113</f>
        <v>2.387323943661972</v>
      </c>
      <c r="J5" s="197">
        <f>D15*D16/8.850745792/((SQRT(E8)*E6)/(SQRT(E7)+SQRT(E8)))</f>
        <v>17.706518660659306</v>
      </c>
      <c r="K5" s="197">
        <f>D15*(K11*IF(ISBLANK(B$19), 1, 2.205))/E6*0.113</f>
        <v>1.193661971830986</v>
      </c>
      <c r="L5" s="197">
        <f>($E$6*$E$5+SQRT(($E$6*$E$5)^2-27.119*$D$16*$D$15*L7*$E$6*$E$5))/(120*L7*$E$6)</f>
        <v>102.8479222165673</v>
      </c>
      <c r="M5" s="197">
        <f>($E$6*$E$5+SQRT(($E$6*$E$5)^2-27.119*$D$16*$D$15*M7*$E$6*$E$5))/(120*M7*$E$6)</f>
        <v>162.24762024238342</v>
      </c>
      <c r="N5" s="197">
        <f>($E7-$E8)/($E6/$D$13)*$D15*$D16/$D11/0.2248/39.37/(N10-$E8/$D11)</f>
        <v>5.2378741058394667</v>
      </c>
      <c r="O5" s="197">
        <f>D15*(O11*IF(ISBLANK(B$19), 1, 2.205))/E6*0.113</f>
        <v>7.9577464788732408</v>
      </c>
      <c r="P5" s="25" t="s">
        <v>311</v>
      </c>
    </row>
    <row r="6" spans="3:16" ht="14.45" x14ac:dyDescent="0.55000000000000004">
      <c r="C6" s="126" t="s">
        <v>26</v>
      </c>
      <c r="D6" s="196">
        <f>VLOOKUP($C$4,UsefulValues!X5:AC22,3,FALSE)</f>
        <v>0.71</v>
      </c>
      <c r="E6" s="131">
        <f>D6*(D$12/12)*D11*D13</f>
        <v>0.56799999999999995</v>
      </c>
      <c r="G6" s="126" t="s">
        <v>27</v>
      </c>
      <c r="H6" s="195">
        <f>$E5/H5/60</f>
        <v>43.356481481481481</v>
      </c>
      <c r="I6" s="195">
        <f t="shared" ref="I6:N6" si="0">$E5/I5/60</f>
        <v>130.76007866273352</v>
      </c>
      <c r="J6" s="195">
        <f>$E5/J5/60</f>
        <v>17.630041943831948</v>
      </c>
      <c r="K6" s="195">
        <f>$E5/K5/60</f>
        <v>261.52015732546704</v>
      </c>
      <c r="L6" s="195">
        <f>$E5/L5/60</f>
        <v>3.0352257968744962</v>
      </c>
      <c r="M6" s="195">
        <f>$E5/M5/60</f>
        <v>1.9240138388490235</v>
      </c>
      <c r="N6" s="195">
        <f>$E5/N5/60</f>
        <v>59.597970542790691</v>
      </c>
      <c r="O6" s="195">
        <f>$E5/O5/60</f>
        <v>39.228023598820052</v>
      </c>
      <c r="P6" s="25" t="s">
        <v>312</v>
      </c>
    </row>
    <row r="7" spans="3:16" ht="14.45" x14ac:dyDescent="0.55000000000000004">
      <c r="C7" s="126" t="s">
        <v>28</v>
      </c>
      <c r="D7" s="196">
        <f>VLOOKUP($C$4,UsefulValues!X5:AC22,4,FALSE)</f>
        <v>134</v>
      </c>
      <c r="E7" s="132">
        <f>D7*(D$12/12)*D11</f>
        <v>134</v>
      </c>
      <c r="G7" s="126" t="s">
        <v>29</v>
      </c>
      <c r="H7" s="195">
        <f>H6*(1-$D16/(H11*IF(ISBLANK(B$19), 1, 2.205)))</f>
        <v>36.169231885705592</v>
      </c>
      <c r="I7" s="195">
        <f>I6*(1-$D16/(I11*IF(ISBLANK(B$19), 1, 2.205)))</f>
        <v>65.38003933136676</v>
      </c>
      <c r="J7" s="195">
        <f>J6*(1-$D16/(J11*IF(ISBLANK(B$19), 1, 2.205)))</f>
        <v>16.441645463010158</v>
      </c>
      <c r="K7" s="195">
        <f>K6*(1-$D16/(K11*IF(ISBLANK(I$19), 1, 2.205)))</f>
        <v>0</v>
      </c>
      <c r="L7" s="198">
        <v>3</v>
      </c>
      <c r="M7" s="195">
        <f>(M9*IF(ISBLANK(B$19), 1, 3.281))/D15/2/PI()*12</f>
        <v>1.909859317102744</v>
      </c>
      <c r="N7" s="195">
        <f>N6*(1-$D16/(N11*IF(ISBLANK(B$19), 1, 2.205)))</f>
        <v>46.017412739060248</v>
      </c>
      <c r="O7" s="195">
        <f>O6*(1-$D16/(O11*IF(ISBLANK(L$19), 1, 2.205)))</f>
        <v>33.343820058997046</v>
      </c>
      <c r="P7" s="25" t="s">
        <v>313</v>
      </c>
    </row>
    <row r="8" spans="3:16" ht="14.45" x14ac:dyDescent="0.55000000000000004">
      <c r="C8" s="126" t="s">
        <v>30</v>
      </c>
      <c r="D8" s="196">
        <f>VLOOKUP($C$4,UsefulValues!X5:AC22,5,FALSE)</f>
        <v>0.7</v>
      </c>
      <c r="E8" s="132">
        <f>D8*(D$12/12)*D11</f>
        <v>0.7</v>
      </c>
      <c r="G8" s="126" t="str">
        <f>IF(ISBLANK(B$19), "Lin. Free Speed (ft/s)", "Lin. Free Speed (m/s)")</f>
        <v>Lin. Free Speed (ft/s)</v>
      </c>
      <c r="H8" s="195">
        <f>H6/12*2*PI()*$D$15/IF(ISBLANK(B$19), 1, 3.281)</f>
        <v>45.402801235908044</v>
      </c>
      <c r="I8" s="195">
        <f>I6/12*2*PI()*$D$15/IF(ISBLANK(B$19), 1, 3.281)</f>
        <v>136.93163416988904</v>
      </c>
      <c r="J8" s="195">
        <f>J6/12*2*PI()*$D$15/IF(ISBLANK(B$19), 1, 3.281)</f>
        <v>18.462136751074119</v>
      </c>
      <c r="K8" s="195">
        <f>K6/12*2*PI()*$D$15/IF(ISBLANK(I$19), 1, 3.281)</f>
        <v>273.86326833977807</v>
      </c>
      <c r="L8" s="195">
        <f>L6/12*2*PI()*$D$15/IF(ISBLANK(B$19), 1, 3.281)</f>
        <v>3.1784810218157142</v>
      </c>
      <c r="M8" s="195">
        <f>M6/12*2*PI()*$D$15/IF(ISBLANK(B$19), 1, 3.281)</f>
        <v>2.0148225805110629</v>
      </c>
      <c r="N8" s="195">
        <f>N6/12*2*PI()*$D$15/IF(ISBLANK(B$19), 1, 3.281)</f>
        <v>62.410848808697374</v>
      </c>
      <c r="O8" s="195">
        <f>O6/12*2*PI()*$D$15/IF(ISBLANK(L$19), 1, 3.281)</f>
        <v>41.079490250966707</v>
      </c>
      <c r="P8" s="160" t="s">
        <v>314</v>
      </c>
    </row>
    <row r="9" spans="3:16" ht="14.45" x14ac:dyDescent="0.55000000000000004">
      <c r="C9" s="127" t="s">
        <v>31</v>
      </c>
      <c r="D9" s="191">
        <f>D5/2*(1/60*2*PI())*D6/2</f>
        <v>348.14867987694288</v>
      </c>
      <c r="E9" s="191">
        <f>E5/2*(1/60*2*PI())*E6/2</f>
        <v>278.51894390155428</v>
      </c>
      <c r="G9" s="126" t="str">
        <f>IF(ISBLANK(B$19), "Lin. Loaded Speed (ft/s)", "Lin. Loaded Speed (m/s)")</f>
        <v>Lin. Loaded Speed (ft/s)</v>
      </c>
      <c r="H9" s="195">
        <f>H7/12*2*PI()*$D$15/IF(ISBLANK(B$19), 1, 3.281)</f>
        <v>37.876331059372795</v>
      </c>
      <c r="I9" s="195">
        <f>I7/12*2*PI()*$D$15/IF(ISBLANK(B$19), 1, 3.281)</f>
        <v>68.465817084944518</v>
      </c>
      <c r="J9" s="195">
        <f>J7/12*2*PI()*$D$15/IF(ISBLANK(B$19), 1, 3.281)</f>
        <v>17.217650866506887</v>
      </c>
      <c r="K9" s="195">
        <f>K7/12*2*PI()*$D$15/IF(ISBLANK(B$19), 1, 3.281)</f>
        <v>0</v>
      </c>
      <c r="L9" s="195">
        <f>L7/12*2*PI()*$D$15/IF(ISBLANK(B$19), 1, 3.281)</f>
        <v>3.1415926535897931</v>
      </c>
      <c r="M9" s="198">
        <v>2</v>
      </c>
      <c r="N9" s="195">
        <f>N7/12*2*PI()*$D$15/IF(ISBLANK(B$19), 1, 3.281)</f>
        <v>48.189321932747013</v>
      </c>
      <c r="O9" s="195">
        <f>O7/12*2*PI()*$D$15/IF(ISBLANK(L$19), 1, 3.281)</f>
        <v>34.917566713321705</v>
      </c>
      <c r="P9" s="160" t="s">
        <v>315</v>
      </c>
    </row>
    <row r="10" spans="3:16" ht="14.45" x14ac:dyDescent="0.55000000000000004">
      <c r="G10" s="126" t="s">
        <v>265</v>
      </c>
      <c r="H10" s="199">
        <f>($E7-$E8)/($E6/$D$13)*$D15*$D16/H5/$D11/0.2248/39.37 + $E8/$D11</f>
        <v>18.377825107208203</v>
      </c>
      <c r="I10" s="199">
        <f>($E7-$E8)/($E6/$D$13)*$D15*$D16/I5/$D11/0.2248/39.37 + $E8/$D11</f>
        <v>54.015068995898723</v>
      </c>
      <c r="J10" s="199">
        <f>($E7-$E8)/($E6/$D$13)*$D15*$D16/J5/$D11/0.2248/39.37 + $E8/$D11</f>
        <v>7.8883323430874661</v>
      </c>
      <c r="K10" s="199">
        <f>($E7-$E8)/($E6/$D$13)*$D15*$D16/K5/$D11/0.2248/39.37 + $E8/$D11</f>
        <v>107.33013799179744</v>
      </c>
      <c r="L10" s="199">
        <f>($E7-$E8)/($E6/$D$13)*$D15*$D16/L5/$D11/0.2248/39.37 + $E8/$D11</f>
        <v>1.9375586985985416</v>
      </c>
      <c r="M10" s="199">
        <f>($E7-$E8)/($E6/$D$13)*$D15*$D16/M5/$D11/0.2248/39.37 + $E8/$D11</f>
        <v>1.4844820194080728</v>
      </c>
      <c r="N10" s="200">
        <v>25</v>
      </c>
      <c r="O10" s="199">
        <f>($E7-$E8)/($E6/$D$13)*$D15*$D16/O5/$D11/0.2248/39.37 + ($E8/$D11)</f>
        <v>16.694520698769612</v>
      </c>
      <c r="P10" s="160" t="s">
        <v>316</v>
      </c>
    </row>
    <row r="11" spans="3:16" ht="14.45" x14ac:dyDescent="0.55000000000000004">
      <c r="C11" s="126" t="s">
        <v>32</v>
      </c>
      <c r="D11" s="129">
        <v>1</v>
      </c>
      <c r="G11" s="127" t="str">
        <f>IF(ISBLANK(B$19), "Stall Load (lbs)", "Stall Load (kg)")</f>
        <v>Stall Load (lbs)</v>
      </c>
      <c r="H11" s="199">
        <f>$E$6*H5*39.37*0.2248/$D$15/IF(ISBLANK(B$19), 1, 2.205)</f>
        <v>18.097248844799996</v>
      </c>
      <c r="I11" s="199">
        <f>2*D16/IF(ISBLANK(B$19), 1, 2.205)</f>
        <v>6</v>
      </c>
      <c r="J11" s="199">
        <f>$E$6*J5*39.37*0.2248/$D$15/IF(ISBLANK(B$19), 1, 2.205)</f>
        <v>44.505454774589751</v>
      </c>
      <c r="K11" s="199">
        <f>D16</f>
        <v>3</v>
      </c>
      <c r="L11" s="199">
        <f>$E$6*L5*39.37*0.2248/$D$15/IF(ISBLANK(B$19), 1, 2.205)</f>
        <v>258.50895021164615</v>
      </c>
      <c r="M11" s="199">
        <f>$E$6*M5*39.37*0.2248/$D$15/IF(ISBLANK(B$19), 1, 2.205)</f>
        <v>407.81049416708635</v>
      </c>
      <c r="N11" s="199">
        <f>$E$6*N5*39.37*0.2248/$D$15/IF(ISBLANK(B$19), 1, 2.205)</f>
        <v>13.165432098765431</v>
      </c>
      <c r="O11" s="200">
        <v>20</v>
      </c>
      <c r="P11" s="160" t="s">
        <v>317</v>
      </c>
    </row>
    <row r="12" spans="3:16" ht="14.45" x14ac:dyDescent="0.55000000000000004">
      <c r="C12" s="126" t="s">
        <v>33</v>
      </c>
      <c r="D12" s="129">
        <v>12</v>
      </c>
      <c r="G12" s="126" t="s">
        <v>294</v>
      </c>
      <c r="H12" s="199">
        <f t="shared" ref="H12:O12" si="1">12*0.113*$D$15*$D$16/($D$13*$D$6*H5)</f>
        <v>1.9894366197183102</v>
      </c>
      <c r="I12" s="199">
        <f>12*0.113*$D$15*$D$16/($D$13*$D$6*I5)</f>
        <v>6.0000000000000009</v>
      </c>
      <c r="J12" s="199">
        <f>12*0.113*$D$15*$D$16/($D$13*$D$6*J5)</f>
        <v>0.80896442358243226</v>
      </c>
      <c r="K12" s="199">
        <f>12*0.113*$D$15*$D$16/($D$13*$D$6*K5)</f>
        <v>12.000000000000002</v>
      </c>
      <c r="L12" s="199">
        <f>12*0.113*$D$15*$D$16/($D$13*$D$6*L5)</f>
        <v>0.13927304852897121</v>
      </c>
      <c r="M12" s="199">
        <f t="shared" si="1"/>
        <v>8.8284460755560817E-2</v>
      </c>
      <c r="N12" s="199">
        <f>12*0.113*$D$15*$D$16/($D$13*$D$6*N5)</f>
        <v>2.7346865106976748</v>
      </c>
      <c r="O12" s="199">
        <f>12*0.113*$D$15*$D$16/($D$13*$D$6*O5)</f>
        <v>1.8</v>
      </c>
      <c r="P12" s="160" t="s">
        <v>318</v>
      </c>
    </row>
    <row r="13" spans="3:16" ht="14.45" x14ac:dyDescent="0.55000000000000004">
      <c r="C13" s="127" t="s">
        <v>34</v>
      </c>
      <c r="D13" s="192">
        <v>0.8</v>
      </c>
      <c r="G13" s="6" t="s">
        <v>377</v>
      </c>
    </row>
    <row r="14" spans="3:16" ht="14.45" x14ac:dyDescent="0.55000000000000004">
      <c r="F14" s="56"/>
    </row>
    <row r="15" spans="3:16" ht="14.45" x14ac:dyDescent="0.55000000000000004">
      <c r="C15" s="126" t="s">
        <v>415</v>
      </c>
      <c r="D15" s="129">
        <v>2</v>
      </c>
      <c r="E15" s="9"/>
    </row>
    <row r="16" spans="3:16" ht="14.45" x14ac:dyDescent="0.55000000000000004">
      <c r="C16" s="127" t="s">
        <v>416</v>
      </c>
      <c r="D16" s="129">
        <v>3</v>
      </c>
      <c r="E16" s="9"/>
    </row>
    <row r="19" spans="2:5" ht="14.45" x14ac:dyDescent="0.55000000000000004">
      <c r="B19" s="129"/>
      <c r="C19" s="25" t="s">
        <v>35</v>
      </c>
    </row>
    <row r="22" spans="2:5" ht="14.45" x14ac:dyDescent="0.55000000000000004">
      <c r="D22" s="13" t="s">
        <v>283</v>
      </c>
      <c r="E22" s="126"/>
    </row>
    <row r="23" spans="2:5" ht="14.45" x14ac:dyDescent="0.55000000000000004">
      <c r="D23" s="129"/>
      <c r="E23" s="129">
        <v>3</v>
      </c>
    </row>
    <row r="24" spans="2:5" ht="14.45" x14ac:dyDescent="0.55000000000000004">
      <c r="D24" s="129">
        <v>20</v>
      </c>
      <c r="E24" s="129">
        <v>48</v>
      </c>
    </row>
    <row r="25" spans="2:5" ht="14.45" x14ac:dyDescent="0.55000000000000004">
      <c r="D25" s="129"/>
      <c r="E25" s="129"/>
    </row>
    <row r="26" spans="2:5" ht="14.45" x14ac:dyDescent="0.55000000000000004">
      <c r="D26" s="129"/>
      <c r="E26" s="129"/>
    </row>
    <row r="27" spans="2:5" ht="14.45" x14ac:dyDescent="0.55000000000000004">
      <c r="D27" s="126" t="s">
        <v>248</v>
      </c>
      <c r="E27" s="197">
        <f>IFERROR(IF(PRODUCT(E23:E26)=0, 1, PRODUCT(E23:E26))/IF(PRODUCT(D23:D26)=0, 1, PRODUCT(D23:D26)), "")</f>
        <v>7.2</v>
      </c>
    </row>
  </sheetData>
  <mergeCells count="1">
    <mergeCell ref="C4:D4"/>
  </mergeCells>
  <conditionalFormatting sqref="D11">
    <cfRule type="expression" dxfId="38" priority="15">
      <formula>$D$11&lt;=0</formula>
    </cfRule>
  </conditionalFormatting>
  <conditionalFormatting sqref="D12">
    <cfRule type="expression" dxfId="37" priority="14">
      <formula>$D$12&lt;=0</formula>
    </cfRule>
  </conditionalFormatting>
  <conditionalFormatting sqref="D13">
    <cfRule type="expression" dxfId="36" priority="13">
      <formula>OR($D$13&lt;=0, $D$13&gt;1)</formula>
    </cfRule>
  </conditionalFormatting>
  <conditionalFormatting sqref="D15">
    <cfRule type="expression" dxfId="35" priority="12">
      <formula>$D$15&lt;=0</formula>
    </cfRule>
  </conditionalFormatting>
  <conditionalFormatting sqref="D16">
    <cfRule type="expression" dxfId="34" priority="11">
      <formula>$D$16&lt;0</formula>
    </cfRule>
  </conditionalFormatting>
  <conditionalFormatting sqref="N10">
    <cfRule type="expression" dxfId="33" priority="8">
      <formula>OR($N$5&lt;=0, $N$10&gt;$E$7)</formula>
    </cfRule>
  </conditionalFormatting>
  <conditionalFormatting sqref="E27">
    <cfRule type="expression" dxfId="32" priority="5">
      <formula>$H$7&lt;=0</formula>
    </cfRule>
  </conditionalFormatting>
  <conditionalFormatting sqref="O11">
    <cfRule type="expression" dxfId="31" priority="3">
      <formula>$O$11&lt;=0</formula>
    </cfRule>
  </conditionalFormatting>
  <conditionalFormatting sqref="L7">
    <cfRule type="expression" dxfId="30" priority="2">
      <formula>OR(ISERROR($L$6), $L$7&lt;0)</formula>
    </cfRule>
  </conditionalFormatting>
  <conditionalFormatting sqref="M9">
    <cfRule type="expression" dxfId="29" priority="1">
      <formula>OR(ISERROR($M$5), $M$9&lt;0)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UsefulValues!$X$5:$X$22</xm:f>
          </x14:formula1>
          <xm:sqref>C4:D4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B2:K183"/>
  <sheetViews>
    <sheetView workbookViewId="0"/>
  </sheetViews>
  <sheetFormatPr defaultColWidth="9.140625" defaultRowHeight="15" x14ac:dyDescent="0.25"/>
  <cols>
    <col min="1" max="1" width="9.140625" style="168"/>
    <col min="2" max="2" width="2.7109375" style="168" customWidth="1"/>
    <col min="3" max="3" width="23" style="168" customWidth="1"/>
    <col min="4" max="4" width="8" style="168" customWidth="1"/>
    <col min="5" max="5" width="9.42578125" style="168" customWidth="1"/>
    <col min="6" max="6" width="9.140625" style="168"/>
    <col min="7" max="7" width="23.140625" style="168" customWidth="1"/>
    <col min="8" max="9" width="9.140625" style="168"/>
    <col min="10" max="10" width="2.7109375" style="168" customWidth="1"/>
    <col min="11" max="16384" width="9.140625" style="168"/>
  </cols>
  <sheetData>
    <row r="2" spans="2:11" ht="30.6" x14ac:dyDescent="1.1000000000000001">
      <c r="C2" s="170" t="s">
        <v>400</v>
      </c>
    </row>
    <row r="4" spans="2:11" ht="14.45" x14ac:dyDescent="0.55000000000000004">
      <c r="B4" s="207"/>
      <c r="C4" s="168" t="s">
        <v>35</v>
      </c>
      <c r="J4" s="207"/>
      <c r="K4" s="168" t="s">
        <v>327</v>
      </c>
    </row>
    <row r="5" spans="2:11" x14ac:dyDescent="0.25">
      <c r="B5" s="9">
        <f>IF(ISBLANK($B$4), 32.174, 9.807)</f>
        <v>32.173999999999999</v>
      </c>
    </row>
    <row r="6" spans="2:11" ht="18.399999999999999" x14ac:dyDescent="0.7">
      <c r="C6" s="169" t="s">
        <v>325</v>
      </c>
      <c r="G6" s="169" t="s">
        <v>326</v>
      </c>
    </row>
    <row r="7" spans="2:11" ht="14.45" x14ac:dyDescent="0.55000000000000004">
      <c r="C7" s="171" t="str">
        <f>IF(ISBLANK($B$4),"Distance to Target (ft)", "Distance to Target (m)")</f>
        <v>Distance to Target (ft)</v>
      </c>
      <c r="D7" s="201">
        <v>1</v>
      </c>
      <c r="G7" s="171" t="str">
        <f>IF(ISBLANK($B$4),"Distance to Target (ft)", "Distance to Target (m)")</f>
        <v>Distance to Target (ft)</v>
      </c>
      <c r="H7" s="201">
        <v>1</v>
      </c>
    </row>
    <row r="8" spans="2:11" ht="14.45" x14ac:dyDescent="0.55000000000000004">
      <c r="C8" s="171" t="str">
        <f>IF(ISBLANK($B$4), "Release Height (ft)", "Release Height (m)")</f>
        <v>Release Height (ft)</v>
      </c>
      <c r="D8" s="202">
        <v>0</v>
      </c>
      <c r="G8" s="171" t="str">
        <f>IF(ISBLANK($B$4), "Target Height (ft)", "Target Height (m)")</f>
        <v>Target Height (ft)</v>
      </c>
      <c r="H8" s="201">
        <v>2.5</v>
      </c>
      <c r="I8" s="167">
        <f>H8-H9</f>
        <v>2</v>
      </c>
    </row>
    <row r="9" spans="2:11" ht="14.45" x14ac:dyDescent="0.55000000000000004">
      <c r="C9" s="171" t="str">
        <f>IF(ISBLANK($B$4), "Release Velocity (ft/s)", "Release Velocity (m/s)")</f>
        <v>Release Velocity (ft/s)</v>
      </c>
      <c r="D9" s="203">
        <v>8</v>
      </c>
      <c r="G9" s="171" t="str">
        <f>IF(ISBLANK($B$4), "Release Height (ft)", "Release Height (m)")</f>
        <v>Release Height (ft)</v>
      </c>
      <c r="H9" s="202">
        <v>0.5</v>
      </c>
    </row>
    <row r="10" spans="2:11" x14ac:dyDescent="0.25">
      <c r="C10" s="171" t="s">
        <v>323</v>
      </c>
      <c r="D10" s="204">
        <v>65</v>
      </c>
      <c r="G10" s="171" t="s">
        <v>324</v>
      </c>
      <c r="H10" s="207">
        <v>-80</v>
      </c>
    </row>
    <row r="13" spans="2:11" ht="14.45" x14ac:dyDescent="0.55000000000000004">
      <c r="C13" s="171" t="str">
        <f>IF(ISBLANK($B$4), "Target Height (ft)", "Target Height (m)")</f>
        <v>Target Height (ft)</v>
      </c>
      <c r="D13" s="205">
        <f>$D$7*TAN(RADIANS($D$10))-($B$5*$D$7^2)/(2*$D$9^2*COS(RADIANS($D$10))^2)+$D$8</f>
        <v>0.73716841929224453</v>
      </c>
      <c r="G13" s="171" t="str">
        <f>IF(ISBLANK($B$4), "Release Velocity (ft/s)", "Release Velocity (m/s)")</f>
        <v>Release Velocity (ft/s)</v>
      </c>
      <c r="H13" s="206">
        <f>SQRT(($B$5*$H$7)/(ABS(TAN(RADIANS($H$14))-TAN(RADIANS($H$10)))))/COS(RADIANS($H$14))</f>
        <v>14.079812517276801</v>
      </c>
    </row>
    <row r="14" spans="2:11" x14ac:dyDescent="0.25">
      <c r="C14" s="171" t="s">
        <v>324</v>
      </c>
      <c r="D14" s="206">
        <f>IF($D$7=0, $D$10, DEGREES(ATAN(2*($D$13-$D$8)/$D$7-TAN(RADIANS($D$10)))))</f>
        <v>-33.828810464273197</v>
      </c>
      <c r="G14" s="171" t="s">
        <v>323</v>
      </c>
      <c r="H14" s="208">
        <f>DEGREES(ATAN(2*$I$8/$H$7-TAN(RADIANS($H$10))))</f>
        <v>84.096657398485178</v>
      </c>
    </row>
    <row r="17" spans="3:3" ht="14.45" x14ac:dyDescent="0.55000000000000004">
      <c r="C17" s="6" t="s">
        <v>401</v>
      </c>
    </row>
    <row r="18" spans="3:3" ht="14.45" x14ac:dyDescent="0.55000000000000004">
      <c r="C18" s="6" t="s">
        <v>407</v>
      </c>
    </row>
    <row r="80" spans="4:6" x14ac:dyDescent="0.25">
      <c r="D80" s="173" t="s">
        <v>329</v>
      </c>
      <c r="E80" s="174"/>
      <c r="F80" s="175"/>
    </row>
    <row r="81" spans="4:6" x14ac:dyDescent="0.25">
      <c r="D81" s="176" t="s">
        <v>328</v>
      </c>
      <c r="E81" s="172" t="s">
        <v>320</v>
      </c>
      <c r="F81" s="177" t="s">
        <v>11</v>
      </c>
    </row>
    <row r="82" spans="4:6" x14ac:dyDescent="0.25">
      <c r="D82" s="178">
        <v>0</v>
      </c>
      <c r="E82" s="56">
        <f t="shared" ref="E82:E113" si="0">IF(ISBLANK($J$4), $D$7, $H$7)/100*D82</f>
        <v>0</v>
      </c>
      <c r="F82" s="179">
        <f>IF(E82*TAN(RADIANS(IF(ISBLANK($J$4), $D$10, $H$14))) - ($B$5*E82^2)/(2*IF(ISBLANK($J$4), $D$9, $H$13)^2 * COS(RADIANS(IF(ISBLANK($J$4), $D$10, $H$14)))^2) + IF(ISBLANK($J$4), $D$8, $H$9)&gt;=0, E82*TAN(RADIANS(IF(ISBLANK($J$4), $D$10, $H$14))) - ($B$5*E82^2)/(2*IF(ISBLANK($J$4), $D$9, $H$13)^2 * COS(RADIANS(IF(ISBLANK($J$4), $D$10, $H$14)))^2) + IF(ISBLANK($J$4), $D$8, $H$9), 0)</f>
        <v>0</v>
      </c>
    </row>
    <row r="83" spans="4:6" x14ac:dyDescent="0.25">
      <c r="D83" s="178">
        <v>1</v>
      </c>
      <c r="E83" s="56">
        <f t="shared" si="0"/>
        <v>0.01</v>
      </c>
      <c r="F83" s="179">
        <f>IF(E83*TAN(RADIANS(IF(ISBLANK($J$4), $D$10, $H$14))) - ($B$5*E83^2)/(2*IF(ISBLANK($J$4), $D$9, $H$13)^2 * COS(RADIANS(IF(ISBLANK($J$4), $D$10, $H$14)))^2) + IF(ISBLANK($J$4), $D$8, $H$9)&gt;=0, E83*TAN(RADIANS(IF(ISBLANK($J$4), $D$10, $H$14))) - ($B$5*E83^2)/(2*IF(ISBLANK($J$4), $D$9, $H$13)^2 * COS(RADIANS(IF(ISBLANK($J$4), $D$10, $H$14)))^2) + IF(ISBLANK($J$4), $D$8, $H$9), 0)</f>
        <v>2.1304335354973856E-2</v>
      </c>
    </row>
    <row r="84" spans="4:6" x14ac:dyDescent="0.25">
      <c r="D84" s="178">
        <v>2</v>
      </c>
      <c r="E84" s="56">
        <f t="shared" si="0"/>
        <v>0.02</v>
      </c>
      <c r="F84" s="179">
        <f>IF(E84*TAN(RADIANS(IF(ISBLANK($J$4), $D$10, $H$14))) - ($B$5*E84^2)/(2*IF(ISBLANK($J$4), $D$9, $H$13)^2 * COS(RADIANS(IF(ISBLANK($J$4), $D$10, $H$14)))^2) + IF(ISBLANK($J$4), $D$8, $H$9)&gt;=0, E84*TAN(RADIANS(IF(ISBLANK($J$4), $D$10, $H$14))) - ($B$5*E84^2)/(2*IF(ISBLANK($J$4), $D$9, $H$13)^2 * COS(RADIANS(IF(ISBLANK($J$4), $D$10, $H$14)))^2) + IF(ISBLANK($J$4), $D$8, $H$9), 0)</f>
        <v>4.2327203009704245E-2</v>
      </c>
    </row>
    <row r="85" spans="4:6" x14ac:dyDescent="0.25">
      <c r="D85" s="178">
        <v>3</v>
      </c>
      <c r="E85" s="56">
        <f t="shared" si="0"/>
        <v>0.03</v>
      </c>
      <c r="F85" s="179">
        <f>IF(E85*TAN(RADIANS(IF(ISBLANK($J$4), $D$10, $H$14))) - ($B$5*E85^2)/(2*IF(ISBLANK($J$4), $D$9, $H$13)^2 * COS(RADIANS(IF(ISBLANK($J$4), $D$10, $H$14)))^2) + IF(ISBLANK($J$4), $D$8, $H$9)&gt;=0, E85*TAN(RADIANS(IF(ISBLANK($J$4), $D$10, $H$14))) - ($B$5*E85^2)/(2*IF(ISBLANK($J$4), $D$9, $H$13)^2 * COS(RADIANS(IF(ISBLANK($J$4), $D$10, $H$14)))^2) + IF(ISBLANK($J$4), $D$8, $H$9), 0)</f>
        <v>6.3068602964191173E-2</v>
      </c>
    </row>
    <row r="86" spans="4:6" x14ac:dyDescent="0.25">
      <c r="D86" s="178">
        <v>4</v>
      </c>
      <c r="E86" s="56">
        <f t="shared" si="0"/>
        <v>0.04</v>
      </c>
      <c r="F86" s="179">
        <f>IF(E86*TAN(RADIANS(IF(ISBLANK($J$4), $D$10, $H$14))) - ($B$5*E86^2)/(2*IF(ISBLANK($J$4), $D$9, $H$13)^2 * COS(RADIANS(IF(ISBLANK($J$4), $D$10, $H$14)))^2) + IF(ISBLANK($J$4), $D$8, $H$9)&gt;=0, E86*TAN(RADIANS(IF(ISBLANK($J$4), $D$10, $H$14))) - ($B$5*E86^2)/(2*IF(ISBLANK($J$4), $D$9, $H$13)^2 * COS(RADIANS(IF(ISBLANK($J$4), $D$10, $H$14)))^2) + IF(ISBLANK($J$4), $D$8, $H$9), 0)</f>
        <v>8.3528535218434646E-2</v>
      </c>
    </row>
    <row r="87" spans="4:6" x14ac:dyDescent="0.25">
      <c r="D87" s="178">
        <v>5</v>
      </c>
      <c r="E87" s="56">
        <f t="shared" si="0"/>
        <v>0.05</v>
      </c>
      <c r="F87" s="179">
        <f>IF(E87*TAN(RADIANS(IF(ISBLANK($J$4), $D$10, $H$14))) - ($B$5*E87^2)/(2*IF(ISBLANK($J$4), $D$9, $H$13)^2 * COS(RADIANS(IF(ISBLANK($J$4), $D$10, $H$14)))^2) + IF(ISBLANK($J$4), $D$8, $H$9)&gt;=0, E87*TAN(RADIANS(IF(ISBLANK($J$4), $D$10, $H$14))) - ($B$5*E87^2)/(2*IF(ISBLANK($J$4), $D$9, $H$13)^2 * COS(RADIANS(IF(ISBLANK($J$4), $D$10, $H$14)))^2) + IF(ISBLANK($J$4), $D$8, $H$9), 0)</f>
        <v>0.10370699977243465</v>
      </c>
    </row>
    <row r="88" spans="4:6" x14ac:dyDescent="0.25">
      <c r="D88" s="178">
        <v>6</v>
      </c>
      <c r="E88" s="56">
        <f t="shared" si="0"/>
        <v>0.06</v>
      </c>
      <c r="F88" s="179">
        <f>IF(E88*TAN(RADIANS(IF(ISBLANK($J$4), $D$10, $H$14))) - ($B$5*E88^2)/(2*IF(ISBLANK($J$4), $D$9, $H$13)^2 * COS(RADIANS(IF(ISBLANK($J$4), $D$10, $H$14)))^2) + IF(ISBLANK($J$4), $D$8, $H$9)&gt;=0, E88*TAN(RADIANS(IF(ISBLANK($J$4), $D$10, $H$14))) - ($B$5*E88^2)/(2*IF(ISBLANK($J$4), $D$9, $H$13)^2 * COS(RADIANS(IF(ISBLANK($J$4), $D$10, $H$14)))^2) + IF(ISBLANK($J$4), $D$8, $H$9), 0)</f>
        <v>0.12360399662619119</v>
      </c>
    </row>
    <row r="89" spans="4:6" x14ac:dyDescent="0.25">
      <c r="D89" s="178">
        <v>7</v>
      </c>
      <c r="E89" s="56">
        <f t="shared" si="0"/>
        <v>7.0000000000000007E-2</v>
      </c>
      <c r="F89" s="179">
        <f>IF(E89*TAN(RADIANS(IF(ISBLANK($J$4), $D$10, $H$14))) - ($B$5*E89^2)/(2*IF(ISBLANK($J$4), $D$9, $H$13)^2 * COS(RADIANS(IF(ISBLANK($J$4), $D$10, $H$14)))^2) + IF(ISBLANK($J$4), $D$8, $H$9)&gt;=0, E89*TAN(RADIANS(IF(ISBLANK($J$4), $D$10, $H$14))) - ($B$5*E89^2)/(2*IF(ISBLANK($J$4), $D$9, $H$13)^2 * COS(RADIANS(IF(ISBLANK($J$4), $D$10, $H$14)))^2) + IF(ISBLANK($J$4), $D$8, $H$9), 0)</f>
        <v>0.14321952577970426</v>
      </c>
    </row>
    <row r="90" spans="4:6" x14ac:dyDescent="0.25">
      <c r="D90" s="178">
        <v>8</v>
      </c>
      <c r="E90" s="56">
        <f t="shared" si="0"/>
        <v>0.08</v>
      </c>
      <c r="F90" s="179">
        <f>IF(E90*TAN(RADIANS(IF(ISBLANK($J$4), $D$10, $H$14))) - ($B$5*E90^2)/(2*IF(ISBLANK($J$4), $D$9, $H$13)^2 * COS(RADIANS(IF(ISBLANK($J$4), $D$10, $H$14)))^2) + IF(ISBLANK($J$4), $D$8, $H$9)&gt;=0, E90*TAN(RADIANS(IF(ISBLANK($J$4), $D$10, $H$14))) - ($B$5*E90^2)/(2*IF(ISBLANK($J$4), $D$9, $H$13)^2 * COS(RADIANS(IF(ISBLANK($J$4), $D$10, $H$14)))^2) + IF(ISBLANK($J$4), $D$8, $H$9), 0)</f>
        <v>0.16255358723297389</v>
      </c>
    </row>
    <row r="91" spans="4:6" x14ac:dyDescent="0.25">
      <c r="D91" s="178">
        <v>9</v>
      </c>
      <c r="E91" s="56">
        <f t="shared" si="0"/>
        <v>0.09</v>
      </c>
      <c r="F91" s="179">
        <f>IF(E91*TAN(RADIANS(IF(ISBLANK($J$4), $D$10, $H$14))) - ($B$5*E91^2)/(2*IF(ISBLANK($J$4), $D$9, $H$13)^2 * COS(RADIANS(IF(ISBLANK($J$4), $D$10, $H$14)))^2) + IF(ISBLANK($J$4), $D$8, $H$9)&gt;=0, E91*TAN(RADIANS(IF(ISBLANK($J$4), $D$10, $H$14))) - ($B$5*E91^2)/(2*IF(ISBLANK($J$4), $D$9, $H$13)^2 * COS(RADIANS(IF(ISBLANK($J$4), $D$10, $H$14)))^2) + IF(ISBLANK($J$4), $D$8, $H$9), 0)</f>
        <v>0.18160618098600001</v>
      </c>
    </row>
    <row r="92" spans="4:6" x14ac:dyDescent="0.25">
      <c r="D92" s="178">
        <v>10</v>
      </c>
      <c r="E92" s="56">
        <f t="shared" si="0"/>
        <v>0.1</v>
      </c>
      <c r="F92" s="179">
        <f>IF(E92*TAN(RADIANS(IF(ISBLANK($J$4), $D$10, $H$14))) - ($B$5*E92^2)/(2*IF(ISBLANK($J$4), $D$9, $H$13)^2 * COS(RADIANS(IF(ISBLANK($J$4), $D$10, $H$14)))^2) + IF(ISBLANK($J$4), $D$8, $H$9)&gt;=0, E92*TAN(RADIANS(IF(ISBLANK($J$4), $D$10, $H$14))) - ($B$5*E92^2)/(2*IF(ISBLANK($J$4), $D$9, $H$13)^2 * COS(RADIANS(IF(ISBLANK($J$4), $D$10, $H$14)))^2) + IF(ISBLANK($J$4), $D$8, $H$9), 0)</f>
        <v>0.20037730703878273</v>
      </c>
    </row>
    <row r="93" spans="4:6" x14ac:dyDescent="0.25">
      <c r="D93" s="178">
        <v>11</v>
      </c>
      <c r="E93" s="56">
        <f t="shared" si="0"/>
        <v>0.11</v>
      </c>
      <c r="F93" s="179">
        <f>IF(E93*TAN(RADIANS(IF(ISBLANK($J$4), $D$10, $H$14))) - ($B$5*E93^2)/(2*IF(ISBLANK($J$4), $D$9, $H$13)^2 * COS(RADIANS(IF(ISBLANK($J$4), $D$10, $H$14)))^2) + IF(ISBLANK($J$4), $D$8, $H$9)&gt;=0, E93*TAN(RADIANS(IF(ISBLANK($J$4), $D$10, $H$14))) - ($B$5*E93^2)/(2*IF(ISBLANK($J$4), $D$9, $H$13)^2 * COS(RADIANS(IF(ISBLANK($J$4), $D$10, $H$14)))^2) + IF(ISBLANK($J$4), $D$8, $H$9), 0)</f>
        <v>0.21886696539132194</v>
      </c>
    </row>
    <row r="94" spans="4:6" x14ac:dyDescent="0.25">
      <c r="D94" s="178">
        <v>12</v>
      </c>
      <c r="E94" s="56">
        <f t="shared" si="0"/>
        <v>0.12</v>
      </c>
      <c r="F94" s="179">
        <f>IF(E94*TAN(RADIANS(IF(ISBLANK($J$4), $D$10, $H$14))) - ($B$5*E94^2)/(2*IF(ISBLANK($J$4), $D$9, $H$13)^2 * COS(RADIANS(IF(ISBLANK($J$4), $D$10, $H$14)))^2) + IF(ISBLANK($J$4), $D$8, $H$9)&gt;=0, E94*TAN(RADIANS(IF(ISBLANK($J$4), $D$10, $H$14))) - ($B$5*E94^2)/(2*IF(ISBLANK($J$4), $D$9, $H$13)^2 * COS(RADIANS(IF(ISBLANK($J$4), $D$10, $H$14)))^2) + IF(ISBLANK($J$4), $D$8, $H$9), 0)</f>
        <v>0.2370751560436177</v>
      </c>
    </row>
    <row r="95" spans="4:6" x14ac:dyDescent="0.25">
      <c r="D95" s="178">
        <v>13</v>
      </c>
      <c r="E95" s="56">
        <f t="shared" si="0"/>
        <v>0.13</v>
      </c>
      <c r="F95" s="179">
        <f>IF(E95*TAN(RADIANS(IF(ISBLANK($J$4), $D$10, $H$14))) - ($B$5*E95^2)/(2*IF(ISBLANK($J$4), $D$9, $H$13)^2 * COS(RADIANS(IF(ISBLANK($J$4), $D$10, $H$14)))^2) + IF(ISBLANK($J$4), $D$8, $H$9)&gt;=0, E95*TAN(RADIANS(IF(ISBLANK($J$4), $D$10, $H$14))) - ($B$5*E95^2)/(2*IF(ISBLANK($J$4), $D$9, $H$13)^2 * COS(RADIANS(IF(ISBLANK($J$4), $D$10, $H$14)))^2) + IF(ISBLANK($J$4), $D$8, $H$9), 0)</f>
        <v>0.25500187899567001</v>
      </c>
    </row>
    <row r="96" spans="4:6" x14ac:dyDescent="0.25">
      <c r="D96" s="178">
        <v>14</v>
      </c>
      <c r="E96" s="56">
        <f t="shared" si="0"/>
        <v>0.14000000000000001</v>
      </c>
      <c r="F96" s="179">
        <f>IF(E96*TAN(RADIANS(IF(ISBLANK($J$4), $D$10, $H$14))) - ($B$5*E96^2)/(2*IF(ISBLANK($J$4), $D$9, $H$13)^2 * COS(RADIANS(IF(ISBLANK($J$4), $D$10, $H$14)))^2) + IF(ISBLANK($J$4), $D$8, $H$9)&gt;=0, E96*TAN(RADIANS(IF(ISBLANK($J$4), $D$10, $H$14))) - ($B$5*E96^2)/(2*IF(ISBLANK($J$4), $D$9, $H$13)^2 * COS(RADIANS(IF(ISBLANK($J$4), $D$10, $H$14)))^2) + IF(ISBLANK($J$4), $D$8, $H$9), 0)</f>
        <v>0.27264713424747883</v>
      </c>
    </row>
    <row r="97" spans="4:6" x14ac:dyDescent="0.25">
      <c r="D97" s="178">
        <v>15</v>
      </c>
      <c r="E97" s="56">
        <f t="shared" si="0"/>
        <v>0.15</v>
      </c>
      <c r="F97" s="179">
        <f>IF(E97*TAN(RADIANS(IF(ISBLANK($J$4), $D$10, $H$14))) - ($B$5*E97^2)/(2*IF(ISBLANK($J$4), $D$9, $H$13)^2 * COS(RADIANS(IF(ISBLANK($J$4), $D$10, $H$14)))^2) + IF(ISBLANK($J$4), $D$8, $H$9)&gt;=0, E97*TAN(RADIANS(IF(ISBLANK($J$4), $D$10, $H$14))) - ($B$5*E97^2)/(2*IF(ISBLANK($J$4), $D$9, $H$13)^2 * COS(RADIANS(IF(ISBLANK($J$4), $D$10, $H$14)))^2) + IF(ISBLANK($J$4), $D$8, $H$9), 0)</f>
        <v>0.29001092179904425</v>
      </c>
    </row>
    <row r="98" spans="4:6" x14ac:dyDescent="0.25">
      <c r="D98" s="178">
        <v>16</v>
      </c>
      <c r="E98" s="56">
        <f t="shared" si="0"/>
        <v>0.16</v>
      </c>
      <c r="F98" s="179">
        <f>IF(E98*TAN(RADIANS(IF(ISBLANK($J$4), $D$10, $H$14))) - ($B$5*E98^2)/(2*IF(ISBLANK($J$4), $D$9, $H$13)^2 * COS(RADIANS(IF(ISBLANK($J$4), $D$10, $H$14)))^2) + IF(ISBLANK($J$4), $D$8, $H$9)&gt;=0, E98*TAN(RADIANS(IF(ISBLANK($J$4), $D$10, $H$14))) - ($B$5*E98^2)/(2*IF(ISBLANK($J$4), $D$9, $H$13)^2 * COS(RADIANS(IF(ISBLANK($J$4), $D$10, $H$14)))^2) + IF(ISBLANK($J$4), $D$8, $H$9), 0)</f>
        <v>0.30709324165036617</v>
      </c>
    </row>
    <row r="99" spans="4:6" x14ac:dyDescent="0.25">
      <c r="D99" s="178">
        <v>17</v>
      </c>
      <c r="E99" s="56">
        <f t="shared" si="0"/>
        <v>0.17</v>
      </c>
      <c r="F99" s="179">
        <f>IF(E99*TAN(RADIANS(IF(ISBLANK($J$4), $D$10, $H$14))) - ($B$5*E99^2)/(2*IF(ISBLANK($J$4), $D$9, $H$13)^2 * COS(RADIANS(IF(ISBLANK($J$4), $D$10, $H$14)))^2) + IF(ISBLANK($J$4), $D$8, $H$9)&gt;=0, E99*TAN(RADIANS(IF(ISBLANK($J$4), $D$10, $H$14))) - ($B$5*E99^2)/(2*IF(ISBLANK($J$4), $D$9, $H$13)^2 * COS(RADIANS(IF(ISBLANK($J$4), $D$10, $H$14)))^2) + IF(ISBLANK($J$4), $D$8, $H$9), 0)</f>
        <v>0.32389409380144463</v>
      </c>
    </row>
    <row r="100" spans="4:6" x14ac:dyDescent="0.25">
      <c r="D100" s="178">
        <v>18</v>
      </c>
      <c r="E100" s="56">
        <f t="shared" si="0"/>
        <v>0.18</v>
      </c>
      <c r="F100" s="179">
        <f>IF(E100*TAN(RADIANS(IF(ISBLANK($J$4), $D$10, $H$14))) - ($B$5*E100^2)/(2*IF(ISBLANK($J$4), $D$9, $H$13)^2 * COS(RADIANS(IF(ISBLANK($J$4), $D$10, $H$14)))^2) + IF(ISBLANK($J$4), $D$8, $H$9)&gt;=0, E100*TAN(RADIANS(IF(ISBLANK($J$4), $D$10, $H$14))) - ($B$5*E100^2)/(2*IF(ISBLANK($J$4), $D$9, $H$13)^2 * COS(RADIANS(IF(ISBLANK($J$4), $D$10, $H$14)))^2) + IF(ISBLANK($J$4), $D$8, $H$9), 0)</f>
        <v>0.34041347825227952</v>
      </c>
    </row>
    <row r="101" spans="4:6" x14ac:dyDescent="0.25">
      <c r="D101" s="178">
        <v>19</v>
      </c>
      <c r="E101" s="56">
        <f t="shared" si="0"/>
        <v>0.19</v>
      </c>
      <c r="F101" s="179">
        <f>IF(E101*TAN(RADIANS(IF(ISBLANK($J$4), $D$10, $H$14))) - ($B$5*E101^2)/(2*IF(ISBLANK($J$4), $D$9, $H$13)^2 * COS(RADIANS(IF(ISBLANK($J$4), $D$10, $H$14)))^2) + IF(ISBLANK($J$4), $D$8, $H$9)&gt;=0, E101*TAN(RADIANS(IF(ISBLANK($J$4), $D$10, $H$14))) - ($B$5*E101^2)/(2*IF(ISBLANK($J$4), $D$9, $H$13)^2 * COS(RADIANS(IF(ISBLANK($J$4), $D$10, $H$14)))^2) + IF(ISBLANK($J$4), $D$8, $H$9), 0)</f>
        <v>0.35665139500287113</v>
      </c>
    </row>
    <row r="102" spans="4:6" x14ac:dyDescent="0.25">
      <c r="D102" s="178">
        <v>20</v>
      </c>
      <c r="E102" s="56">
        <f t="shared" si="0"/>
        <v>0.2</v>
      </c>
      <c r="F102" s="179">
        <f>IF(E102*TAN(RADIANS(IF(ISBLANK($J$4), $D$10, $H$14))) - ($B$5*E102^2)/(2*IF(ISBLANK($J$4), $D$9, $H$13)^2 * COS(RADIANS(IF(ISBLANK($J$4), $D$10, $H$14)))^2) + IF(ISBLANK($J$4), $D$8, $H$9)&gt;=0, E102*TAN(RADIANS(IF(ISBLANK($J$4), $D$10, $H$14))) - ($B$5*E102^2)/(2*IF(ISBLANK($J$4), $D$9, $H$13)^2 * COS(RADIANS(IF(ISBLANK($J$4), $D$10, $H$14)))^2) + IF(ISBLANK($J$4), $D$8, $H$9), 0)</f>
        <v>0.37260784405321917</v>
      </c>
    </row>
    <row r="103" spans="4:6" x14ac:dyDescent="0.25">
      <c r="D103" s="178">
        <v>21</v>
      </c>
      <c r="E103" s="56">
        <f t="shared" si="0"/>
        <v>0.21</v>
      </c>
      <c r="F103" s="179">
        <f>IF(E103*TAN(RADIANS(IF(ISBLANK($J$4), $D$10, $H$14))) - ($B$5*E103^2)/(2*IF(ISBLANK($J$4), $D$9, $H$13)^2 * COS(RADIANS(IF(ISBLANK($J$4), $D$10, $H$14)))^2) + IF(ISBLANK($J$4), $D$8, $H$9)&gt;=0, E103*TAN(RADIANS(IF(ISBLANK($J$4), $D$10, $H$14))) - ($B$5*E103^2)/(2*IF(ISBLANK($J$4), $D$9, $H$13)^2 * COS(RADIANS(IF(ISBLANK($J$4), $D$10, $H$14)))^2) + IF(ISBLANK($J$4), $D$8, $H$9), 0)</f>
        <v>0.38828282540332376</v>
      </c>
    </row>
    <row r="104" spans="4:6" x14ac:dyDescent="0.25">
      <c r="D104" s="178">
        <v>22</v>
      </c>
      <c r="E104" s="56">
        <f t="shared" si="0"/>
        <v>0.22</v>
      </c>
      <c r="F104" s="179">
        <f>IF(E104*TAN(RADIANS(IF(ISBLANK($J$4), $D$10, $H$14))) - ($B$5*E104^2)/(2*IF(ISBLANK($J$4), $D$9, $H$13)^2 * COS(RADIANS(IF(ISBLANK($J$4), $D$10, $H$14)))^2) + IF(ISBLANK($J$4), $D$8, $H$9)&gt;=0, E104*TAN(RADIANS(IF(ISBLANK($J$4), $D$10, $H$14))) - ($B$5*E104^2)/(2*IF(ISBLANK($J$4), $D$9, $H$13)^2 * COS(RADIANS(IF(ISBLANK($J$4), $D$10, $H$14)))^2) + IF(ISBLANK($J$4), $D$8, $H$9), 0)</f>
        <v>0.4036763390531849</v>
      </c>
    </row>
    <row r="105" spans="4:6" x14ac:dyDescent="0.25">
      <c r="D105" s="178">
        <v>23</v>
      </c>
      <c r="E105" s="56">
        <f t="shared" si="0"/>
        <v>0.23</v>
      </c>
      <c r="F105" s="179">
        <f>IF(E105*TAN(RADIANS(IF(ISBLANK($J$4), $D$10, $H$14))) - ($B$5*E105^2)/(2*IF(ISBLANK($J$4), $D$9, $H$13)^2 * COS(RADIANS(IF(ISBLANK($J$4), $D$10, $H$14)))^2) + IF(ISBLANK($J$4), $D$8, $H$9)&gt;=0, E105*TAN(RADIANS(IF(ISBLANK($J$4), $D$10, $H$14))) - ($B$5*E105^2)/(2*IF(ISBLANK($J$4), $D$9, $H$13)^2 * COS(RADIANS(IF(ISBLANK($J$4), $D$10, $H$14)))^2) + IF(ISBLANK($J$4), $D$8, $H$9), 0)</f>
        <v>0.41878838500280258</v>
      </c>
    </row>
    <row r="106" spans="4:6" x14ac:dyDescent="0.25">
      <c r="D106" s="178">
        <v>24</v>
      </c>
      <c r="E106" s="56">
        <f t="shared" si="0"/>
        <v>0.24</v>
      </c>
      <c r="F106" s="179">
        <f>IF(E106*TAN(RADIANS(IF(ISBLANK($J$4), $D$10, $H$14))) - ($B$5*E106^2)/(2*IF(ISBLANK($J$4), $D$9, $H$13)^2 * COS(RADIANS(IF(ISBLANK($J$4), $D$10, $H$14)))^2) + IF(ISBLANK($J$4), $D$8, $H$9)&gt;=0, E106*TAN(RADIANS(IF(ISBLANK($J$4), $D$10, $H$14))) - ($B$5*E106^2)/(2*IF(ISBLANK($J$4), $D$9, $H$13)^2 * COS(RADIANS(IF(ISBLANK($J$4), $D$10, $H$14)))^2) + IF(ISBLANK($J$4), $D$8, $H$9), 0)</f>
        <v>0.43361896325217675</v>
      </c>
    </row>
    <row r="107" spans="4:6" x14ac:dyDescent="0.25">
      <c r="D107" s="178">
        <v>25</v>
      </c>
      <c r="E107" s="56">
        <f t="shared" si="0"/>
        <v>0.25</v>
      </c>
      <c r="F107" s="179">
        <f>IF(E107*TAN(RADIANS(IF(ISBLANK($J$4), $D$10, $H$14))) - ($B$5*E107^2)/(2*IF(ISBLANK($J$4), $D$9, $H$13)^2 * COS(RADIANS(IF(ISBLANK($J$4), $D$10, $H$14)))^2) + IF(ISBLANK($J$4), $D$8, $H$9)&gt;=0, E107*TAN(RADIANS(IF(ISBLANK($J$4), $D$10, $H$14))) - ($B$5*E107^2)/(2*IF(ISBLANK($J$4), $D$9, $H$13)^2 * COS(RADIANS(IF(ISBLANK($J$4), $D$10, $H$14)))^2) + IF(ISBLANK($J$4), $D$8, $H$9), 0)</f>
        <v>0.44816807380130752</v>
      </c>
    </row>
    <row r="108" spans="4:6" x14ac:dyDescent="0.25">
      <c r="D108" s="178">
        <v>26</v>
      </c>
      <c r="E108" s="56">
        <f t="shared" si="0"/>
        <v>0.26</v>
      </c>
      <c r="F108" s="179">
        <f>IF(E108*TAN(RADIANS(IF(ISBLANK($J$4), $D$10, $H$14))) - ($B$5*E108^2)/(2*IF(ISBLANK($J$4), $D$9, $H$13)^2 * COS(RADIANS(IF(ISBLANK($J$4), $D$10, $H$14)))^2) + IF(ISBLANK($J$4), $D$8, $H$9)&gt;=0, E108*TAN(RADIANS(IF(ISBLANK($J$4), $D$10, $H$14))) - ($B$5*E108^2)/(2*IF(ISBLANK($J$4), $D$9, $H$13)^2 * COS(RADIANS(IF(ISBLANK($J$4), $D$10, $H$14)))^2) + IF(ISBLANK($J$4), $D$8, $H$9), 0)</f>
        <v>0.46243571665019478</v>
      </c>
    </row>
    <row r="109" spans="4:6" x14ac:dyDescent="0.25">
      <c r="D109" s="178">
        <v>27</v>
      </c>
      <c r="E109" s="56">
        <f t="shared" si="0"/>
        <v>0.27</v>
      </c>
      <c r="F109" s="179">
        <f>IF(E109*TAN(RADIANS(IF(ISBLANK($J$4), $D$10, $H$14))) - ($B$5*E109^2)/(2*IF(ISBLANK($J$4), $D$9, $H$13)^2 * COS(RADIANS(IF(ISBLANK($J$4), $D$10, $H$14)))^2) + IF(ISBLANK($J$4), $D$8, $H$9)&gt;=0, E109*TAN(RADIANS(IF(ISBLANK($J$4), $D$10, $H$14))) - ($B$5*E109^2)/(2*IF(ISBLANK($J$4), $D$9, $H$13)^2 * COS(RADIANS(IF(ISBLANK($J$4), $D$10, $H$14)))^2) + IF(ISBLANK($J$4), $D$8, $H$9), 0)</f>
        <v>0.47642189179883865</v>
      </c>
    </row>
    <row r="110" spans="4:6" x14ac:dyDescent="0.25">
      <c r="D110" s="178">
        <v>28</v>
      </c>
      <c r="E110" s="56">
        <f t="shared" si="0"/>
        <v>0.28000000000000003</v>
      </c>
      <c r="F110" s="179">
        <f>IF(E110*TAN(RADIANS(IF(ISBLANK($J$4), $D$10, $H$14))) - ($B$5*E110^2)/(2*IF(ISBLANK($J$4), $D$9, $H$13)^2 * COS(RADIANS(IF(ISBLANK($J$4), $D$10, $H$14)))^2) + IF(ISBLANK($J$4), $D$8, $H$9)&gt;=0, E110*TAN(RADIANS(IF(ISBLANK($J$4), $D$10, $H$14))) - ($B$5*E110^2)/(2*IF(ISBLANK($J$4), $D$9, $H$13)^2 * COS(RADIANS(IF(ISBLANK($J$4), $D$10, $H$14)))^2) + IF(ISBLANK($J$4), $D$8, $H$9), 0)</f>
        <v>0.490126599247239</v>
      </c>
    </row>
    <row r="111" spans="4:6" x14ac:dyDescent="0.25">
      <c r="D111" s="178">
        <v>29</v>
      </c>
      <c r="E111" s="56">
        <f t="shared" si="0"/>
        <v>0.28999999999999998</v>
      </c>
      <c r="F111" s="179">
        <f>IF(E111*TAN(RADIANS(IF(ISBLANK($J$4), $D$10, $H$14))) - ($B$5*E111^2)/(2*IF(ISBLANK($J$4), $D$9, $H$13)^2 * COS(RADIANS(IF(ISBLANK($J$4), $D$10, $H$14)))^2) + IF(ISBLANK($J$4), $D$8, $H$9)&gt;=0, E111*TAN(RADIANS(IF(ISBLANK($J$4), $D$10, $H$14))) - ($B$5*E111^2)/(2*IF(ISBLANK($J$4), $D$9, $H$13)^2 * COS(RADIANS(IF(ISBLANK($J$4), $D$10, $H$14)))^2) + IF(ISBLANK($J$4), $D$8, $H$9), 0)</f>
        <v>0.50354983899539574</v>
      </c>
    </row>
    <row r="112" spans="4:6" x14ac:dyDescent="0.25">
      <c r="D112" s="178">
        <v>30</v>
      </c>
      <c r="E112" s="56">
        <f t="shared" si="0"/>
        <v>0.3</v>
      </c>
      <c r="F112" s="179">
        <f>IF(E112*TAN(RADIANS(IF(ISBLANK($J$4), $D$10, $H$14))) - ($B$5*E112^2)/(2*IF(ISBLANK($J$4), $D$9, $H$13)^2 * COS(RADIANS(IF(ISBLANK($J$4), $D$10, $H$14)))^2) + IF(ISBLANK($J$4), $D$8, $H$9)&gt;=0, E112*TAN(RADIANS(IF(ISBLANK($J$4), $D$10, $H$14))) - ($B$5*E112^2)/(2*IF(ISBLANK($J$4), $D$9, $H$13)^2 * COS(RADIANS(IF(ISBLANK($J$4), $D$10, $H$14)))^2) + IF(ISBLANK($J$4), $D$8, $H$9), 0)</f>
        <v>0.5166916110433093</v>
      </c>
    </row>
    <row r="113" spans="4:6" x14ac:dyDescent="0.25">
      <c r="D113" s="178">
        <v>31</v>
      </c>
      <c r="E113" s="56">
        <f t="shared" si="0"/>
        <v>0.31</v>
      </c>
      <c r="F113" s="179">
        <f>IF(E113*TAN(RADIANS(IF(ISBLANK($J$4), $D$10, $H$14))) - ($B$5*E113^2)/(2*IF(ISBLANK($J$4), $D$9, $H$13)^2 * COS(RADIANS(IF(ISBLANK($J$4), $D$10, $H$14)))^2) + IF(ISBLANK($J$4), $D$8, $H$9)&gt;=0, E113*TAN(RADIANS(IF(ISBLANK($J$4), $D$10, $H$14))) - ($B$5*E113^2)/(2*IF(ISBLANK($J$4), $D$9, $H$13)^2 * COS(RADIANS(IF(ISBLANK($J$4), $D$10, $H$14)))^2) + IF(ISBLANK($J$4), $D$8, $H$9), 0)</f>
        <v>0.52955191539097934</v>
      </c>
    </row>
    <row r="114" spans="4:6" x14ac:dyDescent="0.25">
      <c r="D114" s="178">
        <v>32</v>
      </c>
      <c r="E114" s="56">
        <f t="shared" ref="E114:E145" si="1">IF(ISBLANK($J$4), $D$7, $H$7)/100*D114</f>
        <v>0.32</v>
      </c>
      <c r="F114" s="179">
        <f>IF(E114*TAN(RADIANS(IF(ISBLANK($J$4), $D$10, $H$14))) - ($B$5*E114^2)/(2*IF(ISBLANK($J$4), $D$9, $H$13)^2 * COS(RADIANS(IF(ISBLANK($J$4), $D$10, $H$14)))^2) + IF(ISBLANK($J$4), $D$8, $H$9)&gt;=0, E114*TAN(RADIANS(IF(ISBLANK($J$4), $D$10, $H$14))) - ($B$5*E114^2)/(2*IF(ISBLANK($J$4), $D$9, $H$13)^2 * COS(RADIANS(IF(ISBLANK($J$4), $D$10, $H$14)))^2) + IF(ISBLANK($J$4), $D$8, $H$9), 0)</f>
        <v>0.54213075203840577</v>
      </c>
    </row>
    <row r="115" spans="4:6" x14ac:dyDescent="0.25">
      <c r="D115" s="178">
        <v>33</v>
      </c>
      <c r="E115" s="56">
        <f t="shared" si="1"/>
        <v>0.33</v>
      </c>
      <c r="F115" s="179">
        <f>IF(E115*TAN(RADIANS(IF(ISBLANK($J$4), $D$10, $H$14))) - ($B$5*E115^2)/(2*IF(ISBLANK($J$4), $D$9, $H$13)^2 * COS(RADIANS(IF(ISBLANK($J$4), $D$10, $H$14)))^2) + IF(ISBLANK($J$4), $D$8, $H$9)&gt;=0, E115*TAN(RADIANS(IF(ISBLANK($J$4), $D$10, $H$14))) - ($B$5*E115^2)/(2*IF(ISBLANK($J$4), $D$9, $H$13)^2 * COS(RADIANS(IF(ISBLANK($J$4), $D$10, $H$14)))^2) + IF(ISBLANK($J$4), $D$8, $H$9), 0)</f>
        <v>0.5544281209855888</v>
      </c>
    </row>
    <row r="116" spans="4:6" x14ac:dyDescent="0.25">
      <c r="D116" s="178">
        <v>34</v>
      </c>
      <c r="E116" s="56">
        <f t="shared" si="1"/>
        <v>0.34</v>
      </c>
      <c r="F116" s="179">
        <f>IF(E116*TAN(RADIANS(IF(ISBLANK($J$4), $D$10, $H$14))) - ($B$5*E116^2)/(2*IF(ISBLANK($J$4), $D$9, $H$13)^2 * COS(RADIANS(IF(ISBLANK($J$4), $D$10, $H$14)))^2) + IF(ISBLANK($J$4), $D$8, $H$9)&gt;=0, E116*TAN(RADIANS(IF(ISBLANK($J$4), $D$10, $H$14))) - ($B$5*E116^2)/(2*IF(ISBLANK($J$4), $D$9, $H$13)^2 * COS(RADIANS(IF(ISBLANK($J$4), $D$10, $H$14)))^2) + IF(ISBLANK($J$4), $D$8, $H$9), 0)</f>
        <v>0.56644402223252843</v>
      </c>
    </row>
    <row r="117" spans="4:6" x14ac:dyDescent="0.25">
      <c r="D117" s="178">
        <v>35</v>
      </c>
      <c r="E117" s="56">
        <f t="shared" si="1"/>
        <v>0.35000000000000003</v>
      </c>
      <c r="F117" s="179">
        <f>IF(E117*TAN(RADIANS(IF(ISBLANK($J$4), $D$10, $H$14))) - ($B$5*E117^2)/(2*IF(ISBLANK($J$4), $D$9, $H$13)^2 * COS(RADIANS(IF(ISBLANK($J$4), $D$10, $H$14)))^2) + IF(ISBLANK($J$4), $D$8, $H$9)&gt;=0, E117*TAN(RADIANS(IF(ISBLANK($J$4), $D$10, $H$14))) - ($B$5*E117^2)/(2*IF(ISBLANK($J$4), $D$9, $H$13)^2 * COS(RADIANS(IF(ISBLANK($J$4), $D$10, $H$14)))^2) + IF(ISBLANK($J$4), $D$8, $H$9), 0)</f>
        <v>0.57817845577922455</v>
      </c>
    </row>
    <row r="118" spans="4:6" x14ac:dyDescent="0.25">
      <c r="D118" s="178">
        <v>36</v>
      </c>
      <c r="E118" s="56">
        <f t="shared" si="1"/>
        <v>0.36</v>
      </c>
      <c r="F118" s="179">
        <f>IF(E118*TAN(RADIANS(IF(ISBLANK($J$4), $D$10, $H$14))) - ($B$5*E118^2)/(2*IF(ISBLANK($J$4), $D$9, $H$13)^2 * COS(RADIANS(IF(ISBLANK($J$4), $D$10, $H$14)))^2) + IF(ISBLANK($J$4), $D$8, $H$9)&gt;=0, E118*TAN(RADIANS(IF(ISBLANK($J$4), $D$10, $H$14))) - ($B$5*E118^2)/(2*IF(ISBLANK($J$4), $D$9, $H$13)^2 * COS(RADIANS(IF(ISBLANK($J$4), $D$10, $H$14)))^2) + IF(ISBLANK($J$4), $D$8, $H$9), 0)</f>
        <v>0.58963142162567717</v>
      </c>
    </row>
    <row r="119" spans="4:6" x14ac:dyDescent="0.25">
      <c r="D119" s="178">
        <v>37</v>
      </c>
      <c r="E119" s="56">
        <f t="shared" si="1"/>
        <v>0.37</v>
      </c>
      <c r="F119" s="179">
        <f>IF(E119*TAN(RADIANS(IF(ISBLANK($J$4), $D$10, $H$14))) - ($B$5*E119^2)/(2*IF(ISBLANK($J$4), $D$9, $H$13)^2 * COS(RADIANS(IF(ISBLANK($J$4), $D$10, $H$14)))^2) + IF(ISBLANK($J$4), $D$8, $H$9)&gt;=0, E119*TAN(RADIANS(IF(ISBLANK($J$4), $D$10, $H$14))) - ($B$5*E119^2)/(2*IF(ISBLANK($J$4), $D$9, $H$13)^2 * COS(RADIANS(IF(ISBLANK($J$4), $D$10, $H$14)))^2) + IF(ISBLANK($J$4), $D$8, $H$9), 0)</f>
        <v>0.60080291977188638</v>
      </c>
    </row>
    <row r="120" spans="4:6" x14ac:dyDescent="0.25">
      <c r="D120" s="178">
        <v>38</v>
      </c>
      <c r="E120" s="56">
        <f t="shared" si="1"/>
        <v>0.38</v>
      </c>
      <c r="F120" s="179">
        <f>IF(E120*TAN(RADIANS(IF(ISBLANK($J$4), $D$10, $H$14))) - ($B$5*E120^2)/(2*IF(ISBLANK($J$4), $D$9, $H$13)^2 * COS(RADIANS(IF(ISBLANK($J$4), $D$10, $H$14)))^2) + IF(ISBLANK($J$4), $D$8, $H$9)&gt;=0, E120*TAN(RADIANS(IF(ISBLANK($J$4), $D$10, $H$14))) - ($B$5*E120^2)/(2*IF(ISBLANK($J$4), $D$9, $H$13)^2 * COS(RADIANS(IF(ISBLANK($J$4), $D$10, $H$14)))^2) + IF(ISBLANK($J$4), $D$8, $H$9), 0)</f>
        <v>0.61169295021785219</v>
      </c>
    </row>
    <row r="121" spans="4:6" x14ac:dyDescent="0.25">
      <c r="D121" s="178">
        <v>39</v>
      </c>
      <c r="E121" s="56">
        <f t="shared" si="1"/>
        <v>0.39</v>
      </c>
      <c r="F121" s="179">
        <f>IF(E121*TAN(RADIANS(IF(ISBLANK($J$4), $D$10, $H$14))) - ($B$5*E121^2)/(2*IF(ISBLANK($J$4), $D$9, $H$13)^2 * COS(RADIANS(IF(ISBLANK($J$4), $D$10, $H$14)))^2) + IF(ISBLANK($J$4), $D$8, $H$9)&gt;=0, E121*TAN(RADIANS(IF(ISBLANK($J$4), $D$10, $H$14))) - ($B$5*E121^2)/(2*IF(ISBLANK($J$4), $D$9, $H$13)^2 * COS(RADIANS(IF(ISBLANK($J$4), $D$10, $H$14)))^2) + IF(ISBLANK($J$4), $D$8, $H$9), 0)</f>
        <v>0.62230151296357439</v>
      </c>
    </row>
    <row r="122" spans="4:6" x14ac:dyDescent="0.25">
      <c r="D122" s="178">
        <v>40</v>
      </c>
      <c r="E122" s="56">
        <f t="shared" si="1"/>
        <v>0.4</v>
      </c>
      <c r="F122" s="179">
        <f>IF(E122*TAN(RADIANS(IF(ISBLANK($J$4), $D$10, $H$14))) - ($B$5*E122^2)/(2*IF(ISBLANK($J$4), $D$9, $H$13)^2 * COS(RADIANS(IF(ISBLANK($J$4), $D$10, $H$14)))^2) + IF(ISBLANK($J$4), $D$8, $H$9)&gt;=0, E122*TAN(RADIANS(IF(ISBLANK($J$4), $D$10, $H$14))) - ($B$5*E122^2)/(2*IF(ISBLANK($J$4), $D$9, $H$13)^2 * COS(RADIANS(IF(ISBLANK($J$4), $D$10, $H$14)))^2) + IF(ISBLANK($J$4), $D$8, $H$9), 0)</f>
        <v>0.63262860800905318</v>
      </c>
    </row>
    <row r="123" spans="4:6" x14ac:dyDescent="0.25">
      <c r="D123" s="178">
        <v>41</v>
      </c>
      <c r="E123" s="56">
        <f t="shared" si="1"/>
        <v>0.41000000000000003</v>
      </c>
      <c r="F123" s="179">
        <f>IF(E123*TAN(RADIANS(IF(ISBLANK($J$4), $D$10, $H$14))) - ($B$5*E123^2)/(2*IF(ISBLANK($J$4), $D$9, $H$13)^2 * COS(RADIANS(IF(ISBLANK($J$4), $D$10, $H$14)))^2) + IF(ISBLANK($J$4), $D$8, $H$9)&gt;=0, E123*TAN(RADIANS(IF(ISBLANK($J$4), $D$10, $H$14))) - ($B$5*E123^2)/(2*IF(ISBLANK($J$4), $D$9, $H$13)^2 * COS(RADIANS(IF(ISBLANK($J$4), $D$10, $H$14)))^2) + IF(ISBLANK($J$4), $D$8, $H$9), 0)</f>
        <v>0.64267423535428847</v>
      </c>
    </row>
    <row r="124" spans="4:6" x14ac:dyDescent="0.25">
      <c r="D124" s="178">
        <v>42</v>
      </c>
      <c r="E124" s="56">
        <f t="shared" si="1"/>
        <v>0.42</v>
      </c>
      <c r="F124" s="179">
        <f>IF(E124*TAN(RADIANS(IF(ISBLANK($J$4), $D$10, $H$14))) - ($B$5*E124^2)/(2*IF(ISBLANK($J$4), $D$9, $H$13)^2 * COS(RADIANS(IF(ISBLANK($J$4), $D$10, $H$14)))^2) + IF(ISBLANK($J$4), $D$8, $H$9)&gt;=0, E124*TAN(RADIANS(IF(ISBLANK($J$4), $D$10, $H$14))) - ($B$5*E124^2)/(2*IF(ISBLANK($J$4), $D$9, $H$13)^2 * COS(RADIANS(IF(ISBLANK($J$4), $D$10, $H$14)))^2) + IF(ISBLANK($J$4), $D$8, $H$9), 0)</f>
        <v>0.65243839499928036</v>
      </c>
    </row>
    <row r="125" spans="4:6" x14ac:dyDescent="0.25">
      <c r="D125" s="178">
        <v>43</v>
      </c>
      <c r="E125" s="56">
        <f t="shared" si="1"/>
        <v>0.43</v>
      </c>
      <c r="F125" s="179">
        <f>IF(E125*TAN(RADIANS(IF(ISBLANK($J$4), $D$10, $H$14))) - ($B$5*E125^2)/(2*IF(ISBLANK($J$4), $D$9, $H$13)^2 * COS(RADIANS(IF(ISBLANK($J$4), $D$10, $H$14)))^2) + IF(ISBLANK($J$4), $D$8, $H$9)&gt;=0, E125*TAN(RADIANS(IF(ISBLANK($J$4), $D$10, $H$14))) - ($B$5*E125^2)/(2*IF(ISBLANK($J$4), $D$9, $H$13)^2 * COS(RADIANS(IF(ISBLANK($J$4), $D$10, $H$14)))^2) + IF(ISBLANK($J$4), $D$8, $H$9), 0)</f>
        <v>0.66192108694402885</v>
      </c>
    </row>
    <row r="126" spans="4:6" x14ac:dyDescent="0.25">
      <c r="D126" s="178">
        <v>44</v>
      </c>
      <c r="E126" s="56">
        <f t="shared" si="1"/>
        <v>0.44</v>
      </c>
      <c r="F126" s="179">
        <f>IF(E126*TAN(RADIANS(IF(ISBLANK($J$4), $D$10, $H$14))) - ($B$5*E126^2)/(2*IF(ISBLANK($J$4), $D$9, $H$13)^2 * COS(RADIANS(IF(ISBLANK($J$4), $D$10, $H$14)))^2) + IF(ISBLANK($J$4), $D$8, $H$9)&gt;=0, E126*TAN(RADIANS(IF(ISBLANK($J$4), $D$10, $H$14))) - ($B$5*E126^2)/(2*IF(ISBLANK($J$4), $D$9, $H$13)^2 * COS(RADIANS(IF(ISBLANK($J$4), $D$10, $H$14)))^2) + IF(ISBLANK($J$4), $D$8, $H$9), 0)</f>
        <v>0.67112231118853383</v>
      </c>
    </row>
    <row r="127" spans="4:6" x14ac:dyDescent="0.25">
      <c r="D127" s="178">
        <v>45</v>
      </c>
      <c r="E127" s="56">
        <f t="shared" si="1"/>
        <v>0.45</v>
      </c>
      <c r="F127" s="179">
        <f>IF(E127*TAN(RADIANS(IF(ISBLANK($J$4), $D$10, $H$14))) - ($B$5*E127^2)/(2*IF(ISBLANK($J$4), $D$9, $H$13)^2 * COS(RADIANS(IF(ISBLANK($J$4), $D$10, $H$14)))^2) + IF(ISBLANK($J$4), $D$8, $H$9)&gt;=0, E127*TAN(RADIANS(IF(ISBLANK($J$4), $D$10, $H$14))) - ($B$5*E127^2)/(2*IF(ISBLANK($J$4), $D$9, $H$13)^2 * COS(RADIANS(IF(ISBLANK($J$4), $D$10, $H$14)))^2) + IF(ISBLANK($J$4), $D$8, $H$9), 0)</f>
        <v>0.68004206773279519</v>
      </c>
    </row>
    <row r="128" spans="4:6" x14ac:dyDescent="0.25">
      <c r="D128" s="178">
        <v>46</v>
      </c>
      <c r="E128" s="56">
        <f t="shared" si="1"/>
        <v>0.46</v>
      </c>
      <c r="F128" s="179">
        <f>IF(E128*TAN(RADIANS(IF(ISBLANK($J$4), $D$10, $H$14))) - ($B$5*E128^2)/(2*IF(ISBLANK($J$4), $D$9, $H$13)^2 * COS(RADIANS(IF(ISBLANK($J$4), $D$10, $H$14)))^2) + IF(ISBLANK($J$4), $D$8, $H$9)&gt;=0, E128*TAN(RADIANS(IF(ISBLANK($J$4), $D$10, $H$14))) - ($B$5*E128^2)/(2*IF(ISBLANK($J$4), $D$9, $H$13)^2 * COS(RADIANS(IF(ISBLANK($J$4), $D$10, $H$14)))^2) + IF(ISBLANK($J$4), $D$8, $H$9), 0)</f>
        <v>0.68868035657681337</v>
      </c>
    </row>
    <row r="129" spans="4:6" x14ac:dyDescent="0.25">
      <c r="D129" s="178">
        <v>47</v>
      </c>
      <c r="E129" s="56">
        <f t="shared" si="1"/>
        <v>0.47000000000000003</v>
      </c>
      <c r="F129" s="179">
        <f>IF(E129*TAN(RADIANS(IF(ISBLANK($J$4), $D$10, $H$14))) - ($B$5*E129^2)/(2*IF(ISBLANK($J$4), $D$9, $H$13)^2 * COS(RADIANS(IF(ISBLANK($J$4), $D$10, $H$14)))^2) + IF(ISBLANK($J$4), $D$8, $H$9)&gt;=0, E129*TAN(RADIANS(IF(ISBLANK($J$4), $D$10, $H$14))) - ($B$5*E129^2)/(2*IF(ISBLANK($J$4), $D$9, $H$13)^2 * COS(RADIANS(IF(ISBLANK($J$4), $D$10, $H$14)))^2) + IF(ISBLANK($J$4), $D$8, $H$9), 0)</f>
        <v>0.69703717772058771</v>
      </c>
    </row>
    <row r="130" spans="4:6" x14ac:dyDescent="0.25">
      <c r="D130" s="178">
        <v>48</v>
      </c>
      <c r="E130" s="56">
        <f t="shared" si="1"/>
        <v>0.48</v>
      </c>
      <c r="F130" s="179">
        <f>IF(E130*TAN(RADIANS(IF(ISBLANK($J$4), $D$10, $H$14))) - ($B$5*E130^2)/(2*IF(ISBLANK($J$4), $D$9, $H$13)^2 * COS(RADIANS(IF(ISBLANK($J$4), $D$10, $H$14)))^2) + IF(ISBLANK($J$4), $D$8, $H$9)&gt;=0, E130*TAN(RADIANS(IF(ISBLANK($J$4), $D$10, $H$14))) - ($B$5*E130^2)/(2*IF(ISBLANK($J$4), $D$9, $H$13)^2 * COS(RADIANS(IF(ISBLANK($J$4), $D$10, $H$14)))^2) + IF(ISBLANK($J$4), $D$8, $H$9), 0)</f>
        <v>0.70511253116411887</v>
      </c>
    </row>
    <row r="131" spans="4:6" x14ac:dyDescent="0.25">
      <c r="D131" s="178">
        <v>49</v>
      </c>
      <c r="E131" s="56">
        <f t="shared" si="1"/>
        <v>0.49</v>
      </c>
      <c r="F131" s="179">
        <f>IF(E131*TAN(RADIANS(IF(ISBLANK($J$4), $D$10, $H$14))) - ($B$5*E131^2)/(2*IF(ISBLANK($J$4), $D$9, $H$13)^2 * COS(RADIANS(IF(ISBLANK($J$4), $D$10, $H$14)))^2) + IF(ISBLANK($J$4), $D$8, $H$9)&gt;=0, E131*TAN(RADIANS(IF(ISBLANK($J$4), $D$10, $H$14))) - ($B$5*E131^2)/(2*IF(ISBLANK($J$4), $D$9, $H$13)^2 * COS(RADIANS(IF(ISBLANK($J$4), $D$10, $H$14)))^2) + IF(ISBLANK($J$4), $D$8, $H$9), 0)</f>
        <v>0.71290641690740664</v>
      </c>
    </row>
    <row r="132" spans="4:6" x14ac:dyDescent="0.25">
      <c r="D132" s="178">
        <v>50</v>
      </c>
      <c r="E132" s="56">
        <f t="shared" si="1"/>
        <v>0.5</v>
      </c>
      <c r="F132" s="179">
        <f>IF(E132*TAN(RADIANS(IF(ISBLANK($J$4), $D$10, $H$14))) - ($B$5*E132^2)/(2*IF(ISBLANK($J$4), $D$9, $H$13)^2 * COS(RADIANS(IF(ISBLANK($J$4), $D$10, $H$14)))^2) + IF(ISBLANK($J$4), $D$8, $H$9)&gt;=0, E132*TAN(RADIANS(IF(ISBLANK($J$4), $D$10, $H$14))) - ($B$5*E132^2)/(2*IF(ISBLANK($J$4), $D$9, $H$13)^2 * COS(RADIANS(IF(ISBLANK($J$4), $D$10, $H$14)))^2) + IF(ISBLANK($J$4), $D$8, $H$9), 0)</f>
        <v>0.72041883495045078</v>
      </c>
    </row>
    <row r="133" spans="4:6" x14ac:dyDescent="0.25">
      <c r="D133" s="178">
        <v>51</v>
      </c>
      <c r="E133" s="56">
        <f t="shared" si="1"/>
        <v>0.51</v>
      </c>
      <c r="F133" s="179">
        <f>IF(E133*TAN(RADIANS(IF(ISBLANK($J$4), $D$10, $H$14))) - ($B$5*E133^2)/(2*IF(ISBLANK($J$4), $D$9, $H$13)^2 * COS(RADIANS(IF(ISBLANK($J$4), $D$10, $H$14)))^2) + IF(ISBLANK($J$4), $D$8, $H$9)&gt;=0, E133*TAN(RADIANS(IF(ISBLANK($J$4), $D$10, $H$14))) - ($B$5*E133^2)/(2*IF(ISBLANK($J$4), $D$9, $H$13)^2 * COS(RADIANS(IF(ISBLANK($J$4), $D$10, $H$14)))^2) + IF(ISBLANK($J$4), $D$8, $H$9), 0)</f>
        <v>0.72764978529325153</v>
      </c>
    </row>
    <row r="134" spans="4:6" x14ac:dyDescent="0.25">
      <c r="D134" s="178">
        <v>52</v>
      </c>
      <c r="E134" s="56">
        <f t="shared" si="1"/>
        <v>0.52</v>
      </c>
      <c r="F134" s="179">
        <f>IF(E134*TAN(RADIANS(IF(ISBLANK($J$4), $D$10, $H$14))) - ($B$5*E134^2)/(2*IF(ISBLANK($J$4), $D$9, $H$13)^2 * COS(RADIANS(IF(ISBLANK($J$4), $D$10, $H$14)))^2) + IF(ISBLANK($J$4), $D$8, $H$9)&gt;=0, E134*TAN(RADIANS(IF(ISBLANK($J$4), $D$10, $H$14))) - ($B$5*E134^2)/(2*IF(ISBLANK($J$4), $D$9, $H$13)^2 * COS(RADIANS(IF(ISBLANK($J$4), $D$10, $H$14)))^2) + IF(ISBLANK($J$4), $D$8, $H$9), 0)</f>
        <v>0.73459926793580865</v>
      </c>
    </row>
    <row r="135" spans="4:6" x14ac:dyDescent="0.25">
      <c r="D135" s="178">
        <v>53</v>
      </c>
      <c r="E135" s="56">
        <f t="shared" si="1"/>
        <v>0.53</v>
      </c>
      <c r="F135" s="179">
        <f>IF(E135*TAN(RADIANS(IF(ISBLANK($J$4), $D$10, $H$14))) - ($B$5*E135^2)/(2*IF(ISBLANK($J$4), $D$9, $H$13)^2 * COS(RADIANS(IF(ISBLANK($J$4), $D$10, $H$14)))^2) + IF(ISBLANK($J$4), $D$8, $H$9)&gt;=0, E135*TAN(RADIANS(IF(ISBLANK($J$4), $D$10, $H$14))) - ($B$5*E135^2)/(2*IF(ISBLANK($J$4), $D$9, $H$13)^2 * COS(RADIANS(IF(ISBLANK($J$4), $D$10, $H$14)))^2) + IF(ISBLANK($J$4), $D$8, $H$9), 0)</f>
        <v>0.74126728287812249</v>
      </c>
    </row>
    <row r="136" spans="4:6" x14ac:dyDescent="0.25">
      <c r="D136" s="178">
        <v>54</v>
      </c>
      <c r="E136" s="56">
        <f t="shared" si="1"/>
        <v>0.54</v>
      </c>
      <c r="F136" s="179">
        <f>IF(E136*TAN(RADIANS(IF(ISBLANK($J$4), $D$10, $H$14))) - ($B$5*E136^2)/(2*IF(ISBLANK($J$4), $D$9, $H$13)^2 * COS(RADIANS(IF(ISBLANK($J$4), $D$10, $H$14)))^2) + IF(ISBLANK($J$4), $D$8, $H$9)&gt;=0, E136*TAN(RADIANS(IF(ISBLANK($J$4), $D$10, $H$14))) - ($B$5*E136^2)/(2*IF(ISBLANK($J$4), $D$9, $H$13)^2 * COS(RADIANS(IF(ISBLANK($J$4), $D$10, $H$14)))^2) + IF(ISBLANK($J$4), $D$8, $H$9), 0)</f>
        <v>0.74765383012019282</v>
      </c>
    </row>
    <row r="137" spans="4:6" x14ac:dyDescent="0.25">
      <c r="D137" s="178">
        <v>55</v>
      </c>
      <c r="E137" s="56">
        <f t="shared" si="1"/>
        <v>0.55000000000000004</v>
      </c>
      <c r="F137" s="179">
        <f>IF(E137*TAN(RADIANS(IF(ISBLANK($J$4), $D$10, $H$14))) - ($B$5*E137^2)/(2*IF(ISBLANK($J$4), $D$9, $H$13)^2 * COS(RADIANS(IF(ISBLANK($J$4), $D$10, $H$14)))^2) + IF(ISBLANK($J$4), $D$8, $H$9)&gt;=0, E137*TAN(RADIANS(IF(ISBLANK($J$4), $D$10, $H$14))) - ($B$5*E137^2)/(2*IF(ISBLANK($J$4), $D$9, $H$13)^2 * COS(RADIANS(IF(ISBLANK($J$4), $D$10, $H$14)))^2) + IF(ISBLANK($J$4), $D$8, $H$9), 0)</f>
        <v>0.75375890966201964</v>
      </c>
    </row>
    <row r="138" spans="4:6" x14ac:dyDescent="0.25">
      <c r="D138" s="178">
        <v>56</v>
      </c>
      <c r="E138" s="56">
        <f t="shared" si="1"/>
        <v>0.56000000000000005</v>
      </c>
      <c r="F138" s="179">
        <f>IF(E138*TAN(RADIANS(IF(ISBLANK($J$4), $D$10, $H$14))) - ($B$5*E138^2)/(2*IF(ISBLANK($J$4), $D$9, $H$13)^2 * COS(RADIANS(IF(ISBLANK($J$4), $D$10, $H$14)))^2) + IF(ISBLANK($J$4), $D$8, $H$9)&gt;=0, E138*TAN(RADIANS(IF(ISBLANK($J$4), $D$10, $H$14))) - ($B$5*E138^2)/(2*IF(ISBLANK($J$4), $D$9, $H$13)^2 * COS(RADIANS(IF(ISBLANK($J$4), $D$10, $H$14)))^2) + IF(ISBLANK($J$4), $D$8, $H$9), 0)</f>
        <v>0.75958252150360306</v>
      </c>
    </row>
    <row r="139" spans="4:6" x14ac:dyDescent="0.25">
      <c r="D139" s="178">
        <v>57</v>
      </c>
      <c r="E139" s="56">
        <f t="shared" si="1"/>
        <v>0.57000000000000006</v>
      </c>
      <c r="F139" s="179">
        <f>IF(E139*TAN(RADIANS(IF(ISBLANK($J$4), $D$10, $H$14))) - ($B$5*E139^2)/(2*IF(ISBLANK($J$4), $D$9, $H$13)^2 * COS(RADIANS(IF(ISBLANK($J$4), $D$10, $H$14)))^2) + IF(ISBLANK($J$4), $D$8, $H$9)&gt;=0, E139*TAN(RADIANS(IF(ISBLANK($J$4), $D$10, $H$14))) - ($B$5*E139^2)/(2*IF(ISBLANK($J$4), $D$9, $H$13)^2 * COS(RADIANS(IF(ISBLANK($J$4), $D$10, $H$14)))^2) + IF(ISBLANK($J$4), $D$8, $H$9), 0)</f>
        <v>0.76512466564494286</v>
      </c>
    </row>
    <row r="140" spans="4:6" x14ac:dyDescent="0.25">
      <c r="D140" s="178">
        <v>58</v>
      </c>
      <c r="E140" s="56">
        <f t="shared" si="1"/>
        <v>0.57999999999999996</v>
      </c>
      <c r="F140" s="179">
        <f>IF(E140*TAN(RADIANS(IF(ISBLANK($J$4), $D$10, $H$14))) - ($B$5*E140^2)/(2*IF(ISBLANK($J$4), $D$9, $H$13)^2 * COS(RADIANS(IF(ISBLANK($J$4), $D$10, $H$14)))^2) + IF(ISBLANK($J$4), $D$8, $H$9)&gt;=0, E140*TAN(RADIANS(IF(ISBLANK($J$4), $D$10, $H$14))) - ($B$5*E140^2)/(2*IF(ISBLANK($J$4), $D$9, $H$13)^2 * COS(RADIANS(IF(ISBLANK($J$4), $D$10, $H$14)))^2) + IF(ISBLANK($J$4), $D$8, $H$9), 0)</f>
        <v>0.77038534208603937</v>
      </c>
    </row>
    <row r="141" spans="4:6" x14ac:dyDescent="0.25">
      <c r="D141" s="178">
        <v>59</v>
      </c>
      <c r="E141" s="56">
        <f t="shared" si="1"/>
        <v>0.59</v>
      </c>
      <c r="F141" s="179">
        <f>IF(E141*TAN(RADIANS(IF(ISBLANK($J$4), $D$10, $H$14))) - ($B$5*E141^2)/(2*IF(ISBLANK($J$4), $D$9, $H$13)^2 * COS(RADIANS(IF(ISBLANK($J$4), $D$10, $H$14)))^2) + IF(ISBLANK($J$4), $D$8, $H$9)&gt;=0, E141*TAN(RADIANS(IF(ISBLANK($J$4), $D$10, $H$14))) - ($B$5*E141^2)/(2*IF(ISBLANK($J$4), $D$9, $H$13)^2 * COS(RADIANS(IF(ISBLANK($J$4), $D$10, $H$14)))^2) + IF(ISBLANK($J$4), $D$8, $H$9), 0)</f>
        <v>0.7753645508268926</v>
      </c>
    </row>
    <row r="142" spans="4:6" x14ac:dyDescent="0.25">
      <c r="D142" s="178">
        <v>60</v>
      </c>
      <c r="E142" s="56">
        <f t="shared" si="1"/>
        <v>0.6</v>
      </c>
      <c r="F142" s="179">
        <f>IF(E142*TAN(RADIANS(IF(ISBLANK($J$4), $D$10, $H$14))) - ($B$5*E142^2)/(2*IF(ISBLANK($J$4), $D$9, $H$13)^2 * COS(RADIANS(IF(ISBLANK($J$4), $D$10, $H$14)))^2) + IF(ISBLANK($J$4), $D$8, $H$9)&gt;=0, E142*TAN(RADIANS(IF(ISBLANK($J$4), $D$10, $H$14))) - ($B$5*E142^2)/(2*IF(ISBLANK($J$4), $D$9, $H$13)^2 * COS(RADIANS(IF(ISBLANK($J$4), $D$10, $H$14)))^2) + IF(ISBLANK($J$4), $D$8, $H$9), 0)</f>
        <v>0.78006229186750209</v>
      </c>
    </row>
    <row r="143" spans="4:6" x14ac:dyDescent="0.25">
      <c r="D143" s="178">
        <v>61</v>
      </c>
      <c r="E143" s="56">
        <f t="shared" si="1"/>
        <v>0.61</v>
      </c>
      <c r="F143" s="179">
        <f>IF(E143*TAN(RADIANS(IF(ISBLANK($J$4), $D$10, $H$14))) - ($B$5*E143^2)/(2*IF(ISBLANK($J$4), $D$9, $H$13)^2 * COS(RADIANS(IF(ISBLANK($J$4), $D$10, $H$14)))^2) + IF(ISBLANK($J$4), $D$8, $H$9)&gt;=0, E143*TAN(RADIANS(IF(ISBLANK($J$4), $D$10, $H$14))) - ($B$5*E143^2)/(2*IF(ISBLANK($J$4), $D$9, $H$13)^2 * COS(RADIANS(IF(ISBLANK($J$4), $D$10, $H$14)))^2) + IF(ISBLANK($J$4), $D$8, $H$9), 0)</f>
        <v>0.78447856520786818</v>
      </c>
    </row>
    <row r="144" spans="4:6" x14ac:dyDescent="0.25">
      <c r="D144" s="178">
        <v>62</v>
      </c>
      <c r="E144" s="56">
        <f t="shared" si="1"/>
        <v>0.62</v>
      </c>
      <c r="F144" s="179">
        <f>IF(E144*TAN(RADIANS(IF(ISBLANK($J$4), $D$10, $H$14))) - ($B$5*E144^2)/(2*IF(ISBLANK($J$4), $D$9, $H$13)^2 * COS(RADIANS(IF(ISBLANK($J$4), $D$10, $H$14)))^2) + IF(ISBLANK($J$4), $D$8, $H$9)&gt;=0, E144*TAN(RADIANS(IF(ISBLANK($J$4), $D$10, $H$14))) - ($B$5*E144^2)/(2*IF(ISBLANK($J$4), $D$9, $H$13)^2 * COS(RADIANS(IF(ISBLANK($J$4), $D$10, $H$14)))^2) + IF(ISBLANK($J$4), $D$8, $H$9), 0)</f>
        <v>0.78861337084799088</v>
      </c>
    </row>
    <row r="145" spans="4:6" x14ac:dyDescent="0.25">
      <c r="D145" s="178">
        <v>63</v>
      </c>
      <c r="E145" s="56">
        <f t="shared" si="1"/>
        <v>0.63</v>
      </c>
      <c r="F145" s="179">
        <f>IF(E145*TAN(RADIANS(IF(ISBLANK($J$4), $D$10, $H$14))) - ($B$5*E145^2)/(2*IF(ISBLANK($J$4), $D$9, $H$13)^2 * COS(RADIANS(IF(ISBLANK($J$4), $D$10, $H$14)))^2) + IF(ISBLANK($J$4), $D$8, $H$9)&gt;=0, E145*TAN(RADIANS(IF(ISBLANK($J$4), $D$10, $H$14))) - ($B$5*E145^2)/(2*IF(ISBLANK($J$4), $D$9, $H$13)^2 * COS(RADIANS(IF(ISBLANK($J$4), $D$10, $H$14)))^2) + IF(ISBLANK($J$4), $D$8, $H$9), 0)</f>
        <v>0.79246670878786996</v>
      </c>
    </row>
    <row r="146" spans="4:6" x14ac:dyDescent="0.25">
      <c r="D146" s="178">
        <v>64</v>
      </c>
      <c r="E146" s="56">
        <f t="shared" ref="E146:E177" si="2">IF(ISBLANK($J$4), $D$7, $H$7)/100*D146</f>
        <v>0.64</v>
      </c>
      <c r="F146" s="179">
        <f>IF(E146*TAN(RADIANS(IF(ISBLANK($J$4), $D$10, $H$14))) - ($B$5*E146^2)/(2*IF(ISBLANK($J$4), $D$9, $H$13)^2 * COS(RADIANS(IF(ISBLANK($J$4), $D$10, $H$14)))^2) + IF(ISBLANK($J$4), $D$8, $H$9)&gt;=0, E146*TAN(RADIANS(IF(ISBLANK($J$4), $D$10, $H$14))) - ($B$5*E146^2)/(2*IF(ISBLANK($J$4), $D$9, $H$13)^2 * COS(RADIANS(IF(ISBLANK($J$4), $D$10, $H$14)))^2) + IF(ISBLANK($J$4), $D$8, $H$9), 0)</f>
        <v>0.79603857902750563</v>
      </c>
    </row>
    <row r="147" spans="4:6" x14ac:dyDescent="0.25">
      <c r="D147" s="178">
        <v>65</v>
      </c>
      <c r="E147" s="56">
        <f t="shared" si="2"/>
        <v>0.65</v>
      </c>
      <c r="F147" s="179">
        <f>IF(E147*TAN(RADIANS(IF(ISBLANK($J$4), $D$10, $H$14))) - ($B$5*E147^2)/(2*IF(ISBLANK($J$4), $D$9, $H$13)^2 * COS(RADIANS(IF(ISBLANK($J$4), $D$10, $H$14)))^2) + IF(ISBLANK($J$4), $D$8, $H$9)&gt;=0, E147*TAN(RADIANS(IF(ISBLANK($J$4), $D$10, $H$14))) - ($B$5*E147^2)/(2*IF(ISBLANK($J$4), $D$9, $H$13)^2 * COS(RADIANS(IF(ISBLANK($J$4), $D$10, $H$14)))^2) + IF(ISBLANK($J$4), $D$8, $H$9), 0)</f>
        <v>0.7993289815668978</v>
      </c>
    </row>
    <row r="148" spans="4:6" x14ac:dyDescent="0.25">
      <c r="D148" s="178">
        <v>66</v>
      </c>
      <c r="E148" s="56">
        <f t="shared" si="2"/>
        <v>0.66</v>
      </c>
      <c r="F148" s="179">
        <f>IF(E148*TAN(RADIANS(IF(ISBLANK($J$4), $D$10, $H$14))) - ($B$5*E148^2)/(2*IF(ISBLANK($J$4), $D$9, $H$13)^2 * COS(RADIANS(IF(ISBLANK($J$4), $D$10, $H$14)))^2) + IF(ISBLANK($J$4), $D$8, $H$9)&gt;=0, E148*TAN(RADIANS(IF(ISBLANK($J$4), $D$10, $H$14))) - ($B$5*E148^2)/(2*IF(ISBLANK($J$4), $D$9, $H$13)^2 * COS(RADIANS(IF(ISBLANK($J$4), $D$10, $H$14)))^2) + IF(ISBLANK($J$4), $D$8, $H$9), 0)</f>
        <v>0.80233791640604668</v>
      </c>
    </row>
    <row r="149" spans="4:6" x14ac:dyDescent="0.25">
      <c r="D149" s="178">
        <v>67</v>
      </c>
      <c r="E149" s="56">
        <f t="shared" si="2"/>
        <v>0.67</v>
      </c>
      <c r="F149" s="179">
        <f>IF(E149*TAN(RADIANS(IF(ISBLANK($J$4), $D$10, $H$14))) - ($B$5*E149^2)/(2*IF(ISBLANK($J$4), $D$9, $H$13)^2 * COS(RADIANS(IF(ISBLANK($J$4), $D$10, $H$14)))^2) + IF(ISBLANK($J$4), $D$8, $H$9)&gt;=0, E149*TAN(RADIANS(IF(ISBLANK($J$4), $D$10, $H$14))) - ($B$5*E149^2)/(2*IF(ISBLANK($J$4), $D$9, $H$13)^2 * COS(RADIANS(IF(ISBLANK($J$4), $D$10, $H$14)))^2) + IF(ISBLANK($J$4), $D$8, $H$9), 0)</f>
        <v>0.80506538354495194</v>
      </c>
    </row>
    <row r="150" spans="4:6" x14ac:dyDescent="0.25">
      <c r="D150" s="178">
        <v>68</v>
      </c>
      <c r="E150" s="56">
        <f t="shared" si="2"/>
        <v>0.68</v>
      </c>
      <c r="F150" s="179">
        <f>IF(E150*TAN(RADIANS(IF(ISBLANK($J$4), $D$10, $H$14))) - ($B$5*E150^2)/(2*IF(ISBLANK($J$4), $D$9, $H$13)^2 * COS(RADIANS(IF(ISBLANK($J$4), $D$10, $H$14)))^2) + IF(ISBLANK($J$4), $D$8, $H$9)&gt;=0, E150*TAN(RADIANS(IF(ISBLANK($J$4), $D$10, $H$14))) - ($B$5*E150^2)/(2*IF(ISBLANK($J$4), $D$9, $H$13)^2 * COS(RADIANS(IF(ISBLANK($J$4), $D$10, $H$14)))^2) + IF(ISBLANK($J$4), $D$8, $H$9), 0)</f>
        <v>0.8075113829836138</v>
      </c>
    </row>
    <row r="151" spans="4:6" x14ac:dyDescent="0.25">
      <c r="D151" s="178">
        <v>69</v>
      </c>
      <c r="E151" s="56">
        <f t="shared" si="2"/>
        <v>0.69000000000000006</v>
      </c>
      <c r="F151" s="179">
        <f>IF(E151*TAN(RADIANS(IF(ISBLANK($J$4), $D$10, $H$14))) - ($B$5*E151^2)/(2*IF(ISBLANK($J$4), $D$9, $H$13)^2 * COS(RADIANS(IF(ISBLANK($J$4), $D$10, $H$14)))^2) + IF(ISBLANK($J$4), $D$8, $H$9)&gt;=0, E151*TAN(RADIANS(IF(ISBLANK($J$4), $D$10, $H$14))) - ($B$5*E151^2)/(2*IF(ISBLANK($J$4), $D$9, $H$13)^2 * COS(RADIANS(IF(ISBLANK($J$4), $D$10, $H$14)))^2) + IF(ISBLANK($J$4), $D$8, $H$9), 0)</f>
        <v>0.80967591472203215</v>
      </c>
    </row>
    <row r="152" spans="4:6" x14ac:dyDescent="0.25">
      <c r="D152" s="178">
        <v>70</v>
      </c>
      <c r="E152" s="56">
        <f t="shared" si="2"/>
        <v>0.70000000000000007</v>
      </c>
      <c r="F152" s="179">
        <f>IF(E152*TAN(RADIANS(IF(ISBLANK($J$4), $D$10, $H$14))) - ($B$5*E152^2)/(2*IF(ISBLANK($J$4), $D$9, $H$13)^2 * COS(RADIANS(IF(ISBLANK($J$4), $D$10, $H$14)))^2) + IF(ISBLANK($J$4), $D$8, $H$9)&gt;=0, E152*TAN(RADIANS(IF(ISBLANK($J$4), $D$10, $H$14))) - ($B$5*E152^2)/(2*IF(ISBLANK($J$4), $D$9, $H$13)^2 * COS(RADIANS(IF(ISBLANK($J$4), $D$10, $H$14)))^2) + IF(ISBLANK($J$4), $D$8, $H$9), 0)</f>
        <v>0.81155897876020699</v>
      </c>
    </row>
    <row r="153" spans="4:6" x14ac:dyDescent="0.25">
      <c r="D153" s="178">
        <v>71</v>
      </c>
      <c r="E153" s="56">
        <f t="shared" si="2"/>
        <v>0.71</v>
      </c>
      <c r="F153" s="179">
        <f>IF(E153*TAN(RADIANS(IF(ISBLANK($J$4), $D$10, $H$14))) - ($B$5*E153^2)/(2*IF(ISBLANK($J$4), $D$9, $H$13)^2 * COS(RADIANS(IF(ISBLANK($J$4), $D$10, $H$14)))^2) + IF(ISBLANK($J$4), $D$8, $H$9)&gt;=0, E153*TAN(RADIANS(IF(ISBLANK($J$4), $D$10, $H$14))) - ($B$5*E153^2)/(2*IF(ISBLANK($J$4), $D$9, $H$13)^2 * COS(RADIANS(IF(ISBLANK($J$4), $D$10, $H$14)))^2) + IF(ISBLANK($J$4), $D$8, $H$9), 0)</f>
        <v>0.81316057509813844</v>
      </c>
    </row>
    <row r="154" spans="4:6" x14ac:dyDescent="0.25">
      <c r="D154" s="178">
        <v>72</v>
      </c>
      <c r="E154" s="56">
        <f t="shared" si="2"/>
        <v>0.72</v>
      </c>
      <c r="F154" s="179">
        <f>IF(E154*TAN(RADIANS(IF(ISBLANK($J$4), $D$10, $H$14))) - ($B$5*E154^2)/(2*IF(ISBLANK($J$4), $D$9, $H$13)^2 * COS(RADIANS(IF(ISBLANK($J$4), $D$10, $H$14)))^2) + IF(ISBLANK($J$4), $D$8, $H$9)&gt;=0, E154*TAN(RADIANS(IF(ISBLANK($J$4), $D$10, $H$14))) - ($B$5*E154^2)/(2*IF(ISBLANK($J$4), $D$9, $H$13)^2 * COS(RADIANS(IF(ISBLANK($J$4), $D$10, $H$14)))^2) + IF(ISBLANK($J$4), $D$8, $H$9), 0)</f>
        <v>0.81448070373582648</v>
      </c>
    </row>
    <row r="155" spans="4:6" x14ac:dyDescent="0.25">
      <c r="D155" s="178">
        <v>73</v>
      </c>
      <c r="E155" s="56">
        <f t="shared" si="2"/>
        <v>0.73</v>
      </c>
      <c r="F155" s="179">
        <f>IF(E155*TAN(RADIANS(IF(ISBLANK($J$4), $D$10, $H$14))) - ($B$5*E155^2)/(2*IF(ISBLANK($J$4), $D$9, $H$13)^2 * COS(RADIANS(IF(ISBLANK($J$4), $D$10, $H$14)))^2) + IF(ISBLANK($J$4), $D$8, $H$9)&gt;=0, E155*TAN(RADIANS(IF(ISBLANK($J$4), $D$10, $H$14))) - ($B$5*E155^2)/(2*IF(ISBLANK($J$4), $D$9, $H$13)^2 * COS(RADIANS(IF(ISBLANK($J$4), $D$10, $H$14)))^2) + IF(ISBLANK($J$4), $D$8, $H$9), 0)</f>
        <v>0.81551936467327102</v>
      </c>
    </row>
    <row r="156" spans="4:6" x14ac:dyDescent="0.25">
      <c r="D156" s="178">
        <v>74</v>
      </c>
      <c r="E156" s="56">
        <f t="shared" si="2"/>
        <v>0.74</v>
      </c>
      <c r="F156" s="179">
        <f>IF(E156*TAN(RADIANS(IF(ISBLANK($J$4), $D$10, $H$14))) - ($B$5*E156^2)/(2*IF(ISBLANK($J$4), $D$9, $H$13)^2 * COS(RADIANS(IF(ISBLANK($J$4), $D$10, $H$14)))^2) + IF(ISBLANK($J$4), $D$8, $H$9)&gt;=0, E156*TAN(RADIANS(IF(ISBLANK($J$4), $D$10, $H$14))) - ($B$5*E156^2)/(2*IF(ISBLANK($J$4), $D$9, $H$13)^2 * COS(RADIANS(IF(ISBLANK($J$4), $D$10, $H$14)))^2) + IF(ISBLANK($J$4), $D$8, $H$9), 0)</f>
        <v>0.81627655791047216</v>
      </c>
    </row>
    <row r="157" spans="4:6" x14ac:dyDescent="0.25">
      <c r="D157" s="178">
        <v>75</v>
      </c>
      <c r="E157" s="56">
        <f t="shared" si="2"/>
        <v>0.75</v>
      </c>
      <c r="F157" s="179">
        <f>IF(E157*TAN(RADIANS(IF(ISBLANK($J$4), $D$10, $H$14))) - ($B$5*E157^2)/(2*IF(ISBLANK($J$4), $D$9, $H$13)^2 * COS(RADIANS(IF(ISBLANK($J$4), $D$10, $H$14)))^2) + IF(ISBLANK($J$4), $D$8, $H$9)&gt;=0, E157*TAN(RADIANS(IF(ISBLANK($J$4), $D$10, $H$14))) - ($B$5*E157^2)/(2*IF(ISBLANK($J$4), $D$9, $H$13)^2 * COS(RADIANS(IF(ISBLANK($J$4), $D$10, $H$14)))^2) + IF(ISBLANK($J$4), $D$8, $H$9), 0)</f>
        <v>0.81675228344742989</v>
      </c>
    </row>
    <row r="158" spans="4:6" x14ac:dyDescent="0.25">
      <c r="D158" s="178">
        <v>76</v>
      </c>
      <c r="E158" s="56">
        <f t="shared" si="2"/>
        <v>0.76</v>
      </c>
      <c r="F158" s="179">
        <f>IF(E158*TAN(RADIANS(IF(ISBLANK($J$4), $D$10, $H$14))) - ($B$5*E158^2)/(2*IF(ISBLANK($J$4), $D$9, $H$13)^2 * COS(RADIANS(IF(ISBLANK($J$4), $D$10, $H$14)))^2) + IF(ISBLANK($J$4), $D$8, $H$9)&gt;=0, E158*TAN(RADIANS(IF(ISBLANK($J$4), $D$10, $H$14))) - ($B$5*E158^2)/(2*IF(ISBLANK($J$4), $D$9, $H$13)^2 * COS(RADIANS(IF(ISBLANK($J$4), $D$10, $H$14)))^2) + IF(ISBLANK($J$4), $D$8, $H$9), 0)</f>
        <v>0.81694654128414401</v>
      </c>
    </row>
    <row r="159" spans="4:6" x14ac:dyDescent="0.25">
      <c r="D159" s="178">
        <v>77</v>
      </c>
      <c r="E159" s="56">
        <f t="shared" si="2"/>
        <v>0.77</v>
      </c>
      <c r="F159" s="179">
        <f>IF(E159*TAN(RADIANS(IF(ISBLANK($J$4), $D$10, $H$14))) - ($B$5*E159^2)/(2*IF(ISBLANK($J$4), $D$9, $H$13)^2 * COS(RADIANS(IF(ISBLANK($J$4), $D$10, $H$14)))^2) + IF(ISBLANK($J$4), $D$8, $H$9)&gt;=0, E159*TAN(RADIANS(IF(ISBLANK($J$4), $D$10, $H$14))) - ($B$5*E159^2)/(2*IF(ISBLANK($J$4), $D$9, $H$13)^2 * COS(RADIANS(IF(ISBLANK($J$4), $D$10, $H$14)))^2) + IF(ISBLANK($J$4), $D$8, $H$9), 0)</f>
        <v>0.81685933142061473</v>
      </c>
    </row>
    <row r="160" spans="4:6" x14ac:dyDescent="0.25">
      <c r="D160" s="178">
        <v>78</v>
      </c>
      <c r="E160" s="56">
        <f t="shared" si="2"/>
        <v>0.78</v>
      </c>
      <c r="F160" s="179">
        <f>IF(E160*TAN(RADIANS(IF(ISBLANK($J$4), $D$10, $H$14))) - ($B$5*E160^2)/(2*IF(ISBLANK($J$4), $D$9, $H$13)^2 * COS(RADIANS(IF(ISBLANK($J$4), $D$10, $H$14)))^2) + IF(ISBLANK($J$4), $D$8, $H$9)&gt;=0, E160*TAN(RADIANS(IF(ISBLANK($J$4), $D$10, $H$14))) - ($B$5*E160^2)/(2*IF(ISBLANK($J$4), $D$9, $H$13)^2 * COS(RADIANS(IF(ISBLANK($J$4), $D$10, $H$14)))^2) + IF(ISBLANK($J$4), $D$8, $H$9), 0)</f>
        <v>0.81649065385684183</v>
      </c>
    </row>
    <row r="161" spans="4:6" x14ac:dyDescent="0.25">
      <c r="D161" s="178">
        <v>79</v>
      </c>
      <c r="E161" s="56">
        <f t="shared" si="2"/>
        <v>0.79</v>
      </c>
      <c r="F161" s="179">
        <f>IF(E161*TAN(RADIANS(IF(ISBLANK($J$4), $D$10, $H$14))) - ($B$5*E161^2)/(2*IF(ISBLANK($J$4), $D$9, $H$13)^2 * COS(RADIANS(IF(ISBLANK($J$4), $D$10, $H$14)))^2) + IF(ISBLANK($J$4), $D$8, $H$9)&gt;=0, E161*TAN(RADIANS(IF(ISBLANK($J$4), $D$10, $H$14))) - ($B$5*E161^2)/(2*IF(ISBLANK($J$4), $D$9, $H$13)^2 * COS(RADIANS(IF(ISBLANK($J$4), $D$10, $H$14)))^2) + IF(ISBLANK($J$4), $D$8, $H$9), 0)</f>
        <v>0.81584050859282553</v>
      </c>
    </row>
    <row r="162" spans="4:6" x14ac:dyDescent="0.25">
      <c r="D162" s="178">
        <v>80</v>
      </c>
      <c r="E162" s="56">
        <f t="shared" si="2"/>
        <v>0.8</v>
      </c>
      <c r="F162" s="179">
        <f>IF(E162*TAN(RADIANS(IF(ISBLANK($J$4), $D$10, $H$14))) - ($B$5*E162^2)/(2*IF(ISBLANK($J$4), $D$9, $H$13)^2 * COS(RADIANS(IF(ISBLANK($J$4), $D$10, $H$14)))^2) + IF(ISBLANK($J$4), $D$8, $H$9)&gt;=0, E162*TAN(RADIANS(IF(ISBLANK($J$4), $D$10, $H$14))) - ($B$5*E162^2)/(2*IF(ISBLANK($J$4), $D$9, $H$13)^2 * COS(RADIANS(IF(ISBLANK($J$4), $D$10, $H$14)))^2) + IF(ISBLANK($J$4), $D$8, $H$9), 0)</f>
        <v>0.81490889562856572</v>
      </c>
    </row>
    <row r="163" spans="4:6" x14ac:dyDescent="0.25">
      <c r="D163" s="178">
        <v>81</v>
      </c>
      <c r="E163" s="56">
        <f t="shared" si="2"/>
        <v>0.81</v>
      </c>
      <c r="F163" s="179">
        <f>IF(E163*TAN(RADIANS(IF(ISBLANK($J$4), $D$10, $H$14))) - ($B$5*E163^2)/(2*IF(ISBLANK($J$4), $D$9, $H$13)^2 * COS(RADIANS(IF(ISBLANK($J$4), $D$10, $H$14)))^2) + IF(ISBLANK($J$4), $D$8, $H$9)&gt;=0, E163*TAN(RADIANS(IF(ISBLANK($J$4), $D$10, $H$14))) - ($B$5*E163^2)/(2*IF(ISBLANK($J$4), $D$9, $H$13)^2 * COS(RADIANS(IF(ISBLANK($J$4), $D$10, $H$14)))^2) + IF(ISBLANK($J$4), $D$8, $H$9), 0)</f>
        <v>0.81369581496406262</v>
      </c>
    </row>
    <row r="164" spans="4:6" x14ac:dyDescent="0.25">
      <c r="D164" s="178">
        <v>82</v>
      </c>
      <c r="E164" s="56">
        <f t="shared" si="2"/>
        <v>0.82000000000000006</v>
      </c>
      <c r="F164" s="179">
        <f>IF(E164*TAN(RADIANS(IF(ISBLANK($J$4), $D$10, $H$14))) - ($B$5*E164^2)/(2*IF(ISBLANK($J$4), $D$9, $H$13)^2 * COS(RADIANS(IF(ISBLANK($J$4), $D$10, $H$14)))^2) + IF(ISBLANK($J$4), $D$8, $H$9)&gt;=0, E164*TAN(RADIANS(IF(ISBLANK($J$4), $D$10, $H$14))) - ($B$5*E164^2)/(2*IF(ISBLANK($J$4), $D$9, $H$13)^2 * COS(RADIANS(IF(ISBLANK($J$4), $D$10, $H$14)))^2) + IF(ISBLANK($J$4), $D$8, $H$9), 0)</f>
        <v>0.81220126659931591</v>
      </c>
    </row>
    <row r="165" spans="4:6" x14ac:dyDescent="0.25">
      <c r="D165" s="178">
        <v>83</v>
      </c>
      <c r="E165" s="56">
        <f t="shared" si="2"/>
        <v>0.83000000000000007</v>
      </c>
      <c r="F165" s="179">
        <f>IF(E165*TAN(RADIANS(IF(ISBLANK($J$4), $D$10, $H$14))) - ($B$5*E165^2)/(2*IF(ISBLANK($J$4), $D$9, $H$13)^2 * COS(RADIANS(IF(ISBLANK($J$4), $D$10, $H$14)))^2) + IF(ISBLANK($J$4), $D$8, $H$9)&gt;=0, E165*TAN(RADIANS(IF(ISBLANK($J$4), $D$10, $H$14))) - ($B$5*E165^2)/(2*IF(ISBLANK($J$4), $D$9, $H$13)^2 * COS(RADIANS(IF(ISBLANK($J$4), $D$10, $H$14)))^2) + IF(ISBLANK($J$4), $D$8, $H$9), 0)</f>
        <v>0.81042525053432601</v>
      </c>
    </row>
    <row r="166" spans="4:6" x14ac:dyDescent="0.25">
      <c r="D166" s="178">
        <v>84</v>
      </c>
      <c r="E166" s="56">
        <f t="shared" si="2"/>
        <v>0.84</v>
      </c>
      <c r="F166" s="179">
        <f>IF(E166*TAN(RADIANS(IF(ISBLANK($J$4), $D$10, $H$14))) - ($B$5*E166^2)/(2*IF(ISBLANK($J$4), $D$9, $H$13)^2 * COS(RADIANS(IF(ISBLANK($J$4), $D$10, $H$14)))^2) + IF(ISBLANK($J$4), $D$8, $H$9)&gt;=0, E166*TAN(RADIANS(IF(ISBLANK($J$4), $D$10, $H$14))) - ($B$5*E166^2)/(2*IF(ISBLANK($J$4), $D$9, $H$13)^2 * COS(RADIANS(IF(ISBLANK($J$4), $D$10, $H$14)))^2) + IF(ISBLANK($J$4), $D$8, $H$9), 0)</f>
        <v>0.80836776676909239</v>
      </c>
    </row>
    <row r="167" spans="4:6" x14ac:dyDescent="0.25">
      <c r="D167" s="178">
        <v>85</v>
      </c>
      <c r="E167" s="56">
        <f t="shared" si="2"/>
        <v>0.85</v>
      </c>
      <c r="F167" s="179">
        <f>IF(E167*TAN(RADIANS(IF(ISBLANK($J$4), $D$10, $H$14))) - ($B$5*E167^2)/(2*IF(ISBLANK($J$4), $D$9, $H$13)^2 * COS(RADIANS(IF(ISBLANK($J$4), $D$10, $H$14)))^2) + IF(ISBLANK($J$4), $D$8, $H$9)&gt;=0, E167*TAN(RADIANS(IF(ISBLANK($J$4), $D$10, $H$14))) - ($B$5*E167^2)/(2*IF(ISBLANK($J$4), $D$9, $H$13)^2 * COS(RADIANS(IF(ISBLANK($J$4), $D$10, $H$14)))^2) + IF(ISBLANK($J$4), $D$8, $H$9), 0)</f>
        <v>0.80602881530361548</v>
      </c>
    </row>
    <row r="168" spans="4:6" x14ac:dyDescent="0.25">
      <c r="D168" s="178">
        <v>86</v>
      </c>
      <c r="E168" s="56">
        <f t="shared" si="2"/>
        <v>0.86</v>
      </c>
      <c r="F168" s="179">
        <f>IF(E168*TAN(RADIANS(IF(ISBLANK($J$4), $D$10, $H$14))) - ($B$5*E168^2)/(2*IF(ISBLANK($J$4), $D$9, $H$13)^2 * COS(RADIANS(IF(ISBLANK($J$4), $D$10, $H$14)))^2) + IF(ISBLANK($J$4), $D$8, $H$9)&gt;=0, E168*TAN(RADIANS(IF(ISBLANK($J$4), $D$10, $H$14))) - ($B$5*E168^2)/(2*IF(ISBLANK($J$4), $D$9, $H$13)^2 * COS(RADIANS(IF(ISBLANK($J$4), $D$10, $H$14)))^2) + IF(ISBLANK($J$4), $D$8, $H$9), 0)</f>
        <v>0.80340839613789483</v>
      </c>
    </row>
    <row r="169" spans="4:6" x14ac:dyDescent="0.25">
      <c r="D169" s="178">
        <v>87</v>
      </c>
      <c r="E169" s="56">
        <f t="shared" si="2"/>
        <v>0.87</v>
      </c>
      <c r="F169" s="179">
        <f>IF(E169*TAN(RADIANS(IF(ISBLANK($J$4), $D$10, $H$14))) - ($B$5*E169^2)/(2*IF(ISBLANK($J$4), $D$9, $H$13)^2 * COS(RADIANS(IF(ISBLANK($J$4), $D$10, $H$14)))^2) + IF(ISBLANK($J$4), $D$8, $H$9)&gt;=0, E169*TAN(RADIANS(IF(ISBLANK($J$4), $D$10, $H$14))) - ($B$5*E169^2)/(2*IF(ISBLANK($J$4), $D$9, $H$13)^2 * COS(RADIANS(IF(ISBLANK($J$4), $D$10, $H$14)))^2) + IF(ISBLANK($J$4), $D$8, $H$9), 0)</f>
        <v>0.80050650927193079</v>
      </c>
    </row>
    <row r="170" spans="4:6" x14ac:dyDescent="0.25">
      <c r="D170" s="178">
        <v>88</v>
      </c>
      <c r="E170" s="56">
        <f t="shared" si="2"/>
        <v>0.88</v>
      </c>
      <c r="F170" s="179">
        <f>IF(E170*TAN(RADIANS(IF(ISBLANK($J$4), $D$10, $H$14))) - ($B$5*E170^2)/(2*IF(ISBLANK($J$4), $D$9, $H$13)^2 * COS(RADIANS(IF(ISBLANK($J$4), $D$10, $H$14)))^2) + IF(ISBLANK($J$4), $D$8, $H$9)&gt;=0, E170*TAN(RADIANS(IF(ISBLANK($J$4), $D$10, $H$14))) - ($B$5*E170^2)/(2*IF(ISBLANK($J$4), $D$9, $H$13)^2 * COS(RADIANS(IF(ISBLANK($J$4), $D$10, $H$14)))^2) + IF(ISBLANK($J$4), $D$8, $H$9), 0)</f>
        <v>0.79732315470572357</v>
      </c>
    </row>
    <row r="171" spans="4:6" x14ac:dyDescent="0.25">
      <c r="D171" s="178">
        <v>89</v>
      </c>
      <c r="E171" s="56">
        <f t="shared" si="2"/>
        <v>0.89</v>
      </c>
      <c r="F171" s="179">
        <f>IF(E171*TAN(RADIANS(IF(ISBLANK($J$4), $D$10, $H$14))) - ($B$5*E171^2)/(2*IF(ISBLANK($J$4), $D$9, $H$13)^2 * COS(RADIANS(IF(ISBLANK($J$4), $D$10, $H$14)))^2) + IF(ISBLANK($J$4), $D$8, $H$9)&gt;=0, E171*TAN(RADIANS(IF(ISBLANK($J$4), $D$10, $H$14))) - ($B$5*E171^2)/(2*IF(ISBLANK($J$4), $D$9, $H$13)^2 * COS(RADIANS(IF(ISBLANK($J$4), $D$10, $H$14)))^2) + IF(ISBLANK($J$4), $D$8, $H$9), 0)</f>
        <v>0.79385833243927251</v>
      </c>
    </row>
    <row r="172" spans="4:6" x14ac:dyDescent="0.25">
      <c r="D172" s="178">
        <v>90</v>
      </c>
      <c r="E172" s="56">
        <f t="shared" si="2"/>
        <v>0.9</v>
      </c>
      <c r="F172" s="179">
        <f>IF(E172*TAN(RADIANS(IF(ISBLANK($J$4), $D$10, $H$14))) - ($B$5*E172^2)/(2*IF(ISBLANK($J$4), $D$9, $H$13)^2 * COS(RADIANS(IF(ISBLANK($J$4), $D$10, $H$14)))^2) + IF(ISBLANK($J$4), $D$8, $H$9)&gt;=0, E172*TAN(RADIANS(IF(ISBLANK($J$4), $D$10, $H$14))) - ($B$5*E172^2)/(2*IF(ISBLANK($J$4), $D$9, $H$13)^2 * COS(RADIANS(IF(ISBLANK($J$4), $D$10, $H$14)))^2) + IF(ISBLANK($J$4), $D$8, $H$9), 0)</f>
        <v>0.79011204247257805</v>
      </c>
    </row>
    <row r="173" spans="4:6" x14ac:dyDescent="0.25">
      <c r="D173" s="178">
        <v>91</v>
      </c>
      <c r="E173" s="56">
        <f t="shared" si="2"/>
        <v>0.91</v>
      </c>
      <c r="F173" s="179">
        <f>IF(E173*TAN(RADIANS(IF(ISBLANK($J$4), $D$10, $H$14))) - ($B$5*E173^2)/(2*IF(ISBLANK($J$4), $D$9, $H$13)^2 * COS(RADIANS(IF(ISBLANK($J$4), $D$10, $H$14)))^2) + IF(ISBLANK($J$4), $D$8, $H$9)&gt;=0, E173*TAN(RADIANS(IF(ISBLANK($J$4), $D$10, $H$14))) - ($B$5*E173^2)/(2*IF(ISBLANK($J$4), $D$9, $H$13)^2 * COS(RADIANS(IF(ISBLANK($J$4), $D$10, $H$14)))^2) + IF(ISBLANK($J$4), $D$8, $H$9), 0)</f>
        <v>0.78608428480564041</v>
      </c>
    </row>
    <row r="174" spans="4:6" x14ac:dyDescent="0.25">
      <c r="D174" s="178">
        <v>92</v>
      </c>
      <c r="E174" s="56">
        <f t="shared" si="2"/>
        <v>0.92</v>
      </c>
      <c r="F174" s="179">
        <f>IF(E174*TAN(RADIANS(IF(ISBLANK($J$4), $D$10, $H$14))) - ($B$5*E174^2)/(2*IF(ISBLANK($J$4), $D$9, $H$13)^2 * COS(RADIANS(IF(ISBLANK($J$4), $D$10, $H$14)))^2) + IF(ISBLANK($J$4), $D$8, $H$9)&gt;=0, E174*TAN(RADIANS(IF(ISBLANK($J$4), $D$10, $H$14))) - ($B$5*E174^2)/(2*IF(ISBLANK($J$4), $D$9, $H$13)^2 * COS(RADIANS(IF(ISBLANK($J$4), $D$10, $H$14)))^2) + IF(ISBLANK($J$4), $D$8, $H$9), 0)</f>
        <v>0.78177505943845937</v>
      </c>
    </row>
    <row r="175" spans="4:6" x14ac:dyDescent="0.25">
      <c r="D175" s="178">
        <v>93</v>
      </c>
      <c r="E175" s="56">
        <f t="shared" si="2"/>
        <v>0.93</v>
      </c>
      <c r="F175" s="179">
        <f>IF(E175*TAN(RADIANS(IF(ISBLANK($J$4), $D$10, $H$14))) - ($B$5*E175^2)/(2*IF(ISBLANK($J$4), $D$9, $H$13)^2 * COS(RADIANS(IF(ISBLANK($J$4), $D$10, $H$14)))^2) + IF(ISBLANK($J$4), $D$8, $H$9)&gt;=0, E175*TAN(RADIANS(IF(ISBLANK($J$4), $D$10, $H$14))) - ($B$5*E175^2)/(2*IF(ISBLANK($J$4), $D$9, $H$13)^2 * COS(RADIANS(IF(ISBLANK($J$4), $D$10, $H$14)))^2) + IF(ISBLANK($J$4), $D$8, $H$9), 0)</f>
        <v>0.7771843663710345</v>
      </c>
    </row>
    <row r="176" spans="4:6" x14ac:dyDescent="0.25">
      <c r="D176" s="178">
        <v>94</v>
      </c>
      <c r="E176" s="56">
        <f t="shared" si="2"/>
        <v>0.94000000000000006</v>
      </c>
      <c r="F176" s="179">
        <f>IF(E176*TAN(RADIANS(IF(ISBLANK($J$4), $D$10, $H$14))) - ($B$5*E176^2)/(2*IF(ISBLANK($J$4), $D$9, $H$13)^2 * COS(RADIANS(IF(ISBLANK($J$4), $D$10, $H$14)))^2) + IF(ISBLANK($J$4), $D$8, $H$9)&gt;=0, E176*TAN(RADIANS(IF(ISBLANK($J$4), $D$10, $H$14))) - ($B$5*E176^2)/(2*IF(ISBLANK($J$4), $D$9, $H$13)^2 * COS(RADIANS(IF(ISBLANK($J$4), $D$10, $H$14)))^2) + IF(ISBLANK($J$4), $D$8, $H$9), 0)</f>
        <v>0.772312205603366</v>
      </c>
    </row>
    <row r="177" spans="4:6" x14ac:dyDescent="0.25">
      <c r="D177" s="178">
        <v>95</v>
      </c>
      <c r="E177" s="56">
        <f t="shared" si="2"/>
        <v>0.95000000000000007</v>
      </c>
      <c r="F177" s="179">
        <f>IF(E177*TAN(RADIANS(IF(ISBLANK($J$4), $D$10, $H$14))) - ($B$5*E177^2)/(2*IF(ISBLANK($J$4), $D$9, $H$13)^2 * COS(RADIANS(IF(ISBLANK($J$4), $D$10, $H$14)))^2) + IF(ISBLANK($J$4), $D$8, $H$9)&gt;=0, E177*TAN(RADIANS(IF(ISBLANK($J$4), $D$10, $H$14))) - ($B$5*E177^2)/(2*IF(ISBLANK($J$4), $D$9, $H$13)^2 * COS(RADIANS(IF(ISBLANK($J$4), $D$10, $H$14)))^2) + IF(ISBLANK($J$4), $D$8, $H$9), 0)</f>
        <v>0.76715857713545477</v>
      </c>
    </row>
    <row r="178" spans="4:6" x14ac:dyDescent="0.25">
      <c r="D178" s="178">
        <v>96</v>
      </c>
      <c r="E178" s="56">
        <f>IF(ISBLANK($J$4), $D$7, $H$7)/100*D178</f>
        <v>0.96</v>
      </c>
      <c r="F178" s="179">
        <f>IF(E178*TAN(RADIANS(IF(ISBLANK($J$4), $D$10, $H$14))) - ($B$5*E178^2)/(2*IF(ISBLANK($J$4), $D$9, $H$13)^2 * COS(RADIANS(IF(ISBLANK($J$4), $D$10, $H$14)))^2) + IF(ISBLANK($J$4), $D$8, $H$9)&gt;=0, E178*TAN(RADIANS(IF(ISBLANK($J$4), $D$10, $H$14))) - ($B$5*E178^2)/(2*IF(ISBLANK($J$4), $D$9, $H$13)^2 * COS(RADIANS(IF(ISBLANK($J$4), $D$10, $H$14)))^2) + IF(ISBLANK($J$4), $D$8, $H$9), 0)</f>
        <v>0.76172348096729947</v>
      </c>
    </row>
    <row r="179" spans="4:6" x14ac:dyDescent="0.25">
      <c r="D179" s="178">
        <v>97</v>
      </c>
      <c r="E179" s="56">
        <f>IF(ISBLANK($J$4), $D$7, $H$7)/100*D179</f>
        <v>0.97</v>
      </c>
      <c r="F179" s="179">
        <f>IF(E179*TAN(RADIANS(IF(ISBLANK($J$4), $D$10, $H$14))) - ($B$5*E179^2)/(2*IF(ISBLANK($J$4), $D$9, $H$13)^2 * COS(RADIANS(IF(ISBLANK($J$4), $D$10, $H$14)))^2) + IF(ISBLANK($J$4), $D$8, $H$9)&gt;=0, E179*TAN(RADIANS(IF(ISBLANK($J$4), $D$10, $H$14))) - ($B$5*E179^2)/(2*IF(ISBLANK($J$4), $D$9, $H$13)^2 * COS(RADIANS(IF(ISBLANK($J$4), $D$10, $H$14)))^2) + IF(ISBLANK($J$4), $D$8, $H$9), 0)</f>
        <v>0.75600691709890078</v>
      </c>
    </row>
    <row r="180" spans="4:6" x14ac:dyDescent="0.25">
      <c r="D180" s="178">
        <v>98</v>
      </c>
      <c r="E180" s="56">
        <f>IF(ISBLANK($J$4), $D$7, $H$7)/100*D180</f>
        <v>0.98</v>
      </c>
      <c r="F180" s="179">
        <f>IF(E180*TAN(RADIANS(IF(ISBLANK($J$4), $D$10, $H$14))) - ($B$5*E180^2)/(2*IF(ISBLANK($J$4), $D$9, $H$13)^2 * COS(RADIANS(IF(ISBLANK($J$4), $D$10, $H$14)))^2) + IF(ISBLANK($J$4), $D$8, $H$9)&gt;=0, E180*TAN(RADIANS(IF(ISBLANK($J$4), $D$10, $H$14))) - ($B$5*E180^2)/(2*IF(ISBLANK($J$4), $D$9, $H$13)^2 * COS(RADIANS(IF(ISBLANK($J$4), $D$10, $H$14)))^2) + IF(ISBLANK($J$4), $D$8, $H$9), 0)</f>
        <v>0.75000888553025913</v>
      </c>
    </row>
    <row r="181" spans="4:6" x14ac:dyDescent="0.25">
      <c r="D181" s="178">
        <v>99</v>
      </c>
      <c r="E181" s="56">
        <f>IF(ISBLANK($J$4), $D$7, $H$7)/100*D181</f>
        <v>0.99</v>
      </c>
      <c r="F181" s="179">
        <f>IF(E181*TAN(RADIANS(IF(ISBLANK($J$4), $D$10, $H$14))) - ($B$5*E181^2)/(2*IF(ISBLANK($J$4), $D$9, $H$13)^2 * COS(RADIANS(IF(ISBLANK($J$4), $D$10, $H$14)))^2) + IF(ISBLANK($J$4), $D$8, $H$9)&gt;=0, E181*TAN(RADIANS(IF(ISBLANK($J$4), $D$10, $H$14))) - ($B$5*E181^2)/(2*IF(ISBLANK($J$4), $D$9, $H$13)^2 * COS(RADIANS(IF(ISBLANK($J$4), $D$10, $H$14)))^2) + IF(ISBLANK($J$4), $D$8, $H$9), 0)</f>
        <v>0.74372938626137319</v>
      </c>
    </row>
    <row r="182" spans="4:6" x14ac:dyDescent="0.25">
      <c r="D182" s="178">
        <v>100</v>
      </c>
      <c r="E182" s="56">
        <f>IF(ISBLANK($J$4), $D$7, $H$7)/100*D182</f>
        <v>1</v>
      </c>
      <c r="F182" s="179">
        <f>IF(E182*TAN(RADIANS(IF(ISBLANK($J$4), $D$10, $H$14))) - ($B$5*E182^2)/(2*IF(ISBLANK($J$4), $D$9, $H$13)^2 * COS(RADIANS(IF(ISBLANK($J$4), $D$10, $H$14)))^2) + IF(ISBLANK($J$4), $D$8, $H$9)&gt;=0, E182*TAN(RADIANS(IF(ISBLANK($J$4), $D$10, $H$14))) - ($B$5*E182^2)/(2*IF(ISBLANK($J$4), $D$9, $H$13)^2 * COS(RADIANS(IF(ISBLANK($J$4), $D$10, $H$14)))^2) + IF(ISBLANK($J$4), $D$8, $H$9), 0)</f>
        <v>0.73716841929224453</v>
      </c>
    </row>
    <row r="183" spans="4:6" x14ac:dyDescent="0.25">
      <c r="D183" s="181"/>
      <c r="E183" s="182">
        <f>MAX(MAX(E82:E182), MAX(F82:F182))*1</f>
        <v>1</v>
      </c>
      <c r="F183" s="180"/>
    </row>
  </sheetData>
  <conditionalFormatting sqref="H7">
    <cfRule type="expression" dxfId="28" priority="22">
      <formula>$H$7&lt;0</formula>
    </cfRule>
  </conditionalFormatting>
  <conditionalFormatting sqref="H8">
    <cfRule type="expression" dxfId="27" priority="21">
      <formula>$H$8&lt;=0</formula>
    </cfRule>
  </conditionalFormatting>
  <conditionalFormatting sqref="H9">
    <cfRule type="expression" dxfId="26" priority="20">
      <formula>$H$9&lt;0</formula>
    </cfRule>
  </conditionalFormatting>
  <conditionalFormatting sqref="H10">
    <cfRule type="expression" dxfId="25" priority="19">
      <formula>OR($H$10&gt;=90, $H$10&lt;=-90)</formula>
    </cfRule>
  </conditionalFormatting>
  <conditionalFormatting sqref="D7">
    <cfRule type="expression" dxfId="24" priority="8">
      <formula>$D$7&lt;0</formula>
    </cfRule>
  </conditionalFormatting>
  <conditionalFormatting sqref="D8">
    <cfRule type="expression" dxfId="23" priority="7">
      <formula>$D$8&lt;0</formula>
    </cfRule>
  </conditionalFormatting>
  <conditionalFormatting sqref="D10">
    <cfRule type="expression" dxfId="22" priority="6">
      <formula>OR($D$10&gt;=90, $D$10&lt;=-90)</formula>
    </cfRule>
  </conditionalFormatting>
  <conditionalFormatting sqref="D9">
    <cfRule type="expression" dxfId="21" priority="5">
      <formula>$D$9&lt;=0</formula>
    </cfRule>
  </conditionalFormatting>
  <conditionalFormatting sqref="D13:D14">
    <cfRule type="expression" dxfId="20" priority="3">
      <formula>$D$13&lt;=0</formula>
    </cfRule>
  </conditionalFormatting>
  <conditionalFormatting sqref="H13:H14">
    <cfRule type="expression" dxfId="19" priority="29">
      <formula>OR($H$13&lt;=0, OR(ABS(($H$7*TAN(RADIANS($H$14))-($B$5*$H$7^2)/(2*$H$13^2*COS(RADIANS($H$14))^2)+$H$9)/$H$8-1)&gt;0.05), ABS(DEGREES(ATAN(2*$I$8/$H$7-TAN(RADIANS($H$14))))/$H$10-1)&gt;0.05)</formula>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sheetPr>
  <dimension ref="B2:Q32"/>
  <sheetViews>
    <sheetView workbookViewId="0"/>
  </sheetViews>
  <sheetFormatPr defaultColWidth="9.140625" defaultRowHeight="15" x14ac:dyDescent="0.25"/>
  <cols>
    <col min="1" max="6" width="9.140625" style="25"/>
    <col min="7" max="7" width="12.28515625" style="25" customWidth="1"/>
    <col min="8" max="8" width="8" style="25" customWidth="1"/>
    <col min="9" max="9" width="9.140625" style="25"/>
    <col min="10" max="10" width="12.28515625" style="25" customWidth="1"/>
    <col min="11" max="11" width="8" style="25" customWidth="1"/>
    <col min="12" max="14" width="9.140625" style="25"/>
    <col min="15" max="15" width="9.140625" style="25" customWidth="1"/>
    <col min="16" max="18" width="9.28515625" style="25" bestFit="1" customWidth="1"/>
    <col min="19" max="19" width="9" style="25" bestFit="1" customWidth="1"/>
    <col min="20" max="20" width="9.140625" style="25" customWidth="1"/>
    <col min="21" max="21" width="9.28515625" style="25" customWidth="1"/>
    <col min="22" max="23" width="9.28515625" style="25" bestFit="1" customWidth="1"/>
    <col min="24" max="24" width="9" style="25" bestFit="1" customWidth="1"/>
    <col min="25" max="16384" width="9.140625" style="25"/>
  </cols>
  <sheetData>
    <row r="2" spans="2:16" ht="30.6" x14ac:dyDescent="1.1000000000000001">
      <c r="B2" s="5" t="s">
        <v>15</v>
      </c>
    </row>
    <row r="4" spans="2:16" ht="14.45" x14ac:dyDescent="0.55000000000000004">
      <c r="G4" s="161" t="s">
        <v>308</v>
      </c>
      <c r="H4" s="126" t="s">
        <v>0</v>
      </c>
      <c r="I4" s="207">
        <v>9.5299999999999994</v>
      </c>
      <c r="L4" s="6" t="s">
        <v>16</v>
      </c>
    </row>
    <row r="5" spans="2:16" ht="14.45" x14ac:dyDescent="0.55000000000000004">
      <c r="G5" s="161"/>
      <c r="L5" s="6" t="s">
        <v>376</v>
      </c>
    </row>
    <row r="6" spans="2:16" ht="14.45" x14ac:dyDescent="0.55000000000000004">
      <c r="G6" s="161"/>
      <c r="H6" s="126" t="s">
        <v>1</v>
      </c>
      <c r="I6" s="129">
        <v>15</v>
      </c>
      <c r="M6" s="7" t="s">
        <v>281</v>
      </c>
    </row>
    <row r="7" spans="2:16" ht="14.45" x14ac:dyDescent="0.55000000000000004">
      <c r="G7" s="161" t="s">
        <v>309</v>
      </c>
      <c r="H7" s="126" t="s">
        <v>307</v>
      </c>
      <c r="I7" s="130">
        <f>I6*I$4/PI()</f>
        <v>45.502398229972876</v>
      </c>
      <c r="L7" s="147"/>
      <c r="M7" s="120" t="s">
        <v>51</v>
      </c>
      <c r="N7" s="121" t="s">
        <v>54</v>
      </c>
      <c r="O7" s="121" t="s">
        <v>55</v>
      </c>
      <c r="P7" s="121" t="s">
        <v>61</v>
      </c>
    </row>
    <row r="8" spans="2:16" ht="14.45" x14ac:dyDescent="0.55000000000000004">
      <c r="G8" s="161"/>
      <c r="L8" s="163" t="s">
        <v>279</v>
      </c>
      <c r="M8" s="148">
        <v>0.25</v>
      </c>
      <c r="N8" s="149">
        <v>0.375</v>
      </c>
      <c r="O8" s="149">
        <v>0.19700000000000001</v>
      </c>
      <c r="P8" s="149">
        <v>0.11799999999999999</v>
      </c>
    </row>
    <row r="9" spans="2:16" ht="14.45" x14ac:dyDescent="0.55000000000000004">
      <c r="G9" s="161"/>
      <c r="H9" s="126" t="s">
        <v>2</v>
      </c>
      <c r="I9" s="129">
        <v>15</v>
      </c>
      <c r="L9" s="164" t="s">
        <v>280</v>
      </c>
      <c r="M9" s="152">
        <v>6.35</v>
      </c>
      <c r="N9" s="153">
        <v>9.5299999999999994</v>
      </c>
      <c r="O9" s="153">
        <v>5</v>
      </c>
      <c r="P9" s="153">
        <v>3</v>
      </c>
    </row>
    <row r="10" spans="2:16" ht="14.45" x14ac:dyDescent="0.55000000000000004">
      <c r="G10" s="161" t="s">
        <v>310</v>
      </c>
      <c r="H10" s="126" t="s">
        <v>307</v>
      </c>
      <c r="I10" s="130">
        <f>I9*I$4/PI()</f>
        <v>45.502398229972876</v>
      </c>
      <c r="M10" s="7" t="s">
        <v>278</v>
      </c>
    </row>
    <row r="11" spans="2:16" ht="14.45" x14ac:dyDescent="0.55000000000000004">
      <c r="M11" s="120" t="s">
        <v>51</v>
      </c>
      <c r="N11" s="121" t="s">
        <v>54</v>
      </c>
      <c r="O11" s="121" t="s">
        <v>55</v>
      </c>
      <c r="P11" s="121" t="s">
        <v>56</v>
      </c>
    </row>
    <row r="12" spans="2:16" ht="14.45" x14ac:dyDescent="0.55000000000000004">
      <c r="L12" s="163" t="s">
        <v>279</v>
      </c>
      <c r="M12" s="150">
        <v>1.2E-2</v>
      </c>
      <c r="N12" s="149">
        <v>1.6E-2</v>
      </c>
      <c r="O12" s="151">
        <v>-1E-3</v>
      </c>
      <c r="P12" s="149">
        <v>0</v>
      </c>
    </row>
    <row r="13" spans="2:16" ht="14.45" x14ac:dyDescent="0.55000000000000004">
      <c r="L13" s="164" t="s">
        <v>280</v>
      </c>
      <c r="M13" s="154">
        <v>0.31</v>
      </c>
      <c r="N13" s="153">
        <v>0.41</v>
      </c>
      <c r="O13" s="155">
        <v>-0.03</v>
      </c>
      <c r="P13" s="153">
        <v>0</v>
      </c>
    </row>
    <row r="14" spans="2:16" ht="14.45" x14ac:dyDescent="0.55000000000000004">
      <c r="L14" s="186"/>
      <c r="M14" s="187"/>
      <c r="N14" s="187"/>
      <c r="O14" s="188"/>
      <c r="P14" s="187"/>
    </row>
    <row r="15" spans="2:16" ht="18.399999999999999" x14ac:dyDescent="0.7">
      <c r="G15" s="169" t="s">
        <v>326</v>
      </c>
      <c r="J15" s="169" t="s">
        <v>325</v>
      </c>
    </row>
    <row r="16" spans="2:16" ht="16.899999999999999" x14ac:dyDescent="0.75">
      <c r="F16" s="161" t="s">
        <v>296</v>
      </c>
      <c r="G16" s="126" t="s">
        <v>293</v>
      </c>
      <c r="H16" s="129">
        <v>400</v>
      </c>
      <c r="J16" s="126" t="s">
        <v>6</v>
      </c>
      <c r="K16" s="129">
        <v>100</v>
      </c>
      <c r="L16" s="165" t="s">
        <v>300</v>
      </c>
    </row>
    <row r="17" spans="2:17" ht="14.45" x14ac:dyDescent="0.55000000000000004">
      <c r="F17" s="161" t="s">
        <v>297</v>
      </c>
      <c r="G17" s="126" t="s">
        <v>3</v>
      </c>
      <c r="H17" s="209" t="s">
        <v>375</v>
      </c>
    </row>
    <row r="18" spans="2:17" ht="14.45" x14ac:dyDescent="0.55000000000000004">
      <c r="F18" s="161" t="s">
        <v>298</v>
      </c>
      <c r="G18" s="126" t="s">
        <v>4</v>
      </c>
      <c r="H18" s="129">
        <v>2</v>
      </c>
    </row>
    <row r="19" spans="2:17" ht="14.45" x14ac:dyDescent="0.55000000000000004">
      <c r="F19" s="161"/>
    </row>
    <row r="20" spans="2:17" ht="16.899999999999999" x14ac:dyDescent="0.75">
      <c r="F20" s="161" t="s">
        <v>303</v>
      </c>
      <c r="G20" s="126" t="s">
        <v>14</v>
      </c>
      <c r="H20" s="162">
        <f>B32</f>
        <v>405.02499999999975</v>
      </c>
      <c r="J20" s="126" t="s">
        <v>14</v>
      </c>
      <c r="K20" s="162">
        <f>K32</f>
        <v>405.02499999999787</v>
      </c>
      <c r="L20" s="165" t="s">
        <v>299</v>
      </c>
    </row>
    <row r="21" spans="2:17" ht="14.45" x14ac:dyDescent="0.55000000000000004">
      <c r="F21" s="161" t="s">
        <v>304</v>
      </c>
      <c r="G21" s="126" t="s">
        <v>5</v>
      </c>
      <c r="H21" s="162">
        <f>E32*I4</f>
        <v>952.99999999999955</v>
      </c>
      <c r="J21" s="126" t="s">
        <v>5</v>
      </c>
      <c r="K21" s="162">
        <f>K16*I4</f>
        <v>952.99999999999989</v>
      </c>
      <c r="L21" s="165" t="s">
        <v>301</v>
      </c>
    </row>
    <row r="22" spans="2:17" ht="14.45" x14ac:dyDescent="0.55000000000000004">
      <c r="F22" s="161" t="s">
        <v>305</v>
      </c>
      <c r="G22" s="126" t="s">
        <v>6</v>
      </c>
      <c r="H22" s="162">
        <f>E32</f>
        <v>99.999999999999957</v>
      </c>
      <c r="J22" s="127" t="s">
        <v>7</v>
      </c>
      <c r="K22" s="162">
        <f>K20-(I7+I10)/2</f>
        <v>359.52260177002501</v>
      </c>
      <c r="L22" s="165" t="s">
        <v>302</v>
      </c>
    </row>
    <row r="23" spans="2:17" ht="14.45" x14ac:dyDescent="0.55000000000000004">
      <c r="F23" s="161" t="s">
        <v>306</v>
      </c>
      <c r="G23" s="127" t="s">
        <v>7</v>
      </c>
      <c r="H23" s="162">
        <f>H20-(I7+I10)/2</f>
        <v>359.52260177002688</v>
      </c>
    </row>
    <row r="25" spans="2:17" ht="14.65" x14ac:dyDescent="0.55000000000000004">
      <c r="B25" s="139" t="s">
        <v>13</v>
      </c>
      <c r="C25" s="140" t="s">
        <v>8</v>
      </c>
      <c r="D25" s="141" t="s">
        <v>9</v>
      </c>
      <c r="E25" s="141" t="s">
        <v>12</v>
      </c>
      <c r="F25" s="141" t="s">
        <v>10</v>
      </c>
      <c r="G25" s="142" t="s">
        <v>11</v>
      </c>
      <c r="H25" s="143" t="s">
        <v>292</v>
      </c>
      <c r="K25" s="139" t="s">
        <v>13</v>
      </c>
      <c r="L25" s="140" t="s">
        <v>8</v>
      </c>
      <c r="M25" s="141" t="s">
        <v>9</v>
      </c>
      <c r="N25" s="141" t="s">
        <v>12</v>
      </c>
      <c r="O25" s="141" t="s">
        <v>10</v>
      </c>
      <c r="P25" s="142" t="s">
        <v>11</v>
      </c>
      <c r="Q25" s="143" t="s">
        <v>292</v>
      </c>
    </row>
    <row r="26" spans="2:17" ht="14.45" x14ac:dyDescent="0.55000000000000004">
      <c r="B26" s="144">
        <f>H16</f>
        <v>400</v>
      </c>
      <c r="C26" s="145">
        <f t="shared" ref="C26:C32" si="0">ACOS((I$10-I$7)/(2*B26))</f>
        <v>1.5707963267948966</v>
      </c>
      <c r="D26" s="145">
        <f t="shared" ref="D26:D32" si="1">SQRT(B26^2-(I$7/2-I$10/2)^2)</f>
        <v>400</v>
      </c>
      <c r="E26" s="145">
        <f t="shared" ref="E26:E32" si="2">(2*D26+I$6*I$4*C26/PI()+I$9*I$4*(PI()-C26)/PI())/$I$4</f>
        <v>98.945435466946492</v>
      </c>
      <c r="F26" s="145">
        <f>IF(H17="Nearest", MROUND(E26, H18), IF(H17="Up",CEILING(E26, H18),FLOOR(E26, H18)))</f>
        <v>100</v>
      </c>
      <c r="G26" s="145">
        <f t="shared" ref="G26:G32" si="3">E26-F26</f>
        <v>-1.0545645330535081</v>
      </c>
      <c r="H26" s="146"/>
      <c r="K26" s="144">
        <f>K16*I4/2</f>
        <v>476.49999999999994</v>
      </c>
      <c r="L26" s="145">
        <f t="shared" ref="L26:L32" si="4">ACOS((I$10-I$7)/(2*K26))</f>
        <v>1.5707963267948966</v>
      </c>
      <c r="M26" s="145">
        <f t="shared" ref="M26:M32" si="5">SQRT(K26^2-(I$7/2-I$10/2)^2)</f>
        <v>476.49999999999994</v>
      </c>
      <c r="N26" s="145">
        <f t="shared" ref="N26:N32" si="6">(2*M26+I$6*I$4*L26/PI()+I$9*I$4*(PI()-L26)/PI())/$I$4</f>
        <v>114.99999999999999</v>
      </c>
      <c r="O26" s="145">
        <f>K16</f>
        <v>100</v>
      </c>
      <c r="P26" s="145">
        <f t="shared" ref="P26:P32" si="7">N26-O26</f>
        <v>14.999999999999986</v>
      </c>
      <c r="Q26" s="146"/>
    </row>
    <row r="27" spans="2:17" ht="14.45" x14ac:dyDescent="0.55000000000000004">
      <c r="B27" s="144">
        <f>IF(F26&gt;E26, B26+I4/10, B26-I4/10)</f>
        <v>400.95299999999997</v>
      </c>
      <c r="C27" s="145">
        <f t="shared" si="0"/>
        <v>1.5707963267948966</v>
      </c>
      <c r="D27" s="145">
        <f t="shared" si="1"/>
        <v>400.95299999999997</v>
      </c>
      <c r="E27" s="145">
        <f t="shared" si="2"/>
        <v>99.145435466946495</v>
      </c>
      <c r="F27" s="145">
        <f t="shared" ref="F27:F32" si="8">F26</f>
        <v>100</v>
      </c>
      <c r="G27" s="145">
        <f t="shared" si="3"/>
        <v>-0.85456453305350522</v>
      </c>
      <c r="H27" s="146">
        <f t="shared" ref="H27:H32" si="9">(G27-G26)/(B27-B26)</f>
        <v>0.20986358866737481</v>
      </c>
      <c r="K27" s="144">
        <f>IF(O26&gt;N26, K26+I4/10, K26-I4/10)</f>
        <v>475.54699999999997</v>
      </c>
      <c r="L27" s="145">
        <f t="shared" si="4"/>
        <v>1.5707963267948966</v>
      </c>
      <c r="M27" s="145">
        <f t="shared" si="5"/>
        <v>475.54699999999997</v>
      </c>
      <c r="N27" s="145">
        <f t="shared" si="6"/>
        <v>114.8</v>
      </c>
      <c r="O27" s="145">
        <f t="shared" ref="O27:O32" si="10">O26</f>
        <v>100</v>
      </c>
      <c r="P27" s="145">
        <f t="shared" si="7"/>
        <v>14.799999999999997</v>
      </c>
      <c r="Q27" s="146">
        <f t="shared" ref="Q27:Q32" si="11">(P27-P26)/(K27-K26)</f>
        <v>0.20986358866735988</v>
      </c>
    </row>
    <row r="28" spans="2:17" ht="14.45" x14ac:dyDescent="0.55000000000000004">
      <c r="B28" s="144">
        <f>IF(ABS(G27)&lt;0.000000000001,B27,B27-G27/H27)</f>
        <v>405.02499999999975</v>
      </c>
      <c r="C28" s="145">
        <f t="shared" si="0"/>
        <v>1.5707963267948966</v>
      </c>
      <c r="D28" s="145">
        <f t="shared" si="1"/>
        <v>405.02499999999975</v>
      </c>
      <c r="E28" s="145">
        <f t="shared" si="2"/>
        <v>99.999999999999957</v>
      </c>
      <c r="F28" s="145">
        <f t="shared" si="8"/>
        <v>100</v>
      </c>
      <c r="G28" s="145">
        <f t="shared" si="3"/>
        <v>0</v>
      </c>
      <c r="H28" s="146">
        <f t="shared" si="9"/>
        <v>0.20986358866737534</v>
      </c>
      <c r="K28" s="144">
        <f>IF(ABS(P27)&lt;0.000000000001,K27,K27-P27/Q27)</f>
        <v>405.02499999999787</v>
      </c>
      <c r="L28" s="145">
        <f t="shared" si="4"/>
        <v>1.5707963267948966</v>
      </c>
      <c r="M28" s="145">
        <f t="shared" si="5"/>
        <v>405.02499999999787</v>
      </c>
      <c r="N28" s="145">
        <f t="shared" si="6"/>
        <v>99.999999999999559</v>
      </c>
      <c r="O28" s="145">
        <f t="shared" si="10"/>
        <v>100</v>
      </c>
      <c r="P28" s="145">
        <f t="shared" si="7"/>
        <v>-4.4053649617126212E-13</v>
      </c>
      <c r="Q28" s="146">
        <f t="shared" si="11"/>
        <v>0.20986358866736618</v>
      </c>
    </row>
    <row r="29" spans="2:17" ht="14.45" x14ac:dyDescent="0.55000000000000004">
      <c r="B29" s="144">
        <f>IF(ABS(G28)&lt;0.000000000001,B28,B28-G28/H28)</f>
        <v>405.02499999999975</v>
      </c>
      <c r="C29" s="145">
        <f t="shared" si="0"/>
        <v>1.5707963267948966</v>
      </c>
      <c r="D29" s="145">
        <f t="shared" si="1"/>
        <v>405.02499999999975</v>
      </c>
      <c r="E29" s="145">
        <f t="shared" si="2"/>
        <v>99.999999999999957</v>
      </c>
      <c r="F29" s="145">
        <f t="shared" si="8"/>
        <v>100</v>
      </c>
      <c r="G29" s="145">
        <f t="shared" si="3"/>
        <v>0</v>
      </c>
      <c r="H29" s="146" t="e">
        <f t="shared" si="9"/>
        <v>#DIV/0!</v>
      </c>
      <c r="K29" s="144">
        <f>IF(ABS(P28)&lt;0.000000000001,K28,K28-P28/Q28)</f>
        <v>405.02499999999787</v>
      </c>
      <c r="L29" s="145">
        <f t="shared" si="4"/>
        <v>1.5707963267948966</v>
      </c>
      <c r="M29" s="145">
        <f t="shared" si="5"/>
        <v>405.02499999999787</v>
      </c>
      <c r="N29" s="145">
        <f t="shared" si="6"/>
        <v>99.999999999999559</v>
      </c>
      <c r="O29" s="145">
        <f t="shared" si="10"/>
        <v>100</v>
      </c>
      <c r="P29" s="145">
        <f t="shared" si="7"/>
        <v>-4.4053649617126212E-13</v>
      </c>
      <c r="Q29" s="146" t="e">
        <f t="shared" si="11"/>
        <v>#DIV/0!</v>
      </c>
    </row>
    <row r="30" spans="2:17" ht="14.45" x14ac:dyDescent="0.55000000000000004">
      <c r="B30" s="144">
        <f>IF(ABS(G29)&lt;0.000000000001,B29,B29-G29/H29)</f>
        <v>405.02499999999975</v>
      </c>
      <c r="C30" s="145">
        <f t="shared" si="0"/>
        <v>1.5707963267948966</v>
      </c>
      <c r="D30" s="145">
        <f t="shared" si="1"/>
        <v>405.02499999999975</v>
      </c>
      <c r="E30" s="145">
        <f t="shared" si="2"/>
        <v>99.999999999999957</v>
      </c>
      <c r="F30" s="145">
        <f t="shared" si="8"/>
        <v>100</v>
      </c>
      <c r="G30" s="145">
        <f t="shared" si="3"/>
        <v>0</v>
      </c>
      <c r="H30" s="146" t="e">
        <f t="shared" si="9"/>
        <v>#DIV/0!</v>
      </c>
      <c r="K30" s="144">
        <f>IF(ABS(P29)&lt;0.000000000001,K29,K29-P29/Q29)</f>
        <v>405.02499999999787</v>
      </c>
      <c r="L30" s="145">
        <f t="shared" si="4"/>
        <v>1.5707963267948966</v>
      </c>
      <c r="M30" s="145">
        <f t="shared" si="5"/>
        <v>405.02499999999787</v>
      </c>
      <c r="N30" s="145">
        <f t="shared" si="6"/>
        <v>99.999999999999559</v>
      </c>
      <c r="O30" s="145">
        <f t="shared" si="10"/>
        <v>100</v>
      </c>
      <c r="P30" s="145">
        <f t="shared" si="7"/>
        <v>-4.4053649617126212E-13</v>
      </c>
      <c r="Q30" s="146" t="e">
        <f t="shared" si="11"/>
        <v>#DIV/0!</v>
      </c>
    </row>
    <row r="31" spans="2:17" ht="14.45" x14ac:dyDescent="0.55000000000000004">
      <c r="B31" s="144">
        <f>IF(ABS(G30)&lt;0.000000000001,B30,B30-G30/H30)</f>
        <v>405.02499999999975</v>
      </c>
      <c r="C31" s="145">
        <f t="shared" si="0"/>
        <v>1.5707963267948966</v>
      </c>
      <c r="D31" s="145">
        <f t="shared" si="1"/>
        <v>405.02499999999975</v>
      </c>
      <c r="E31" s="145">
        <f t="shared" si="2"/>
        <v>99.999999999999957</v>
      </c>
      <c r="F31" s="145">
        <f t="shared" si="8"/>
        <v>100</v>
      </c>
      <c r="G31" s="145">
        <f t="shared" si="3"/>
        <v>0</v>
      </c>
      <c r="H31" s="146" t="e">
        <f t="shared" si="9"/>
        <v>#DIV/0!</v>
      </c>
      <c r="K31" s="144">
        <f>IF(ABS(P30)&lt;0.000000000001,K30,K30-P30/Q30)</f>
        <v>405.02499999999787</v>
      </c>
      <c r="L31" s="145">
        <f t="shared" si="4"/>
        <v>1.5707963267948966</v>
      </c>
      <c r="M31" s="145">
        <f t="shared" si="5"/>
        <v>405.02499999999787</v>
      </c>
      <c r="N31" s="145">
        <f t="shared" si="6"/>
        <v>99.999999999999559</v>
      </c>
      <c r="O31" s="145">
        <f t="shared" si="10"/>
        <v>100</v>
      </c>
      <c r="P31" s="145">
        <f t="shared" si="7"/>
        <v>-4.4053649617126212E-13</v>
      </c>
      <c r="Q31" s="146" t="e">
        <f t="shared" si="11"/>
        <v>#DIV/0!</v>
      </c>
    </row>
    <row r="32" spans="2:17" ht="14.45" x14ac:dyDescent="0.55000000000000004">
      <c r="B32" s="156">
        <f>IF(ABS(G31)&lt;0.000000000001,B31,B31-G31/H31)</f>
        <v>405.02499999999975</v>
      </c>
      <c r="C32" s="157">
        <f t="shared" si="0"/>
        <v>1.5707963267948966</v>
      </c>
      <c r="D32" s="157">
        <f t="shared" si="1"/>
        <v>405.02499999999975</v>
      </c>
      <c r="E32" s="157">
        <f t="shared" si="2"/>
        <v>99.999999999999957</v>
      </c>
      <c r="F32" s="157">
        <f t="shared" si="8"/>
        <v>100</v>
      </c>
      <c r="G32" s="157">
        <f t="shared" si="3"/>
        <v>0</v>
      </c>
      <c r="H32" s="158" t="e">
        <f t="shared" si="9"/>
        <v>#DIV/0!</v>
      </c>
      <c r="K32" s="156">
        <f>IF(ABS(P31)&lt;0.000000000001,K31,K31-P31/Q31)</f>
        <v>405.02499999999787</v>
      </c>
      <c r="L32" s="157">
        <f t="shared" si="4"/>
        <v>1.5707963267948966</v>
      </c>
      <c r="M32" s="157">
        <f t="shared" si="5"/>
        <v>405.02499999999787</v>
      </c>
      <c r="N32" s="157">
        <f t="shared" si="6"/>
        <v>99.999999999999559</v>
      </c>
      <c r="O32" s="157">
        <f t="shared" si="10"/>
        <v>100</v>
      </c>
      <c r="P32" s="157">
        <f t="shared" si="7"/>
        <v>-4.4053649617126212E-13</v>
      </c>
      <c r="Q32" s="158" t="e">
        <f t="shared" si="11"/>
        <v>#DIV/0!</v>
      </c>
    </row>
  </sheetData>
  <conditionalFormatting sqref="I4">
    <cfRule type="expression" dxfId="18" priority="8">
      <formula>$I$4&lt;=0</formula>
    </cfRule>
  </conditionalFormatting>
  <conditionalFormatting sqref="I6">
    <cfRule type="expression" dxfId="17" priority="7">
      <formula>$I$6&lt;=0</formula>
    </cfRule>
  </conditionalFormatting>
  <conditionalFormatting sqref="I9">
    <cfRule type="expression" dxfId="16" priority="6">
      <formula>$I$9&lt;=0</formula>
    </cfRule>
  </conditionalFormatting>
  <conditionalFormatting sqref="H16">
    <cfRule type="expression" dxfId="15" priority="5">
      <formula>$H$16&lt;=0</formula>
    </cfRule>
  </conditionalFormatting>
  <conditionalFormatting sqref="H18">
    <cfRule type="expression" dxfId="14" priority="4">
      <formula>OR($H$18&lt;=0, NOT(INT($H$18)=$H$18))</formula>
    </cfRule>
  </conditionalFormatting>
  <conditionalFormatting sqref="H23">
    <cfRule type="expression" dxfId="13" priority="3">
      <formula>$H$23&lt;=0</formula>
    </cfRule>
  </conditionalFormatting>
  <conditionalFormatting sqref="K16">
    <cfRule type="expression" dxfId="12" priority="2">
      <formula>$K$16&lt;=0</formula>
    </cfRule>
  </conditionalFormatting>
  <conditionalFormatting sqref="K22">
    <cfRule type="expression" dxfId="11" priority="1">
      <formula>$K$22&lt;=0</formula>
    </cfRule>
  </conditionalFormatting>
  <dataValidations disablePrompts="1" count="1">
    <dataValidation type="list" allowBlank="1" showInputMessage="1" showErrorMessage="1" sqref="H17">
      <formula1>"Nearest, Up, Down"</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sheetPr>
  <dimension ref="C2:N20"/>
  <sheetViews>
    <sheetView workbookViewId="0"/>
  </sheetViews>
  <sheetFormatPr defaultRowHeight="15" x14ac:dyDescent="0.25"/>
  <cols>
    <col min="3" max="3" width="2.7109375" customWidth="1"/>
    <col min="4" max="4" width="17" customWidth="1"/>
    <col min="6" max="6" width="7.28515625" customWidth="1"/>
    <col min="7" max="7" width="8.85546875" customWidth="1"/>
    <col min="8" max="8" width="9.7109375" customWidth="1"/>
    <col min="10" max="10" width="16.85546875" customWidth="1"/>
    <col min="11" max="11" width="9.5703125" customWidth="1"/>
    <col min="13" max="13" width="13.42578125" customWidth="1"/>
    <col min="15" max="15" width="4.5703125" customWidth="1"/>
  </cols>
  <sheetData>
    <row r="2" spans="3:14" ht="14.45" x14ac:dyDescent="0.55000000000000004">
      <c r="C2" s="2"/>
      <c r="D2" s="168" t="s">
        <v>35</v>
      </c>
    </row>
    <row r="4" spans="3:14" ht="30.6" x14ac:dyDescent="1.1000000000000001">
      <c r="D4" s="5" t="s">
        <v>277</v>
      </c>
      <c r="J4" s="5" t="s">
        <v>276</v>
      </c>
    </row>
    <row r="5" spans="3:14" ht="14.45" x14ac:dyDescent="0.55000000000000004">
      <c r="F5" s="8"/>
    </row>
    <row r="6" spans="3:14" ht="14.45" x14ac:dyDescent="0.55000000000000004">
      <c r="D6" s="1" t="s">
        <v>378</v>
      </c>
      <c r="E6" s="2">
        <v>20</v>
      </c>
      <c r="J6" s="1" t="s">
        <v>266</v>
      </c>
      <c r="K6" s="2">
        <v>100</v>
      </c>
    </row>
    <row r="7" spans="3:14" ht="14.45" x14ac:dyDescent="0.55000000000000004">
      <c r="J7" s="1" t="s">
        <v>267</v>
      </c>
      <c r="K7" s="2">
        <v>32</v>
      </c>
    </row>
    <row r="8" spans="3:14" ht="14.45" x14ac:dyDescent="0.55000000000000004">
      <c r="D8" s="1" t="s">
        <v>40</v>
      </c>
      <c r="E8" s="210">
        <v>3</v>
      </c>
      <c r="F8" s="8"/>
    </row>
    <row r="9" spans="3:14" ht="14.45" x14ac:dyDescent="0.55000000000000004">
      <c r="D9" s="211" t="str">
        <f>IF(ISBLANK(C2), "Desired Distance (in)", "Desired Distance (mm)")</f>
        <v>Desired Distance (in)</v>
      </c>
      <c r="E9" s="2">
        <v>2.9</v>
      </c>
      <c r="J9" s="1" t="s">
        <v>268</v>
      </c>
      <c r="K9" s="2">
        <v>30</v>
      </c>
    </row>
    <row r="10" spans="3:14" ht="14.45" x14ac:dyDescent="0.55000000000000004">
      <c r="J10" s="1" t="s">
        <v>269</v>
      </c>
      <c r="K10" s="2">
        <v>60</v>
      </c>
    </row>
    <row r="11" spans="3:14" ht="14.45" x14ac:dyDescent="0.55000000000000004">
      <c r="D11" s="1" t="s">
        <v>379</v>
      </c>
      <c r="E11" s="221">
        <f>2*IF(D9="inches",E9,E9/25.4)*E6/(E8+1)</f>
        <v>1.1417322834645669</v>
      </c>
      <c r="J11" s="1" t="s">
        <v>270</v>
      </c>
      <c r="K11" s="2">
        <v>20</v>
      </c>
    </row>
    <row r="12" spans="3:14" ht="14.45" x14ac:dyDescent="0.55000000000000004">
      <c r="D12" s="211" t="str">
        <f>IF(ISBLANK(C9), "Pitch Diameter (in)", "Pitch Diameter (mm)")</f>
        <v>Pitch Diameter (in)</v>
      </c>
      <c r="E12" s="224">
        <f>E11/$E$6*IF($D$9="mm",25.4,1)</f>
        <v>5.7086614173228342E-2</v>
      </c>
    </row>
    <row r="13" spans="3:14" ht="14.45" x14ac:dyDescent="0.55000000000000004">
      <c r="D13" s="211" t="str">
        <f>IF(ISBLANK(C10), "Outer Diameter (in)", "Outer Diameter (mm)")</f>
        <v>Outer Diameter (in)</v>
      </c>
      <c r="E13" s="224">
        <f>(E11+2)/$E$6*IF($D$9="mm",25.4,1)</f>
        <v>0.15708661417322833</v>
      </c>
    </row>
    <row r="15" spans="3:14" ht="14.45" x14ac:dyDescent="0.55000000000000004">
      <c r="D15" s="1" t="s">
        <v>379</v>
      </c>
      <c r="E15" s="221">
        <f>E11*E8</f>
        <v>3.4251968503937009</v>
      </c>
    </row>
    <row r="16" spans="3:14" ht="14.45" x14ac:dyDescent="0.55000000000000004">
      <c r="D16" s="211" t="str">
        <f>IF(ISBLANK(C13), "Pitch Diameter (in)", "Pitch Diameter (mm)")</f>
        <v>Pitch Diameter (in)</v>
      </c>
      <c r="E16" s="224">
        <f>E15/E$6*IF(F15="mm",25.4,1)</f>
        <v>0.17125984251968504</v>
      </c>
      <c r="J16" s="1" t="s">
        <v>273</v>
      </c>
      <c r="K16" s="212" t="s">
        <v>274</v>
      </c>
      <c r="M16" s="1" t="s">
        <v>271</v>
      </c>
      <c r="N16" s="2">
        <v>20</v>
      </c>
    </row>
    <row r="17" spans="4:14" ht="14.45" x14ac:dyDescent="0.55000000000000004">
      <c r="D17" s="211" t="str">
        <f>IF(ISBLANK(C14), "Outer Diameter (in)", "Outer Diameter (mm)")</f>
        <v>Outer Diameter (in)</v>
      </c>
      <c r="E17" s="224">
        <f>(E15+2)/E$6*IF(D$9="mm",25.4,1)</f>
        <v>0.27125984251968505</v>
      </c>
      <c r="J17" s="211" t="str">
        <f>IF(ISBLANK(C2), "Custom Diam. (in)", "Custom Diam. (mm)")</f>
        <v>Custom Diam. (in)</v>
      </c>
      <c r="K17" s="2"/>
      <c r="M17" s="1" t="s">
        <v>272</v>
      </c>
      <c r="N17" s="2">
        <v>20</v>
      </c>
    </row>
    <row r="19" spans="4:14" ht="14.45" x14ac:dyDescent="0.55000000000000004">
      <c r="J19" s="1" t="str">
        <f>IF(ISBLANK(C2), "Axle Clearance (in)", "Axle Clearance (mm)")</f>
        <v>Axle Clearance (in)</v>
      </c>
      <c r="K19" s="224">
        <f>((K9+K10)/(2*K11) - (K6+2)/(2*K7) - IF(K16="1/2 Hex", 0.577, IF(K16="1/2 Round", 0.5, IF(K16="3/8 Hex", 0.433, IF(K16="1/4 Round", 0.25, K17/IF(ISBLANK(C2), 1, 25.4)))))/2)*IF(ISBLANK(C2), 1, 25.4)</f>
        <v>0.36775000000000002</v>
      </c>
      <c r="M19" s="1" t="str">
        <f>IF(ISBLANK(C2), "Clearance (in)", "Clearance (mm)")</f>
        <v>Clearance (in)</v>
      </c>
      <c r="N19" s="224">
        <f>((K9+K10)/(2*K11) - (K6+2)/(2*K7) - (N16+2)/(2*N17))*IF(ISBLANK(C2), 1, 25.4)</f>
        <v>0.10624999999999996</v>
      </c>
    </row>
    <row r="20" spans="4:14" ht="14.45" x14ac:dyDescent="0.55000000000000004">
      <c r="J20" s="1" t="s">
        <v>275</v>
      </c>
      <c r="K20" s="112" t="b">
        <f>K19&gt;0</f>
        <v>1</v>
      </c>
      <c r="M20" s="1" t="s">
        <v>288</v>
      </c>
      <c r="N20" s="112" t="b">
        <f>N19&gt;0</f>
        <v>1</v>
      </c>
    </row>
  </sheetData>
  <conditionalFormatting sqref="E6">
    <cfRule type="expression" dxfId="10" priority="10">
      <formula>$E$6&lt;=0</formula>
    </cfRule>
  </conditionalFormatting>
  <conditionalFormatting sqref="E8">
    <cfRule type="expression" dxfId="9" priority="9">
      <formula>$E$8&lt;=0</formula>
    </cfRule>
  </conditionalFormatting>
  <conditionalFormatting sqref="E9">
    <cfRule type="expression" dxfId="8" priority="8">
      <formula>$E$9&lt;=0</formula>
    </cfRule>
  </conditionalFormatting>
  <conditionalFormatting sqref="K6">
    <cfRule type="expression" dxfId="7" priority="7">
      <formula>$K$6&lt;=0</formula>
    </cfRule>
  </conditionalFormatting>
  <conditionalFormatting sqref="K7">
    <cfRule type="expression" dxfId="6" priority="6">
      <formula>$K$7&lt;=0</formula>
    </cfRule>
  </conditionalFormatting>
  <conditionalFormatting sqref="K9">
    <cfRule type="expression" dxfId="5" priority="5">
      <formula>K9&lt;=0</formula>
    </cfRule>
  </conditionalFormatting>
  <conditionalFormatting sqref="K10:K11">
    <cfRule type="expression" dxfId="4" priority="4">
      <formula>K10&lt;=0</formula>
    </cfRule>
  </conditionalFormatting>
  <conditionalFormatting sqref="N16:N17">
    <cfRule type="expression" dxfId="3" priority="3">
      <formula>N16&lt;=0</formula>
    </cfRule>
  </conditionalFormatting>
  <conditionalFormatting sqref="K19:K20">
    <cfRule type="expression" dxfId="2" priority="2">
      <formula>$K$19&lt;=0</formula>
    </cfRule>
  </conditionalFormatting>
  <conditionalFormatting sqref="N19:N20">
    <cfRule type="expression" dxfId="1" priority="1">
      <formula>$N$19&lt;=0</formula>
    </cfRule>
  </conditionalFormatting>
  <dataValidations disablePrompts="1" count="1">
    <dataValidation type="list" allowBlank="1" showInputMessage="1" showErrorMessage="1" sqref="K16">
      <formula1>"1/2 Hex, 1/2 Round, 3/8 Hex, 1/4 Round, Custom"</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sheetPr>
  <dimension ref="A2:P26"/>
  <sheetViews>
    <sheetView workbookViewId="0"/>
  </sheetViews>
  <sheetFormatPr defaultRowHeight="15" x14ac:dyDescent="0.25"/>
  <cols>
    <col min="2" max="2" width="20.140625" customWidth="1"/>
    <col min="3" max="10" width="7.42578125" customWidth="1"/>
    <col min="11" max="11" width="6.7109375" customWidth="1"/>
    <col min="12" max="12" width="20.85546875" customWidth="1"/>
    <col min="13" max="16" width="6.7109375" customWidth="1"/>
  </cols>
  <sheetData>
    <row r="2" spans="1:16" ht="30.6" x14ac:dyDescent="1.1000000000000001">
      <c r="B2" s="5" t="s">
        <v>330</v>
      </c>
    </row>
    <row r="4" spans="1:16" ht="14.45" x14ac:dyDescent="0.55000000000000004">
      <c r="C4" s="1" t="s">
        <v>331</v>
      </c>
      <c r="D4" s="1" t="s">
        <v>332</v>
      </c>
      <c r="E4" s="1" t="s">
        <v>333</v>
      </c>
      <c r="F4" s="1" t="s">
        <v>334</v>
      </c>
      <c r="G4" s="1" t="s">
        <v>335</v>
      </c>
      <c r="H4" s="1" t="s">
        <v>336</v>
      </c>
      <c r="I4" s="1" t="s">
        <v>337</v>
      </c>
      <c r="J4" s="1" t="s">
        <v>338</v>
      </c>
      <c r="M4" s="1" t="s">
        <v>339</v>
      </c>
      <c r="N4" s="1" t="s">
        <v>340</v>
      </c>
      <c r="O4" s="1" t="s">
        <v>341</v>
      </c>
      <c r="P4" s="1" t="s">
        <v>342</v>
      </c>
    </row>
    <row r="5" spans="1:16" ht="14.45" x14ac:dyDescent="0.55000000000000004">
      <c r="B5" s="1" t="s">
        <v>343</v>
      </c>
      <c r="C5" s="2">
        <v>1</v>
      </c>
      <c r="D5" s="2">
        <v>0.25</v>
      </c>
      <c r="E5" s="2"/>
      <c r="F5" s="2"/>
      <c r="G5" s="2"/>
      <c r="H5" s="2"/>
      <c r="I5" s="2"/>
      <c r="J5" s="2"/>
      <c r="L5" s="185" t="s">
        <v>344</v>
      </c>
      <c r="M5" s="3">
        <v>35</v>
      </c>
      <c r="N5" s="2"/>
      <c r="O5" s="2"/>
      <c r="P5" s="2"/>
    </row>
    <row r="6" spans="1:16" ht="14.45" x14ac:dyDescent="0.55000000000000004">
      <c r="A6" s="183"/>
      <c r="B6" s="1" t="s">
        <v>345</v>
      </c>
      <c r="C6" s="2">
        <v>0.375</v>
      </c>
      <c r="D6" s="2">
        <v>0.125</v>
      </c>
      <c r="E6" s="2"/>
      <c r="F6" s="2"/>
      <c r="G6" s="2"/>
      <c r="H6" s="2"/>
      <c r="I6" s="2"/>
      <c r="J6" s="2"/>
      <c r="L6" s="185" t="s">
        <v>346</v>
      </c>
      <c r="M6" s="3">
        <v>5</v>
      </c>
      <c r="N6" s="2"/>
      <c r="O6" s="2"/>
      <c r="P6" s="2"/>
    </row>
    <row r="7" spans="1:16" ht="14.45" x14ac:dyDescent="0.55000000000000004">
      <c r="B7" s="1" t="s">
        <v>347</v>
      </c>
      <c r="C7" s="2">
        <v>8</v>
      </c>
      <c r="D7" s="2">
        <v>2</v>
      </c>
      <c r="E7" s="2"/>
      <c r="F7" s="2"/>
      <c r="G7" s="2"/>
      <c r="H7" s="2"/>
      <c r="I7" s="2"/>
      <c r="J7" s="2"/>
      <c r="L7" s="185" t="s">
        <v>348</v>
      </c>
      <c r="M7" s="3">
        <v>120</v>
      </c>
      <c r="N7" s="2"/>
      <c r="O7" s="2"/>
      <c r="P7" s="2"/>
    </row>
    <row r="8" spans="1:16" ht="14.45" x14ac:dyDescent="0.55000000000000004">
      <c r="B8" s="1" t="s">
        <v>350</v>
      </c>
      <c r="C8" s="2">
        <v>50</v>
      </c>
      <c r="D8" s="2">
        <v>30</v>
      </c>
      <c r="E8" s="2"/>
      <c r="F8" s="2"/>
      <c r="G8" s="2"/>
      <c r="H8" s="2"/>
      <c r="I8" s="2"/>
      <c r="J8" s="2"/>
      <c r="K8" s="184"/>
      <c r="L8" s="185" t="s">
        <v>344</v>
      </c>
      <c r="M8" s="4">
        <f>M5*M6*(M7+14.7)/14.7</f>
        <v>1603.5714285714284</v>
      </c>
      <c r="N8" s="112">
        <f>N5*N6*(N7+14.7)/14.7</f>
        <v>0</v>
      </c>
      <c r="O8" s="112">
        <f>O5*O6*(O7+14.7)/14.7</f>
        <v>0</v>
      </c>
      <c r="P8" s="112">
        <f>P5*P6*(P7+14.7)/14.7</f>
        <v>0</v>
      </c>
    </row>
    <row r="9" spans="1:16" ht="14.45" x14ac:dyDescent="0.55000000000000004">
      <c r="A9" s="183"/>
      <c r="B9" s="211" t="s">
        <v>351</v>
      </c>
      <c r="C9" s="112">
        <f t="shared" ref="C9:J9" si="0">(C5/2)^2*PI()*C8</f>
        <v>39.269908169872416</v>
      </c>
      <c r="D9" s="112">
        <f t="shared" si="0"/>
        <v>1.4726215563702154</v>
      </c>
      <c r="E9" s="112">
        <f t="shared" si="0"/>
        <v>0</v>
      </c>
      <c r="F9" s="112">
        <f t="shared" si="0"/>
        <v>0</v>
      </c>
      <c r="G9" s="112">
        <f t="shared" si="0"/>
        <v>0</v>
      </c>
      <c r="H9" s="112">
        <f t="shared" si="0"/>
        <v>0</v>
      </c>
      <c r="I9" s="112">
        <f t="shared" si="0"/>
        <v>0</v>
      </c>
      <c r="J9" s="112">
        <f t="shared" si="0"/>
        <v>0</v>
      </c>
      <c r="K9" s="184"/>
      <c r="L9" s="185" t="s">
        <v>349</v>
      </c>
      <c r="M9" s="112">
        <f>SUM(M8:P8)</f>
        <v>1603.5714285714284</v>
      </c>
    </row>
    <row r="10" spans="1:16" ht="14.45" x14ac:dyDescent="0.55000000000000004">
      <c r="A10" s="183"/>
      <c r="B10" s="1" t="s">
        <v>355</v>
      </c>
      <c r="C10" s="2">
        <v>15</v>
      </c>
      <c r="D10" s="2">
        <v>30</v>
      </c>
      <c r="E10" s="2"/>
      <c r="F10" s="2"/>
      <c r="G10" s="2"/>
      <c r="H10" s="2"/>
      <c r="I10" s="2"/>
      <c r="J10" s="2"/>
      <c r="K10" s="184"/>
    </row>
    <row r="11" spans="1:16" ht="14.45" x14ac:dyDescent="0.55000000000000004">
      <c r="B11" s="211" t="s">
        <v>356</v>
      </c>
      <c r="C11" s="112">
        <f t="shared" ref="C11:J11" si="1">((C5/2)^2-(C6/2)^2)*PI()*C10</f>
        <v>10.124273200045232</v>
      </c>
      <c r="D11" s="112">
        <f t="shared" si="1"/>
        <v>1.1044661672776617</v>
      </c>
      <c r="E11" s="112">
        <f t="shared" si="1"/>
        <v>0</v>
      </c>
      <c r="F11" s="112">
        <f t="shared" si="1"/>
        <v>0</v>
      </c>
      <c r="G11" s="112">
        <f t="shared" si="1"/>
        <v>0</v>
      </c>
      <c r="H11" s="112">
        <f t="shared" si="1"/>
        <v>0</v>
      </c>
      <c r="I11" s="112">
        <f t="shared" si="1"/>
        <v>0</v>
      </c>
      <c r="J11" s="112">
        <f t="shared" si="1"/>
        <v>0</v>
      </c>
      <c r="K11" s="184"/>
      <c r="L11" s="185" t="s">
        <v>352</v>
      </c>
      <c r="M11" s="2">
        <v>0.3</v>
      </c>
      <c r="N11" t="s">
        <v>369</v>
      </c>
    </row>
    <row r="12" spans="1:16" ht="14.45" x14ac:dyDescent="0.55000000000000004">
      <c r="A12" s="183"/>
      <c r="B12" s="1" t="s">
        <v>358</v>
      </c>
      <c r="C12" s="2">
        <v>1</v>
      </c>
      <c r="D12" s="2">
        <v>1</v>
      </c>
      <c r="E12" s="2"/>
      <c r="F12" s="2"/>
      <c r="G12" s="2"/>
      <c r="H12" s="2"/>
      <c r="I12" s="2"/>
      <c r="J12" s="2"/>
      <c r="L12" s="185" t="s">
        <v>353</v>
      </c>
      <c r="M12" s="2">
        <v>135</v>
      </c>
      <c r="N12" t="s">
        <v>371</v>
      </c>
    </row>
    <row r="13" spans="1:16" ht="14.45" x14ac:dyDescent="0.55000000000000004">
      <c r="B13" s="1" t="s">
        <v>360</v>
      </c>
      <c r="C13" s="2">
        <v>1</v>
      </c>
      <c r="D13" s="2">
        <v>1</v>
      </c>
      <c r="E13" s="2"/>
      <c r="F13" s="2"/>
      <c r="G13" s="2"/>
      <c r="H13" s="2"/>
      <c r="I13" s="2"/>
      <c r="J13" s="2"/>
      <c r="L13" s="185" t="s">
        <v>354</v>
      </c>
      <c r="M13" s="112">
        <f>IF(C19&lt;0, M11*12^3/60*M12, MIN(M11*12^3/60*M12, C19))</f>
        <v>150.83651870717728</v>
      </c>
    </row>
    <row r="14" spans="1:16" ht="14.45" x14ac:dyDescent="0.55000000000000004">
      <c r="A14" s="183"/>
      <c r="B14" s="1" t="s">
        <v>362</v>
      </c>
      <c r="C14" s="2">
        <v>35</v>
      </c>
      <c r="D14" s="2">
        <v>20</v>
      </c>
      <c r="E14" s="2"/>
      <c r="F14" s="2"/>
      <c r="G14" s="2"/>
      <c r="H14" s="2"/>
      <c r="I14" s="2"/>
      <c r="J14" s="2"/>
    </row>
    <row r="15" spans="1:16" ht="14.45" x14ac:dyDescent="0.55000000000000004">
      <c r="B15" s="1" t="s">
        <v>363</v>
      </c>
      <c r="C15" s="2">
        <v>135</v>
      </c>
      <c r="D15" s="2">
        <v>80</v>
      </c>
      <c r="E15" s="2"/>
      <c r="F15" s="2"/>
      <c r="G15" s="2"/>
      <c r="H15" s="2"/>
      <c r="I15" s="2"/>
      <c r="J15" s="2"/>
      <c r="L15" s="185" t="s">
        <v>357</v>
      </c>
      <c r="M15" s="112">
        <f>M9+M13</f>
        <v>1754.4079472786057</v>
      </c>
    </row>
    <row r="16" spans="1:16" ht="14.45" x14ac:dyDescent="0.55000000000000004">
      <c r="B16" s="211" t="s">
        <v>365</v>
      </c>
      <c r="C16" s="112">
        <f t="shared" ref="C16:J16" si="2">IFERROR(( (C5/2)^2*PI()*C7*(C8+14.7)/14.7*C12 + ((C5/2)^2-(C6/2)^2)*PI()*C7*(C10+14.7)/14.7*C13)/C14, 0)</f>
        <v>1.1018281377322365</v>
      </c>
      <c r="D16" s="112">
        <f t="shared" si="2"/>
        <v>2.6121501416566922E-2</v>
      </c>
      <c r="E16" s="112">
        <f t="shared" si="2"/>
        <v>0</v>
      </c>
      <c r="F16" s="112">
        <f t="shared" si="2"/>
        <v>0</v>
      </c>
      <c r="G16" s="112">
        <f t="shared" si="2"/>
        <v>0</v>
      </c>
      <c r="H16" s="112">
        <f t="shared" si="2"/>
        <v>0</v>
      </c>
      <c r="I16" s="112">
        <f t="shared" si="2"/>
        <v>0</v>
      </c>
      <c r="J16" s="112">
        <f t="shared" si="2"/>
        <v>0</v>
      </c>
    </row>
    <row r="17" spans="2:14" ht="14.45" x14ac:dyDescent="0.55000000000000004">
      <c r="B17" s="211" t="s">
        <v>367</v>
      </c>
      <c r="C17" s="112">
        <f>C16*C15</f>
        <v>148.74679859385193</v>
      </c>
      <c r="D17" s="112">
        <f t="shared" ref="D17:J17" si="3">D16*D15</f>
        <v>2.0897201133253538</v>
      </c>
      <c r="E17" s="112">
        <f t="shared" si="3"/>
        <v>0</v>
      </c>
      <c r="F17" s="112">
        <f t="shared" si="3"/>
        <v>0</v>
      </c>
      <c r="G17" s="112">
        <f t="shared" si="3"/>
        <v>0</v>
      </c>
      <c r="H17" s="112">
        <f t="shared" si="3"/>
        <v>0</v>
      </c>
      <c r="I17" s="112">
        <f t="shared" si="3"/>
        <v>0</v>
      </c>
      <c r="J17" s="112">
        <f t="shared" si="3"/>
        <v>0</v>
      </c>
    </row>
    <row r="18" spans="2:14" ht="14.45" x14ac:dyDescent="0.55000000000000004">
      <c r="L18" s="1" t="s">
        <v>359</v>
      </c>
      <c r="M18" s="112">
        <f>M15-C19</f>
        <v>1603.5714285714284</v>
      </c>
    </row>
    <row r="19" spans="2:14" ht="14.45" x14ac:dyDescent="0.55000000000000004">
      <c r="B19" s="211" t="s">
        <v>368</v>
      </c>
      <c r="C19" s="112">
        <f>SUM(C17:J17)</f>
        <v>150.83651870717728</v>
      </c>
      <c r="L19" s="1" t="s">
        <v>361</v>
      </c>
      <c r="M19" s="112">
        <f>M18/M9*120</f>
        <v>120</v>
      </c>
      <c r="N19" t="s">
        <v>372</v>
      </c>
    </row>
    <row r="21" spans="2:14" ht="14.45" x14ac:dyDescent="0.55000000000000004">
      <c r="L21" s="1" t="s">
        <v>364</v>
      </c>
      <c r="M21" s="112">
        <f>(M9-M18)/(M11*12^3/60)</f>
        <v>0</v>
      </c>
      <c r="N21" t="s">
        <v>373</v>
      </c>
    </row>
    <row r="22" spans="2:14" ht="14.45" x14ac:dyDescent="0.55000000000000004">
      <c r="L22" s="1" t="s">
        <v>366</v>
      </c>
      <c r="M22" s="112">
        <f>M9/(M11*12^3/60)</f>
        <v>185.59854497354499</v>
      </c>
      <c r="N22" t="s">
        <v>374</v>
      </c>
    </row>
    <row r="26" spans="2:14" ht="14.45" x14ac:dyDescent="0.55000000000000004">
      <c r="L26" t="s">
        <v>370</v>
      </c>
    </row>
  </sheetData>
  <conditionalFormatting sqref="M18:M19">
    <cfRule type="expression" dxfId="0" priority="1">
      <formula>$M$18&lt;=0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B2:AR32"/>
  <sheetViews>
    <sheetView zoomScaleNormal="100" workbookViewId="0"/>
  </sheetViews>
  <sheetFormatPr defaultRowHeight="15" x14ac:dyDescent="0.25"/>
  <cols>
    <col min="2" max="2" width="8.140625" customWidth="1"/>
    <col min="3" max="9" width="11.28515625" customWidth="1"/>
    <col min="10" max="10" width="12.7109375" customWidth="1"/>
    <col min="11" max="23" width="11.28515625" customWidth="1"/>
    <col min="24" max="24" width="14.7109375" customWidth="1"/>
    <col min="25" max="25" width="15.5703125" customWidth="1"/>
    <col min="26" max="26" width="16" customWidth="1"/>
    <col min="27" max="28" width="14.42578125" customWidth="1"/>
    <col min="29" max="29" width="9.85546875" customWidth="1"/>
    <col min="30" max="35" width="11.28515625" customWidth="1"/>
    <col min="36" max="36" width="12.140625" customWidth="1"/>
    <col min="37" max="41" width="11.28515625" customWidth="1"/>
    <col min="42" max="42" width="13.28515625" customWidth="1"/>
    <col min="43" max="43" width="15.140625" customWidth="1"/>
    <col min="44" max="46" width="11.28515625" customWidth="1"/>
  </cols>
  <sheetData>
    <row r="2" spans="2:44" ht="30.6" x14ac:dyDescent="1.1000000000000001">
      <c r="B2" s="5" t="s">
        <v>50</v>
      </c>
      <c r="H2" s="5" t="s">
        <v>149</v>
      </c>
      <c r="P2" s="5" t="s">
        <v>67</v>
      </c>
      <c r="X2" s="5" t="s">
        <v>168</v>
      </c>
      <c r="AE2" s="5" t="s">
        <v>171</v>
      </c>
      <c r="AF2" s="5"/>
    </row>
    <row r="4" spans="2:44" ht="14.45" customHeight="1" x14ac:dyDescent="0.55000000000000004">
      <c r="C4" s="13" t="s">
        <v>51</v>
      </c>
      <c r="D4" s="13" t="s">
        <v>54</v>
      </c>
      <c r="E4" s="13" t="s">
        <v>55</v>
      </c>
      <c r="F4" s="13" t="s">
        <v>61</v>
      </c>
      <c r="H4" s="44" t="s">
        <v>132</v>
      </c>
      <c r="I4" s="44" t="s">
        <v>133</v>
      </c>
      <c r="J4" s="44" t="s">
        <v>134</v>
      </c>
      <c r="K4" s="49" t="s">
        <v>135</v>
      </c>
      <c r="L4" s="44" t="s">
        <v>140</v>
      </c>
      <c r="M4" s="44" t="s">
        <v>141</v>
      </c>
      <c r="N4" s="44" t="s">
        <v>148</v>
      </c>
      <c r="P4" s="44" t="s">
        <v>68</v>
      </c>
      <c r="Q4" s="44" t="s">
        <v>69</v>
      </c>
      <c r="R4" s="44" t="s">
        <v>85</v>
      </c>
      <c r="S4" s="44" t="s">
        <v>86</v>
      </c>
      <c r="T4" s="44" t="s">
        <v>89</v>
      </c>
      <c r="U4" s="44" t="s">
        <v>90</v>
      </c>
      <c r="V4" s="44" t="s">
        <v>91</v>
      </c>
      <c r="X4" s="12"/>
      <c r="Y4" s="122" t="s">
        <v>286</v>
      </c>
      <c r="Z4" s="123" t="s">
        <v>287</v>
      </c>
      <c r="AA4" s="123" t="s">
        <v>28</v>
      </c>
      <c r="AB4" s="123" t="s">
        <v>30</v>
      </c>
      <c r="AC4" s="124" t="s">
        <v>31</v>
      </c>
      <c r="AE4" s="89" t="s">
        <v>172</v>
      </c>
      <c r="AF4" s="89" t="s">
        <v>214</v>
      </c>
      <c r="AG4" s="100" t="s">
        <v>229</v>
      </c>
      <c r="AH4" s="89" t="s">
        <v>226</v>
      </c>
      <c r="AI4" s="102" t="s">
        <v>218</v>
      </c>
      <c r="AJ4" s="94" t="s">
        <v>220</v>
      </c>
      <c r="AK4" s="104" t="s">
        <v>215</v>
      </c>
    </row>
    <row r="5" spans="2:44" x14ac:dyDescent="0.25">
      <c r="B5" s="1" t="s">
        <v>0</v>
      </c>
      <c r="C5" s="16" t="s">
        <v>57</v>
      </c>
      <c r="D5" s="20" t="s">
        <v>58</v>
      </c>
      <c r="E5" s="20" t="s">
        <v>59</v>
      </c>
      <c r="F5" s="17" t="s">
        <v>60</v>
      </c>
      <c r="H5" s="63" t="s">
        <v>162</v>
      </c>
      <c r="I5" s="40">
        <v>32</v>
      </c>
      <c r="J5" s="31" t="s">
        <v>165</v>
      </c>
      <c r="K5" s="57">
        <v>22</v>
      </c>
      <c r="L5" s="52" t="s">
        <v>142</v>
      </c>
      <c r="M5" s="50" t="s">
        <v>142</v>
      </c>
      <c r="N5" s="51" t="s">
        <v>99</v>
      </c>
      <c r="P5" s="31" t="s">
        <v>153</v>
      </c>
      <c r="Q5" s="31" t="s">
        <v>156</v>
      </c>
      <c r="R5" s="36">
        <v>48</v>
      </c>
      <c r="S5" s="31" t="s">
        <v>109</v>
      </c>
      <c r="T5" s="42">
        <v>34</v>
      </c>
      <c r="U5" s="36" t="s">
        <v>110</v>
      </c>
      <c r="V5" s="43" t="s">
        <v>99</v>
      </c>
      <c r="X5" s="74" t="s">
        <v>17</v>
      </c>
      <c r="Y5" s="84">
        <v>5330</v>
      </c>
      <c r="Z5" s="77">
        <v>2.41</v>
      </c>
      <c r="AA5" s="77">
        <v>131</v>
      </c>
      <c r="AB5" s="77">
        <v>2.7</v>
      </c>
      <c r="AC5" s="78">
        <f>Y5/2*(1/60*2*PI())*Z5/2</f>
        <v>336.28916760964142</v>
      </c>
      <c r="AE5" s="101">
        <v>15.306122448979592</v>
      </c>
      <c r="AF5" s="101" t="s">
        <v>196</v>
      </c>
      <c r="AG5" s="107" t="s">
        <v>234</v>
      </c>
      <c r="AH5" s="62" t="s">
        <v>180</v>
      </c>
      <c r="AI5" s="29">
        <v>5.95</v>
      </c>
      <c r="AJ5" s="62" t="s">
        <v>224</v>
      </c>
      <c r="AK5" s="90">
        <v>4.7699999999999996</v>
      </c>
    </row>
    <row r="6" spans="2:44" ht="14.45" x14ac:dyDescent="0.55000000000000004">
      <c r="B6" s="1" t="s">
        <v>52</v>
      </c>
      <c r="C6" s="24" t="s">
        <v>62</v>
      </c>
      <c r="D6" s="11" t="s">
        <v>65</v>
      </c>
      <c r="E6" s="22" t="s">
        <v>66</v>
      </c>
      <c r="F6" s="23" t="s">
        <v>62</v>
      </c>
      <c r="H6" s="31" t="s">
        <v>136</v>
      </c>
      <c r="I6" s="38">
        <v>34</v>
      </c>
      <c r="J6" s="31" t="s">
        <v>139</v>
      </c>
      <c r="K6" s="58">
        <v>24</v>
      </c>
      <c r="L6" s="30" t="s">
        <v>144</v>
      </c>
      <c r="M6" s="50" t="s">
        <v>144</v>
      </c>
      <c r="N6" s="30" t="s">
        <v>144</v>
      </c>
      <c r="P6" s="32" t="s">
        <v>70</v>
      </c>
      <c r="Q6" s="32" t="s">
        <v>83</v>
      </c>
      <c r="R6" s="32" t="s">
        <v>111</v>
      </c>
      <c r="S6" s="32" t="s">
        <v>87</v>
      </c>
      <c r="T6" s="38">
        <v>44</v>
      </c>
      <c r="U6" s="32" t="s">
        <v>112</v>
      </c>
      <c r="V6" s="40">
        <v>19</v>
      </c>
      <c r="X6" s="75" t="s">
        <v>42</v>
      </c>
      <c r="Y6" s="71">
        <v>5840</v>
      </c>
      <c r="Z6" s="65">
        <v>1.41</v>
      </c>
      <c r="AA6" s="65">
        <v>89</v>
      </c>
      <c r="AB6" s="65">
        <v>3</v>
      </c>
      <c r="AC6" s="79">
        <f>Y6/2*(1/60*2*PI())*Z6/2</f>
        <v>215.57608788933157</v>
      </c>
      <c r="AE6" s="90">
        <v>16.483516483516482</v>
      </c>
      <c r="AF6" s="90" t="s">
        <v>195</v>
      </c>
      <c r="AH6" s="27" t="s">
        <v>181</v>
      </c>
      <c r="AI6" s="29">
        <v>6.94</v>
      </c>
      <c r="AJ6" s="27" t="s">
        <v>223</v>
      </c>
      <c r="AK6" s="90">
        <v>6</v>
      </c>
    </row>
    <row r="7" spans="2:44" ht="14.45" x14ac:dyDescent="0.55000000000000004">
      <c r="B7" s="1" t="s">
        <v>53</v>
      </c>
      <c r="C7" s="19" t="s">
        <v>63</v>
      </c>
      <c r="D7" s="21" t="s">
        <v>64</v>
      </c>
      <c r="E7" s="21" t="s">
        <v>60</v>
      </c>
      <c r="F7" s="18" t="s">
        <v>60</v>
      </c>
      <c r="H7" s="30" t="s">
        <v>161</v>
      </c>
      <c r="I7" s="58">
        <v>36</v>
      </c>
      <c r="J7" s="32" t="s">
        <v>167</v>
      </c>
      <c r="K7" s="58">
        <v>26</v>
      </c>
      <c r="L7" s="30" t="s">
        <v>145</v>
      </c>
      <c r="M7" s="50" t="s">
        <v>145</v>
      </c>
      <c r="N7" s="30" t="s">
        <v>143</v>
      </c>
      <c r="P7" s="33" t="s">
        <v>71</v>
      </c>
      <c r="Q7" s="32" t="s">
        <v>113</v>
      </c>
      <c r="R7" s="32">
        <v>54</v>
      </c>
      <c r="S7" s="32" t="s">
        <v>114</v>
      </c>
      <c r="T7" s="38">
        <v>50</v>
      </c>
      <c r="U7" s="32" t="s">
        <v>115</v>
      </c>
      <c r="V7" s="35">
        <v>20</v>
      </c>
      <c r="X7" s="75" t="s">
        <v>43</v>
      </c>
      <c r="Y7" s="71">
        <v>13180</v>
      </c>
      <c r="Z7" s="65">
        <v>0.43</v>
      </c>
      <c r="AA7" s="65">
        <v>53</v>
      </c>
      <c r="AB7" s="65">
        <v>1.8</v>
      </c>
      <c r="AC7" s="79">
        <f>Y7/2*(1/60*2*PI())*Z7/2</f>
        <v>148.37218504128995</v>
      </c>
      <c r="AE7" s="90">
        <v>17.857142857142858</v>
      </c>
      <c r="AF7" s="90" t="s">
        <v>198</v>
      </c>
      <c r="AG7" s="89" t="s">
        <v>173</v>
      </c>
      <c r="AH7" s="27" t="s">
        <v>182</v>
      </c>
      <c r="AI7" s="29">
        <v>8.4499999999999993</v>
      </c>
      <c r="AJ7" s="27" t="s">
        <v>222</v>
      </c>
      <c r="AK7" s="90">
        <v>7.56</v>
      </c>
    </row>
    <row r="8" spans="2:44" ht="14.45" x14ac:dyDescent="0.55000000000000004">
      <c r="H8" s="51" t="s">
        <v>163</v>
      </c>
      <c r="I8" s="38">
        <v>38</v>
      </c>
      <c r="J8" s="45" t="s">
        <v>166</v>
      </c>
      <c r="K8" s="58">
        <v>28</v>
      </c>
      <c r="L8" s="52" t="s">
        <v>143</v>
      </c>
      <c r="M8" s="50" t="s">
        <v>143</v>
      </c>
      <c r="N8" s="30" t="s">
        <v>147</v>
      </c>
      <c r="P8" s="32" t="s">
        <v>72</v>
      </c>
      <c r="Q8" s="32" t="s">
        <v>84</v>
      </c>
      <c r="R8" s="32">
        <v>60</v>
      </c>
      <c r="S8" s="32" t="s">
        <v>116</v>
      </c>
      <c r="T8" s="38">
        <v>54</v>
      </c>
      <c r="U8" s="32" t="s">
        <v>117</v>
      </c>
      <c r="V8" s="32" t="s">
        <v>118</v>
      </c>
      <c r="X8" s="75" t="s">
        <v>284</v>
      </c>
      <c r="Y8" s="70">
        <v>18730</v>
      </c>
      <c r="Z8" s="64">
        <v>0.71</v>
      </c>
      <c r="AA8" s="64">
        <v>134</v>
      </c>
      <c r="AB8" s="64">
        <v>0.7</v>
      </c>
      <c r="AC8" s="79">
        <f>Y8/2*(1/60*2*PI())*Z8/2</f>
        <v>348.14867987694288</v>
      </c>
      <c r="AE8" s="90">
        <v>19.480519480519483</v>
      </c>
      <c r="AF8" s="90" t="s">
        <v>197</v>
      </c>
      <c r="AG8" s="103">
        <v>5.33</v>
      </c>
      <c r="AH8" s="27" t="s">
        <v>183</v>
      </c>
      <c r="AI8" s="29">
        <v>9.8699999999999992</v>
      </c>
      <c r="AJ8" s="28" t="s">
        <v>221</v>
      </c>
      <c r="AK8" s="90">
        <v>10.86</v>
      </c>
      <c r="AR8" s="8"/>
    </row>
    <row r="9" spans="2:44" ht="14.45" x14ac:dyDescent="0.55000000000000004">
      <c r="H9" s="32" t="s">
        <v>137</v>
      </c>
      <c r="I9" s="38">
        <v>40</v>
      </c>
      <c r="J9" s="59"/>
      <c r="K9" s="58">
        <v>30</v>
      </c>
      <c r="L9" s="32" t="s">
        <v>158</v>
      </c>
      <c r="M9" s="47">
        <v>39</v>
      </c>
      <c r="N9" s="28" t="s">
        <v>146</v>
      </c>
      <c r="P9" s="32" t="s">
        <v>73</v>
      </c>
      <c r="Q9" s="32" t="s">
        <v>70</v>
      </c>
      <c r="R9" s="32">
        <v>64</v>
      </c>
      <c r="S9" s="32" t="s">
        <v>113</v>
      </c>
      <c r="T9" s="39">
        <v>60</v>
      </c>
      <c r="U9" s="35" t="s">
        <v>100</v>
      </c>
      <c r="V9" s="32">
        <v>40</v>
      </c>
      <c r="X9" s="75" t="s">
        <v>44</v>
      </c>
      <c r="Y9" s="70">
        <v>5800</v>
      </c>
      <c r="Z9" s="68">
        <v>0.28000000000000003</v>
      </c>
      <c r="AA9" s="64">
        <v>18</v>
      </c>
      <c r="AB9" s="64">
        <v>1.6</v>
      </c>
      <c r="AC9" s="79">
        <f>Y9/2*(1/60*2*PI())*Z9/2</f>
        <v>42.516220578581873</v>
      </c>
      <c r="AE9" s="90">
        <v>9.6428571428571441</v>
      </c>
      <c r="AF9" s="90" t="s">
        <v>199</v>
      </c>
      <c r="AG9" s="29">
        <v>6</v>
      </c>
      <c r="AH9" s="27" t="s">
        <v>184</v>
      </c>
      <c r="AI9" s="99">
        <v>10.71</v>
      </c>
      <c r="AK9" s="95">
        <v>16.37</v>
      </c>
      <c r="AR9" s="8"/>
    </row>
    <row r="10" spans="2:44" ht="14.45" customHeight="1" x14ac:dyDescent="0.55000000000000004">
      <c r="C10" s="13" t="s">
        <v>140</v>
      </c>
      <c r="D10" s="13" t="s">
        <v>150</v>
      </c>
      <c r="E10" s="13" t="s">
        <v>148</v>
      </c>
      <c r="H10" s="34" t="s">
        <v>138</v>
      </c>
      <c r="I10" s="38">
        <v>42</v>
      </c>
      <c r="J10" s="59"/>
      <c r="K10" s="58">
        <v>32</v>
      </c>
      <c r="L10" s="45" t="s">
        <v>80</v>
      </c>
      <c r="M10" s="32" t="s">
        <v>158</v>
      </c>
      <c r="P10" s="32" t="s">
        <v>119</v>
      </c>
      <c r="Q10" s="32" t="s">
        <v>120</v>
      </c>
      <c r="R10" s="32">
        <v>66</v>
      </c>
      <c r="S10" s="32" t="s">
        <v>88</v>
      </c>
      <c r="U10" s="32">
        <v>44</v>
      </c>
      <c r="V10" s="32">
        <v>60</v>
      </c>
      <c r="X10" s="75" t="s">
        <v>45</v>
      </c>
      <c r="Y10" s="72">
        <v>14270</v>
      </c>
      <c r="Z10" s="66">
        <v>0.36</v>
      </c>
      <c r="AA10" s="67">
        <v>71</v>
      </c>
      <c r="AB10" s="66">
        <v>3.7</v>
      </c>
      <c r="AC10" s="79">
        <f t="shared" ref="AC10:AC22" si="0">Y10/2*(1/60*2*PI())*Z10/2</f>
        <v>134.49158150017902</v>
      </c>
      <c r="AE10" s="90">
        <v>10.384615384615385</v>
      </c>
      <c r="AF10" s="90" t="s">
        <v>200</v>
      </c>
      <c r="AG10" s="54">
        <v>7</v>
      </c>
      <c r="AH10" s="27" t="s">
        <v>185</v>
      </c>
      <c r="AI10" s="99">
        <v>12.5</v>
      </c>
      <c r="AJ10" s="89" t="s">
        <v>219</v>
      </c>
      <c r="AK10" s="95">
        <v>22.67</v>
      </c>
      <c r="AO10" s="8"/>
      <c r="AQ10" s="8"/>
      <c r="AR10" s="8"/>
    </row>
    <row r="11" spans="2:44" ht="14.45" customHeight="1" x14ac:dyDescent="0.55000000000000004">
      <c r="C11" s="15">
        <v>40</v>
      </c>
      <c r="D11" s="15">
        <v>60</v>
      </c>
      <c r="E11" s="15">
        <v>45</v>
      </c>
      <c r="H11" s="59"/>
      <c r="I11" s="38">
        <v>44</v>
      </c>
      <c r="J11" s="59"/>
      <c r="K11" s="38">
        <v>33</v>
      </c>
      <c r="L11" s="53"/>
      <c r="M11" s="41" t="s">
        <v>80</v>
      </c>
      <c r="P11" s="32" t="s">
        <v>74</v>
      </c>
      <c r="Q11" s="32" t="s">
        <v>121</v>
      </c>
      <c r="R11" s="32">
        <v>70</v>
      </c>
      <c r="S11" s="32" t="s">
        <v>122</v>
      </c>
      <c r="U11" s="32" t="s">
        <v>123</v>
      </c>
      <c r="V11" s="32">
        <v>80</v>
      </c>
      <c r="X11" s="75" t="s">
        <v>231</v>
      </c>
      <c r="Y11" s="73">
        <v>5508</v>
      </c>
      <c r="Z11" s="69">
        <v>3.82</v>
      </c>
      <c r="AA11" s="66">
        <v>220</v>
      </c>
      <c r="AB11" s="66">
        <v>8.16</v>
      </c>
      <c r="AC11" s="79">
        <f t="shared" si="0"/>
        <v>550.84057269512709</v>
      </c>
      <c r="AE11" s="90">
        <v>11.250000000000002</v>
      </c>
      <c r="AF11" s="90" t="s">
        <v>201</v>
      </c>
      <c r="AH11" s="27" t="s">
        <v>186</v>
      </c>
      <c r="AI11" s="90">
        <v>12.75</v>
      </c>
      <c r="AJ11" s="103">
        <v>5.95</v>
      </c>
      <c r="AK11" s="105">
        <v>5.45</v>
      </c>
      <c r="AO11" s="87"/>
      <c r="AQ11" s="87"/>
      <c r="AR11" s="87"/>
    </row>
    <row r="12" spans="2:44" ht="14.45" customHeight="1" x14ac:dyDescent="0.55000000000000004">
      <c r="C12" s="47">
        <v>45</v>
      </c>
      <c r="D12" s="47">
        <v>70</v>
      </c>
      <c r="E12" s="47">
        <v>50</v>
      </c>
      <c r="H12" s="59"/>
      <c r="I12" s="38">
        <v>48</v>
      </c>
      <c r="J12" s="59"/>
      <c r="K12" s="38">
        <v>36</v>
      </c>
      <c r="P12" s="32" t="s">
        <v>75</v>
      </c>
      <c r="Q12" s="32" t="s">
        <v>73</v>
      </c>
      <c r="R12" s="45">
        <v>72</v>
      </c>
      <c r="S12" s="32" t="s">
        <v>108</v>
      </c>
      <c r="U12" s="32" t="s">
        <v>106</v>
      </c>
      <c r="V12" s="32" t="s">
        <v>124</v>
      </c>
      <c r="X12" s="75" t="s">
        <v>232</v>
      </c>
      <c r="Y12" s="73">
        <v>5593</v>
      </c>
      <c r="Z12" s="66">
        <v>5.23</v>
      </c>
      <c r="AA12" s="66">
        <v>309</v>
      </c>
      <c r="AB12" s="66">
        <v>9.6199999999999992</v>
      </c>
      <c r="AC12" s="79">
        <f t="shared" si="0"/>
        <v>765.79959942741618</v>
      </c>
      <c r="AE12" s="90">
        <v>12.272727272727275</v>
      </c>
      <c r="AF12" s="90" t="s">
        <v>202</v>
      </c>
      <c r="AG12" s="102" t="s">
        <v>174</v>
      </c>
      <c r="AH12" s="27" t="s">
        <v>187</v>
      </c>
      <c r="AI12" s="92">
        <v>14.88</v>
      </c>
      <c r="AJ12" s="29">
        <v>7.31</v>
      </c>
      <c r="AK12" s="95">
        <v>6.86</v>
      </c>
      <c r="AQ12" s="87"/>
      <c r="AR12" s="87"/>
    </row>
    <row r="13" spans="2:44" ht="14.45" customHeight="1" x14ac:dyDescent="0.55000000000000004">
      <c r="C13" s="47">
        <v>48</v>
      </c>
      <c r="D13" s="47">
        <v>80</v>
      </c>
      <c r="E13" s="47">
        <v>55</v>
      </c>
      <c r="H13" s="59"/>
      <c r="I13" s="38">
        <v>54</v>
      </c>
      <c r="J13" s="59"/>
      <c r="K13" s="38">
        <v>42</v>
      </c>
      <c r="P13" s="32" t="s">
        <v>125</v>
      </c>
      <c r="Q13" s="32" t="s">
        <v>75</v>
      </c>
      <c r="S13" s="34" t="s">
        <v>115</v>
      </c>
      <c r="U13" s="32">
        <v>50</v>
      </c>
      <c r="V13" s="34">
        <v>100</v>
      </c>
      <c r="X13" s="75" t="s">
        <v>233</v>
      </c>
      <c r="Y13" s="73">
        <v>5437</v>
      </c>
      <c r="Z13" s="66">
        <v>6.23</v>
      </c>
      <c r="AA13" s="66">
        <v>351</v>
      </c>
      <c r="AB13" s="66">
        <v>9.15</v>
      </c>
      <c r="AC13" s="79">
        <f t="shared" si="0"/>
        <v>886.78023812205663</v>
      </c>
      <c r="AE13" s="90">
        <v>7.4404761904761916</v>
      </c>
      <c r="AF13" s="90" t="s">
        <v>203</v>
      </c>
      <c r="AG13" s="29">
        <v>4.17</v>
      </c>
      <c r="AH13" s="27" t="s">
        <v>188</v>
      </c>
      <c r="AJ13" s="29">
        <v>8.4499999999999993</v>
      </c>
      <c r="AK13" s="95">
        <v>8.6300000000000008</v>
      </c>
      <c r="AQ13" s="87"/>
      <c r="AR13" s="87"/>
    </row>
    <row r="14" spans="2:44" s="25" customFormat="1" ht="14.45" customHeight="1" x14ac:dyDescent="0.55000000000000004">
      <c r="C14" s="47">
        <v>60</v>
      </c>
      <c r="D14" s="48">
        <v>85</v>
      </c>
      <c r="E14" s="48">
        <v>60</v>
      </c>
      <c r="H14" s="60"/>
      <c r="I14" s="38">
        <v>58</v>
      </c>
      <c r="J14" s="60"/>
      <c r="K14" s="37">
        <v>44</v>
      </c>
      <c r="P14" s="32" t="s">
        <v>76</v>
      </c>
      <c r="Q14" s="32" t="s">
        <v>76</v>
      </c>
      <c r="R14"/>
      <c r="S14"/>
      <c r="T14"/>
      <c r="U14" s="32" t="s">
        <v>126</v>
      </c>
      <c r="V14"/>
      <c r="X14" s="75" t="s">
        <v>46</v>
      </c>
      <c r="Y14" s="70">
        <v>13050</v>
      </c>
      <c r="Z14" s="64">
        <v>0.72</v>
      </c>
      <c r="AA14" s="64">
        <v>97</v>
      </c>
      <c r="AB14" s="64">
        <v>2.7</v>
      </c>
      <c r="AC14" s="79">
        <f t="shared" si="0"/>
        <v>245.98670477608078</v>
      </c>
      <c r="AE14" s="91">
        <v>8.0128205128205128</v>
      </c>
      <c r="AF14" s="91" t="s">
        <v>204</v>
      </c>
      <c r="AG14" s="29">
        <v>5.67</v>
      </c>
      <c r="AH14" s="26" t="s">
        <v>189</v>
      </c>
      <c r="AI14" s="89" t="s">
        <v>217</v>
      </c>
      <c r="AJ14" s="99">
        <v>10.71</v>
      </c>
      <c r="AK14" s="96">
        <v>12.41</v>
      </c>
      <c r="AQ14" s="87"/>
      <c r="AR14" s="87"/>
    </row>
    <row r="15" spans="2:44" ht="14.45" customHeight="1" x14ac:dyDescent="0.55000000000000004">
      <c r="C15" s="47">
        <v>70</v>
      </c>
      <c r="D15" s="48">
        <v>90</v>
      </c>
      <c r="E15" s="48">
        <v>70</v>
      </c>
      <c r="H15" s="59"/>
      <c r="I15" s="37">
        <v>60</v>
      </c>
      <c r="J15" s="59"/>
      <c r="K15" s="37">
        <v>48</v>
      </c>
      <c r="M15" s="55" t="s">
        <v>160</v>
      </c>
      <c r="N15" s="56"/>
      <c r="P15" s="32" t="s">
        <v>77</v>
      </c>
      <c r="Q15" s="32" t="s">
        <v>115</v>
      </c>
      <c r="U15" s="32" t="s">
        <v>127</v>
      </c>
      <c r="X15" s="75" t="s">
        <v>169</v>
      </c>
      <c r="Y15" s="70">
        <v>100</v>
      </c>
      <c r="Z15" s="64">
        <v>7.91</v>
      </c>
      <c r="AA15" s="64">
        <v>24</v>
      </c>
      <c r="AB15" s="64">
        <v>5</v>
      </c>
      <c r="AC15" s="79">
        <f t="shared" si="0"/>
        <v>20.708331574912716</v>
      </c>
      <c r="AE15" s="90">
        <v>8.6805555555555571</v>
      </c>
      <c r="AF15" s="90" t="s">
        <v>205</v>
      </c>
      <c r="AG15" s="14">
        <v>9.52</v>
      </c>
      <c r="AH15" s="26" t="s">
        <v>190</v>
      </c>
      <c r="AI15" s="103">
        <v>5.95</v>
      </c>
      <c r="AJ15" s="98">
        <v>12.75</v>
      </c>
      <c r="AK15" s="96">
        <v>18.71</v>
      </c>
    </row>
    <row r="16" spans="2:44" ht="14.45" customHeight="1" x14ac:dyDescent="0.55000000000000004">
      <c r="C16" s="47">
        <v>80</v>
      </c>
      <c r="D16" s="48">
        <v>100</v>
      </c>
      <c r="E16" s="48">
        <v>85</v>
      </c>
      <c r="H16" s="59"/>
      <c r="I16" s="37">
        <v>64</v>
      </c>
      <c r="J16" s="59"/>
      <c r="K16" s="37">
        <v>54</v>
      </c>
      <c r="M16" s="108" t="s">
        <v>157</v>
      </c>
      <c r="N16" s="108"/>
      <c r="P16" s="32" t="s">
        <v>115</v>
      </c>
      <c r="Q16" s="32" t="s">
        <v>102</v>
      </c>
      <c r="U16" s="34">
        <v>60</v>
      </c>
      <c r="X16" s="75" t="s">
        <v>47</v>
      </c>
      <c r="Y16" s="73">
        <v>6600</v>
      </c>
      <c r="Z16" s="66">
        <v>6.1800000000000001E-2</v>
      </c>
      <c r="AA16" s="66">
        <v>11.5</v>
      </c>
      <c r="AB16" s="66">
        <v>2</v>
      </c>
      <c r="AC16" s="79">
        <f t="shared" si="0"/>
        <v>10.678273429551705</v>
      </c>
      <c r="AE16" s="90">
        <v>9.4696969696969706</v>
      </c>
      <c r="AF16" s="90" t="s">
        <v>206</v>
      </c>
      <c r="AH16" s="26" t="s">
        <v>191</v>
      </c>
      <c r="AI16" s="29">
        <v>8.4499999999999993</v>
      </c>
      <c r="AK16" s="106">
        <v>25.9</v>
      </c>
    </row>
    <row r="17" spans="3:38" ht="14.45" x14ac:dyDescent="0.55000000000000004">
      <c r="C17" s="48">
        <v>90</v>
      </c>
      <c r="D17" s="48">
        <v>104</v>
      </c>
      <c r="E17" s="48">
        <v>90</v>
      </c>
      <c r="H17" s="59"/>
      <c r="I17" s="37">
        <v>66</v>
      </c>
      <c r="J17" s="59"/>
      <c r="K17" s="61">
        <v>60</v>
      </c>
      <c r="M17" s="109" t="s">
        <v>164</v>
      </c>
      <c r="N17" s="110"/>
      <c r="P17" s="32" t="s">
        <v>103</v>
      </c>
      <c r="Q17" s="32" t="s">
        <v>100</v>
      </c>
      <c r="X17" s="76" t="s">
        <v>48</v>
      </c>
      <c r="Y17" s="73">
        <v>5300</v>
      </c>
      <c r="Z17" s="66">
        <v>0.13</v>
      </c>
      <c r="AA17" s="66">
        <v>7</v>
      </c>
      <c r="AB17" s="66">
        <v>1</v>
      </c>
      <c r="AC17" s="79">
        <f t="shared" si="0"/>
        <v>18.037977819361398</v>
      </c>
      <c r="AE17" s="90">
        <v>5.2380952380952381</v>
      </c>
      <c r="AF17" s="90" t="s">
        <v>207</v>
      </c>
      <c r="AG17" s="102" t="s">
        <v>225</v>
      </c>
      <c r="AH17" s="26" t="s">
        <v>192</v>
      </c>
      <c r="AI17" s="29">
        <v>10.71</v>
      </c>
      <c r="AJ17" s="102" t="s">
        <v>227</v>
      </c>
      <c r="AK17" s="96">
        <v>9.5399999999999991</v>
      </c>
    </row>
    <row r="18" spans="3:38" ht="14.45" x14ac:dyDescent="0.55000000000000004">
      <c r="C18" s="48">
        <v>93</v>
      </c>
      <c r="D18" s="48">
        <v>107</v>
      </c>
      <c r="E18" s="48">
        <v>100</v>
      </c>
      <c r="I18" s="61">
        <v>72</v>
      </c>
      <c r="M18" s="231" t="s">
        <v>159</v>
      </c>
      <c r="N18" s="232"/>
      <c r="P18" s="32" t="s">
        <v>92</v>
      </c>
      <c r="Q18" s="32" t="s">
        <v>78</v>
      </c>
      <c r="S18" s="55" t="s">
        <v>160</v>
      </c>
      <c r="T18" s="8"/>
      <c r="X18" s="76" t="s">
        <v>49</v>
      </c>
      <c r="Y18" s="73">
        <v>24</v>
      </c>
      <c r="Z18" s="66">
        <v>22</v>
      </c>
      <c r="AA18" s="66">
        <v>12</v>
      </c>
      <c r="AB18" s="66">
        <v>3</v>
      </c>
      <c r="AC18" s="79">
        <f t="shared" si="0"/>
        <v>13.82300767579509</v>
      </c>
      <c r="AE18" s="90">
        <v>5.6410256410256405</v>
      </c>
      <c r="AF18" s="90" t="s">
        <v>208</v>
      </c>
      <c r="AG18" s="27" t="s">
        <v>175</v>
      </c>
      <c r="AH18" s="26" t="s">
        <v>193</v>
      </c>
      <c r="AI18" s="98">
        <v>12.75</v>
      </c>
      <c r="AJ18" s="29">
        <v>5.95</v>
      </c>
      <c r="AK18" s="96">
        <v>12</v>
      </c>
    </row>
    <row r="19" spans="3:38" ht="14.45" x14ac:dyDescent="0.55000000000000004">
      <c r="C19" s="48">
        <v>100</v>
      </c>
      <c r="D19" s="48">
        <v>110</v>
      </c>
      <c r="E19" s="48">
        <v>105</v>
      </c>
      <c r="P19" s="32" t="s">
        <v>128</v>
      </c>
      <c r="Q19" s="32" t="s">
        <v>101</v>
      </c>
      <c r="S19" s="228" t="s">
        <v>151</v>
      </c>
      <c r="T19" s="228"/>
      <c r="X19" s="83" t="s">
        <v>285</v>
      </c>
      <c r="Y19" s="73">
        <v>3084</v>
      </c>
      <c r="Z19" s="66">
        <v>0.32</v>
      </c>
      <c r="AA19" s="66">
        <v>6.5</v>
      </c>
      <c r="AB19" s="66">
        <v>0.28000000000000003</v>
      </c>
      <c r="AC19" s="79">
        <f t="shared" si="0"/>
        <v>25.836457983122461</v>
      </c>
      <c r="AE19" s="90">
        <v>6.1111111111111107</v>
      </c>
      <c r="AF19" s="90" t="s">
        <v>209</v>
      </c>
      <c r="AG19" s="27" t="s">
        <v>176</v>
      </c>
      <c r="AH19" s="93" t="s">
        <v>194</v>
      </c>
      <c r="AJ19" s="29">
        <v>7.31</v>
      </c>
      <c r="AK19" s="96">
        <v>15.11</v>
      </c>
    </row>
    <row r="20" spans="3:38" ht="14.45" x14ac:dyDescent="0.55000000000000004">
      <c r="C20" s="48">
        <v>104</v>
      </c>
      <c r="D20" s="48">
        <v>117</v>
      </c>
      <c r="E20" s="48">
        <v>110</v>
      </c>
      <c r="P20" s="32" t="s">
        <v>93</v>
      </c>
      <c r="Q20" s="32" t="s">
        <v>79</v>
      </c>
      <c r="S20" s="229" t="s">
        <v>152</v>
      </c>
      <c r="T20" s="230"/>
      <c r="X20" s="75" t="s">
        <v>290</v>
      </c>
      <c r="Y20" s="73">
        <v>90</v>
      </c>
      <c r="Z20" s="66">
        <v>9.24</v>
      </c>
      <c r="AA20" s="66">
        <v>1.5</v>
      </c>
      <c r="AB20" s="66">
        <v>16.25</v>
      </c>
      <c r="AC20" s="79">
        <f t="shared" si="0"/>
        <v>21.771237089377266</v>
      </c>
      <c r="AE20" s="90">
        <v>6.666666666666667</v>
      </c>
      <c r="AF20" s="90" t="s">
        <v>210</v>
      </c>
      <c r="AG20" s="27" t="s">
        <v>177</v>
      </c>
      <c r="AH20" s="88"/>
      <c r="AI20" s="102" t="s">
        <v>216</v>
      </c>
      <c r="AJ20" s="29">
        <v>8.4499999999999993</v>
      </c>
      <c r="AK20" s="96">
        <v>21.72</v>
      </c>
    </row>
    <row r="21" spans="3:38" ht="14.45" x14ac:dyDescent="0.55000000000000004">
      <c r="C21" s="48">
        <v>110</v>
      </c>
      <c r="D21" s="48">
        <v>120</v>
      </c>
      <c r="E21" s="46">
        <v>120</v>
      </c>
      <c r="H21" s="9"/>
      <c r="I21" s="9"/>
      <c r="J21" s="9"/>
      <c r="K21" s="9"/>
      <c r="L21" s="9"/>
      <c r="P21" s="32" t="s">
        <v>129</v>
      </c>
      <c r="Q21" s="34" t="s">
        <v>130</v>
      </c>
      <c r="S21" s="229" t="s">
        <v>154</v>
      </c>
      <c r="T21" s="230"/>
      <c r="X21" s="86"/>
      <c r="Y21" s="73"/>
      <c r="Z21" s="66"/>
      <c r="AA21" s="66"/>
      <c r="AB21" s="66"/>
      <c r="AC21" s="79">
        <f t="shared" si="0"/>
        <v>0</v>
      </c>
      <c r="AE21" s="90">
        <v>4.2016806722689077</v>
      </c>
      <c r="AF21" s="90" t="s">
        <v>211</v>
      </c>
      <c r="AG21" s="27" t="s">
        <v>178</v>
      </c>
      <c r="AH21" s="27"/>
      <c r="AI21" s="29">
        <v>5.95</v>
      </c>
      <c r="AJ21" s="29">
        <v>10.71</v>
      </c>
      <c r="AK21" s="96">
        <v>32.74</v>
      </c>
    </row>
    <row r="22" spans="3:38" ht="14.45" customHeight="1" x14ac:dyDescent="0.55000000000000004">
      <c r="C22" s="48">
        <v>120</v>
      </c>
      <c r="D22" s="48">
        <v>130</v>
      </c>
      <c r="P22" s="32" t="s">
        <v>105</v>
      </c>
      <c r="S22" s="231" t="s">
        <v>155</v>
      </c>
      <c r="T22" s="232"/>
      <c r="X22" s="82"/>
      <c r="Y22" s="85"/>
      <c r="Z22" s="80"/>
      <c r="AA22" s="80"/>
      <c r="AB22" s="80"/>
      <c r="AC22" s="81">
        <f t="shared" si="0"/>
        <v>0</v>
      </c>
      <c r="AE22" s="90">
        <v>4.5248868778280542</v>
      </c>
      <c r="AF22" s="90" t="s">
        <v>212</v>
      </c>
      <c r="AG22" s="28" t="s">
        <v>179</v>
      </c>
      <c r="AI22" s="29">
        <v>7.31</v>
      </c>
      <c r="AJ22" s="98">
        <v>12.75</v>
      </c>
      <c r="AK22" s="97">
        <v>45.33</v>
      </c>
      <c r="AL22" t="s">
        <v>230</v>
      </c>
    </row>
    <row r="23" spans="3:38" ht="14.45" x14ac:dyDescent="0.55000000000000004">
      <c r="C23" s="48">
        <v>130</v>
      </c>
      <c r="D23" s="48">
        <v>131</v>
      </c>
      <c r="P23" s="32" t="s">
        <v>131</v>
      </c>
      <c r="AE23" s="90">
        <v>4.9019607843137258</v>
      </c>
      <c r="AF23" s="90" t="s">
        <v>228</v>
      </c>
      <c r="AI23" s="29">
        <v>8.4499999999999993</v>
      </c>
    </row>
    <row r="24" spans="3:38" ht="14.45" x14ac:dyDescent="0.55000000000000004">
      <c r="C24" s="48">
        <v>140</v>
      </c>
      <c r="D24" s="48">
        <v>140</v>
      </c>
      <c r="P24" s="33" t="s">
        <v>107</v>
      </c>
      <c r="AE24" s="92">
        <v>5.3475935828877015</v>
      </c>
      <c r="AF24" s="92" t="s">
        <v>213</v>
      </c>
      <c r="AI24" s="29">
        <v>10.71</v>
      </c>
    </row>
    <row r="25" spans="3:38" ht="14.45" x14ac:dyDescent="0.55000000000000004">
      <c r="C25" s="48">
        <v>150</v>
      </c>
      <c r="D25" s="48">
        <v>150</v>
      </c>
      <c r="P25" s="32" t="s">
        <v>94</v>
      </c>
      <c r="U25" s="8"/>
      <c r="AI25" s="98">
        <v>12.75</v>
      </c>
    </row>
    <row r="26" spans="3:38" ht="14.45" x14ac:dyDescent="0.55000000000000004">
      <c r="C26" s="48">
        <v>160</v>
      </c>
      <c r="D26" s="48">
        <v>151</v>
      </c>
      <c r="P26" s="32" t="s">
        <v>104</v>
      </c>
    </row>
    <row r="27" spans="3:38" ht="14.45" x14ac:dyDescent="0.55000000000000004">
      <c r="C27" s="48">
        <v>170</v>
      </c>
      <c r="D27" s="48">
        <v>160</v>
      </c>
      <c r="P27" s="32" t="s">
        <v>95</v>
      </c>
    </row>
    <row r="28" spans="3:38" ht="14.45" x14ac:dyDescent="0.55000000000000004">
      <c r="C28" s="48">
        <v>180</v>
      </c>
      <c r="D28" s="48">
        <v>170</v>
      </c>
      <c r="P28" s="32" t="s">
        <v>96</v>
      </c>
    </row>
    <row r="29" spans="3:38" ht="14.45" x14ac:dyDescent="0.55000000000000004">
      <c r="C29" s="48">
        <v>200</v>
      </c>
      <c r="D29" s="48">
        <v>180</v>
      </c>
      <c r="P29" s="32" t="s">
        <v>81</v>
      </c>
    </row>
    <row r="30" spans="3:38" ht="14.45" x14ac:dyDescent="0.55000000000000004">
      <c r="C30" s="48">
        <v>225</v>
      </c>
      <c r="D30" s="48">
        <v>200</v>
      </c>
      <c r="P30" s="32" t="s">
        <v>82</v>
      </c>
    </row>
    <row r="31" spans="3:38" ht="14.45" x14ac:dyDescent="0.55000000000000004">
      <c r="C31" s="46">
        <v>250</v>
      </c>
      <c r="D31" s="48">
        <v>225</v>
      </c>
      <c r="P31" s="32" t="s">
        <v>97</v>
      </c>
    </row>
    <row r="32" spans="3:38" ht="14.45" x14ac:dyDescent="0.55000000000000004">
      <c r="D32" s="46">
        <v>250</v>
      </c>
      <c r="P32" s="34" t="s">
        <v>98</v>
      </c>
    </row>
  </sheetData>
  <mergeCells count="5">
    <mergeCell ref="S19:T19"/>
    <mergeCell ref="S20:T20"/>
    <mergeCell ref="S21:T21"/>
    <mergeCell ref="S22:T22"/>
    <mergeCell ref="M18:N18"/>
  </mergeCells>
  <hyperlinks>
    <hyperlink ref="AG5" r:id="rId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README</vt:lpstr>
      <vt:lpstr>Drivetrain</vt:lpstr>
      <vt:lpstr>SprintDistance</vt:lpstr>
      <vt:lpstr>MechanismRatio</vt:lpstr>
      <vt:lpstr>Projectile</vt:lpstr>
      <vt:lpstr>ChainBelt</vt:lpstr>
      <vt:lpstr>GearSize</vt:lpstr>
      <vt:lpstr>Pneumatics</vt:lpstr>
      <vt:lpstr>UsefulValues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2017-09-16T19:27:25Z</dcterms:created>
  <dcterms:modified xsi:type="dcterms:W3CDTF">2018-08-21T15:51:13Z</dcterms:modified>
</cp:coreProperties>
</file>