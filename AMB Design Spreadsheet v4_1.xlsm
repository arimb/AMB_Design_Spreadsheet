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90" yWindow="-90" windowWidth="19440" windowHeight="13155"/>
  </bookViews>
  <sheets>
    <sheet name="READ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Specs" sheetId="3" r:id="rId12"/>
  </sheets>
  <externalReferences>
    <externalReference r:id="rId13"/>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otors" localSheetId="0">[1]UsefulValues!$H$4:$H$24</definedName>
    <definedName name="Motors">Specs!$B$5:$B$27</definedName>
    <definedName name="MotorSpecs">Specs!$B$5:$G$27</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27" i="3" l="1"/>
  <c r="G25" i="3"/>
  <c r="G26" i="3"/>
  <c r="N34" i="14" l="1"/>
  <c r="P34" i="14"/>
  <c r="O34" i="14"/>
  <c r="M34" i="14"/>
  <c r="H10" i="14"/>
  <c r="H9" i="14"/>
  <c r="D13" i="14"/>
  <c r="D12" i="14"/>
  <c r="N38" i="14" l="1"/>
  <c r="M38" i="14"/>
  <c r="L36" i="14"/>
  <c r="N36" i="14" s="1"/>
  <c r="N37" i="14" s="1"/>
  <c r="M35" i="14"/>
  <c r="K39" i="14"/>
  <c r="M39" i="14" s="1"/>
  <c r="M40" i="14" s="1"/>
  <c r="N35" i="14"/>
  <c r="L39" i="14"/>
  <c r="N39" i="14" s="1"/>
  <c r="N40" i="14" s="1"/>
  <c r="K36" i="14"/>
  <c r="M36" i="14" s="1"/>
  <c r="M37" i="14" s="1"/>
  <c r="G12" i="14"/>
  <c r="G13" i="14" l="1"/>
  <c r="L34" i="14" s="1"/>
  <c r="K34" i="14"/>
  <c r="L37" i="14" l="1"/>
  <c r="L40" i="14"/>
  <c r="K37" i="14"/>
  <c r="K40" i="14"/>
  <c r="M41" i="14" l="1"/>
  <c r="N41" i="14" s="1"/>
  <c r="L41" i="14"/>
  <c r="I40" i="13" l="1"/>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D42" i="13" l="1"/>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D19" i="10"/>
  <c r="D18" i="10"/>
  <c r="D17" i="10"/>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J13" i="10"/>
  <c r="E45" i="13" l="1"/>
  <c r="G11" i="10"/>
  <c r="G13" i="10" s="1"/>
  <c r="J12" i="10"/>
  <c r="J11" i="10" s="1"/>
  <c r="J14" i="10" s="1"/>
  <c r="G13" i="9"/>
  <c r="M33" i="9" s="1"/>
  <c r="M37" i="9" s="1"/>
  <c r="D14" i="9"/>
  <c r="F9" i="9"/>
  <c r="F13" i="9"/>
  <c r="F8" i="9"/>
  <c r="F7" i="9"/>
  <c r="C13" i="9"/>
  <c r="C9" i="9"/>
  <c r="C8" i="9"/>
  <c r="C7" i="9"/>
  <c r="D20" i="8"/>
  <c r="D21" i="8"/>
  <c r="I10" i="8"/>
  <c r="O8" i="8"/>
  <c r="O9" i="8"/>
  <c r="L13" i="8"/>
  <c r="L8" i="8"/>
  <c r="I13" i="8"/>
  <c r="I9" i="8"/>
  <c r="I8" i="8"/>
  <c r="F13" i="8"/>
  <c r="F10" i="8"/>
  <c r="F9" i="8"/>
  <c r="F8" i="8"/>
  <c r="D23" i="8"/>
  <c r="D22" i="8"/>
  <c r="C13" i="8"/>
  <c r="C12" i="8"/>
  <c r="C11" i="8"/>
  <c r="L22" i="7"/>
  <c r="J23" i="7"/>
  <c r="J24" i="7"/>
  <c r="H25" i="7"/>
  <c r="G25" i="7"/>
  <c r="H20" i="7"/>
  <c r="G20" i="7"/>
  <c r="J10" i="7"/>
  <c r="J9" i="7"/>
  <c r="J8" i="7"/>
  <c r="J7" i="7"/>
  <c r="J6" i="7"/>
  <c r="C20" i="7"/>
  <c r="C19" i="7"/>
  <c r="D10" i="7"/>
  <c r="E10" i="7" s="1"/>
  <c r="D9" i="7"/>
  <c r="E9" i="7" s="1"/>
  <c r="D8" i="7"/>
  <c r="E8" i="7" s="1"/>
  <c r="D7" i="7"/>
  <c r="E7" i="7" s="1"/>
  <c r="I14" i="7" s="1"/>
  <c r="K13" i="1"/>
  <c r="D45" i="13" l="1"/>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I15" i="7"/>
  <c r="L24" i="7"/>
  <c r="L23" i="7" s="1"/>
  <c r="I13" i="7"/>
  <c r="L25" i="7"/>
  <c r="G13" i="8"/>
  <c r="P13" i="8"/>
  <c r="J13" i="8"/>
  <c r="M13" i="8"/>
  <c r="L19" i="7"/>
  <c r="L18" i="7" s="1"/>
  <c r="L20" i="7"/>
  <c r="E11" i="7"/>
  <c r="H11" i="5"/>
  <c r="H16" i="5"/>
  <c r="I15" i="5"/>
  <c r="J9" i="5"/>
  <c r="J10" i="5" s="1"/>
  <c r="I9" i="5"/>
  <c r="I11" i="5" s="1"/>
  <c r="H7" i="5"/>
  <c r="I12" i="5" s="1"/>
  <c r="G16" i="5"/>
  <c r="G13" i="5"/>
  <c r="G12" i="5"/>
  <c r="G11" i="5"/>
  <c r="G10" i="5"/>
  <c r="G9" i="5"/>
  <c r="G7" i="5"/>
  <c r="D14" i="5"/>
  <c r="H6" i="5" s="1"/>
  <c r="C7" i="5"/>
  <c r="C6" i="5"/>
  <c r="I13" i="1"/>
  <c r="E18" i="1"/>
  <c r="E17" i="1"/>
  <c r="I17" i="1"/>
  <c r="H7" i="1" s="1"/>
  <c r="G13" i="1"/>
  <c r="C18" i="1"/>
  <c r="G11" i="1"/>
  <c r="G10" i="1"/>
  <c r="G6" i="3"/>
  <c r="G7" i="3"/>
  <c r="G8" i="3"/>
  <c r="G9" i="3"/>
  <c r="G10" i="3"/>
  <c r="G11" i="3"/>
  <c r="G12" i="3"/>
  <c r="G13" i="3"/>
  <c r="G14" i="3"/>
  <c r="G15" i="3"/>
  <c r="G16" i="3"/>
  <c r="G17" i="3"/>
  <c r="G18" i="3"/>
  <c r="G19" i="3"/>
  <c r="G20" i="3"/>
  <c r="G21" i="3"/>
  <c r="G22" i="3"/>
  <c r="G23" i="3"/>
  <c r="G24" i="3"/>
  <c r="G5" i="3"/>
  <c r="D11" i="7" s="1"/>
  <c r="D11" i="1"/>
  <c r="C17" i="1"/>
  <c r="D10" i="1"/>
  <c r="E10" i="1" s="1"/>
  <c r="D9" i="1"/>
  <c r="E9" i="1" s="1"/>
  <c r="D8" i="1"/>
  <c r="E8" i="1" s="1"/>
  <c r="D7" i="1"/>
  <c r="E7" i="1" s="1"/>
  <c r="J12" i="5" l="1"/>
  <c r="D46" i="13"/>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E47" i="13" l="1"/>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E48" i="13" l="1"/>
  <c r="D48" i="13" s="1"/>
  <c r="P9" i="1"/>
  <c r="P11" i="1" s="1"/>
  <c r="P10" i="1"/>
  <c r="N9" i="1"/>
  <c r="N11" i="1" s="1"/>
  <c r="N10" i="1"/>
  <c r="I9" i="1"/>
  <c r="I11" i="1" s="1"/>
  <c r="I10" i="1"/>
  <c r="J9" i="1"/>
  <c r="J11" i="1" s="1"/>
  <c r="E49" i="13" l="1"/>
  <c r="D49" i="13" s="1"/>
  <c r="F50" i="13" s="1"/>
  <c r="E50" i="13" l="1"/>
  <c r="D50" i="13" s="1"/>
  <c r="F51" i="13" s="1"/>
  <c r="E51" i="13" l="1"/>
  <c r="D51" i="13" s="1"/>
  <c r="F52" i="13" s="1"/>
  <c r="E52" i="13" l="1"/>
  <c r="D52" i="13" s="1"/>
  <c r="F53" i="13" s="1"/>
  <c r="E53" i="13" l="1"/>
  <c r="D53" i="13" s="1"/>
  <c r="F54" i="13" s="1"/>
  <c r="E54" i="13" l="1"/>
  <c r="D54" i="13" s="1"/>
  <c r="F55" i="13" s="1"/>
  <c r="E55" i="13" l="1"/>
  <c r="D55" i="13" s="1"/>
  <c r="F56" i="13" s="1"/>
  <c r="E56" i="13" l="1"/>
  <c r="D56" i="13" s="1"/>
  <c r="F57" i="13" s="1"/>
  <c r="E57" i="13" l="1"/>
  <c r="D57" i="13" s="1"/>
  <c r="F58" i="13" s="1"/>
  <c r="E58" i="13" l="1"/>
  <c r="D58" i="13" s="1"/>
  <c r="F59" i="13" s="1"/>
  <c r="E59" i="13" l="1"/>
  <c r="D59" i="13" s="1"/>
  <c r="F60" i="13" s="1"/>
  <c r="E60" i="13" l="1"/>
  <c r="D60" i="13" s="1"/>
  <c r="F61" i="13" s="1"/>
  <c r="E61" i="13" l="1"/>
  <c r="D61" i="13" s="1"/>
  <c r="F62" i="13" s="1"/>
  <c r="E62" i="13" l="1"/>
  <c r="D62" i="13" s="1"/>
  <c r="F63" i="13" s="1"/>
  <c r="E63" i="13" l="1"/>
  <c r="D63" i="13" s="1"/>
  <c r="F64" i="13" s="1"/>
  <c r="E64" i="13" l="1"/>
  <c r="D64" i="13" s="1"/>
  <c r="F65" i="13" s="1"/>
  <c r="E65" i="13" l="1"/>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<sst xmlns="http://schemas.openxmlformats.org/spreadsheetml/2006/main" count="286" uniqueCount="226">
  <si>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</si>
  <si>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</si>
  <si>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</si>
  <si>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</si>
  <si>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</si>
  <si>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</si>
  <si>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</si>
  <si>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</si>
  <si>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</si>
  <si>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</si>
  <si>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</si>
  <si>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</si>
  <si>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</si>
  <si>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</si>
  <si>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</si>
  <si>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</si>
  <si>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</si>
  <si>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</si>
  <si>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</si>
  <si>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</si>
  <si>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</si>
  <si>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</si>
  <si>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</si>
  <si>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</si>
  <si>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</si>
  <si>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</si>
  <si>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</si>
  <si>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</si>
  <si>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</si>
  <si>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</si>
  <si>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</si>
  <si>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</si>
  <si>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</si>
  <si>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</si>
  <si>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</si>
  <si>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</si>
  <si>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</si>
  <si>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</si>
  <si>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</si>
  <si>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</si>
  <si>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</si>
  <si>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</si>
  <si>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</si>
  <si>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</si>
  <si>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</si>
  <si>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</si>
  <si>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</si>
  <si>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</si>
  <si>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</si>
  <si>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</si>
  <si>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</si>
  <si>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</si>
  <si>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</si>
  <si>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</si>
  <si>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</si>
  <si>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</si>
  <si>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</si>
  <si>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</si>
  <si>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</si>
  <si>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</si>
  <si>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</si>
  <si>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</si>
  <si>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</si>
  <si>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</si>
  <si>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</si>
  <si>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</si>
  <si>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</si>
  <si>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</si>
  <si>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</si>
  <si>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</si>
  <si>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</si>
  <si>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</si>
  <si>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</si>
  <si>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</si>
  <si>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</si>
  <si>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</si>
  <si>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</si>
  <si>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</si>
  <si>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</si>
  <si>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2 Wheel Types?</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</si>
  <si>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</si>
  <si>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</si>
  <si>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</si>
  <si>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</si>
  <si>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</si>
  <si>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</si>
  <si>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</si>
  <si>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</si>
  <si>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</si>
  <si>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</si>
  <si>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</si>
  <si>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</si>
  <si>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</si>
  <si>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K (see chart)</t>
  </si>
  <si>
    <t>Twisting Torque</t>
  </si>
  <si>
    <t>Twist Angle (°)</t>
  </si>
  <si>
    <t>7075 Al</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</si>
  <si>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</si>
  <si>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</si>
  <si>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</si>
  <si>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</si>
  <si>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</si>
  <si>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</si>
  <si>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</si>
  <si>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</si>
  <si>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</si>
  <si>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</si>
  <si>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</si>
  <si>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</si>
  <si>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</si>
  <si>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</si>
  <si>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</si>
  <si>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</si>
  <si>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</si>
  <si>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</si>
  <si>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</si>
  <si>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</si>
  <si>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</si>
  <si>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</si>
  <si>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</si>
  <si>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</si>
  <si>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</si>
  <si>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</si>
  <si>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</si>
  <si>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</si>
  <si>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</si>
  <si>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</si>
  <si>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</si>
  <si>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</si>
  <si>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</si>
  <si>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</si>
  <si>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</si>
  <si>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</si>
  <si>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</si>
  <si>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</si>
  <si>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</si>
  <si>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</si>
  <si>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</si>
  <si>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</si>
  <si>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</si>
  <si>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</si>
  <si>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</si>
  <si>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</si>
  <si>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</si>
  <si>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</si>
  <si>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</si>
  <si>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</si>
  <si>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</si>
  <si>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</si>
  <si>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</si>
  <si>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</si>
  <si>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</si>
  <si>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</si>
  <si>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</si>
  <si>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</si>
  <si>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</si>
  <si>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</si>
  <si>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</si>
  <si>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</si>
  <si>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</si>
  <si>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</si>
  <si>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</si>
  <si>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</si>
  <si>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</si>
  <si>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</si>
  <si>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</si>
  <si>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</si>
  <si>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</si>
  <si>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</si>
  <si>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</si>
  <si>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</si>
  <si>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</si>
  <si>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</si>
  <si>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</si>
  <si>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</si>
  <si>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</si>
  <si>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</si>
  <si>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</si>
  <si>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</si>
  <si>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</si>
  <si>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</si>
  <si>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</si>
  <si>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</si>
  <si>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</si>
  <si>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</si>
  <si>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Thin black lines represent the linkage</t>
  </si>
  <si>
    <t>• Thick gray lines represent the piston</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</si>
  <si>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</si>
  <si>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</si>
  <si>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</si>
  <si>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</si>
  <si>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</si>
  <si>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</si>
  <si>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</si>
  <si>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</si>
  <si>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</si>
  <si>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</si>
  <si>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</si>
  <si>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</si>
  <si>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</si>
  <si>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</si>
  <si>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</si>
  <si>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</si>
  <si>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</si>
  <si>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</si>
  <si>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</si>
  <si>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</si>
  <si>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</si>
  <si>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Version 4.1</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</si>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</sst>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 \:\ \1"/>
    <numFmt numFmtId="166" formatCode="0.0%"/>
    <numFmt numFmtId="167" formatCode="0.000"/>
    <numFmt numFmtId="168" formatCode="0.00000"/>
    <numFmt numFmtId="169" formatCode="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s>
  <fills count="10">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s>
  <borders count="53">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s>
  <cellStyleXfs count="6">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cellStyleXfs>
  <cellXfs count="179">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2" fillId="0" borderId="0" xfId="0" applyFont="1" applyAlignment="1" applyProtection="1">
      <alignment vertical="center"/>
      <protection locked="0"/>
    </xf>
    <xf numFmtId="0" fontId="0" fillId="0" borderId="7" xfId="0" applyBorder="1" applyAlignment="1">
      <alignment vertical="center"/>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0" fillId="0" borderId="0" xfId="0" applyBorder="1" applyAlignment="1">
      <alignment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18" xfId="0" applyFont="1" applyBorder="1" applyAlignment="1">
      <alignment vertical="center"/>
    </xf>
    <xf numFmtId="0" fontId="1" fillId="0" borderId="16" xfId="0" applyFont="1" applyBorder="1" applyAlignment="1">
      <alignment vertical="center"/>
    </xf>
    <xf numFmtId="0" fontId="1" fillId="0" borderId="17" xfId="0" applyFont="1" applyBorder="1" applyAlignment="1">
      <alignment vertical="center"/>
    </xf>
    <xf numFmtId="0" fontId="1" fillId="0" borderId="15" xfId="0" applyFont="1" applyBorder="1" applyAlignment="1">
      <alignment vertical="center"/>
    </xf>
    <xf numFmtId="0" fontId="0" fillId="0" borderId="16" xfId="0" applyBorder="1" applyAlignment="1">
      <alignment horizontal="center" vertical="center"/>
    </xf>
    <xf numFmtId="164" fontId="0" fillId="0" borderId="17" xfId="0" applyNumberFormat="1" applyBorder="1" applyAlignment="1">
      <alignment horizontal="center" vertical="center"/>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0" borderId="16" xfId="0" applyBorder="1" applyAlignment="1">
      <alignment vertical="center"/>
    </xf>
    <xf numFmtId="0" fontId="0" fillId="0" borderId="17" xfId="0" applyBorder="1" applyAlignment="1">
      <alignment vertical="center"/>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cellXfs>
  <cellStyles count="6">
    <cellStyle name="Bad 2" xfId="3"/>
    <cellStyle name="Hyperlink" xfId="4" builtinId="8"/>
    <cellStyle name="Neutral 2" xfId="2"/>
    <cellStyle name="Normal" xfId="0" builtinId="0"/>
    <cellStyle name="Normal 2" xfId="5"/>
    <cellStyle name="Percent" xfId="1" builtinId="5"/>
  </cellStyles>
  <dxfs count="74">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800000"/>
      <color rgb="FFFF505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64004480"/>
        <c:axId val="64006016"/>
      </c:scatterChart>
      <c:valAx>
        <c:axId val="64004480"/>
        <c:scaling>
          <c:orientation val="minMax"/>
        </c:scaling>
        <c:delete val="0"/>
        <c:axPos val="b"/>
        <c:numFmt formatCode="General" sourceLinked="1"/>
        <c:majorTickMark val="out"/>
        <c:minorTickMark val="none"/>
        <c:tickLblPos val="nextTo"/>
        <c:crossAx val="64006016"/>
        <c:crosses val="autoZero"/>
        <c:crossBetween val="midCat"/>
      </c:valAx>
      <c:valAx>
        <c:axId val="64006016"/>
        <c:scaling>
          <c:orientation val="minMax"/>
        </c:scaling>
        <c:delete val="0"/>
        <c:axPos val="l"/>
        <c:majorGridlines/>
        <c:numFmt formatCode="General" sourceLinked="1"/>
        <c:majorTickMark val="out"/>
        <c:minorTickMark val="none"/>
        <c:tickLblPos val="nextTo"/>
        <c:crossAx val="6400448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ser>
        <c:dLbls>
          <c:showLegendKey val="0"/>
          <c:showVal val="0"/>
          <c:showCatName val="0"/>
          <c:showSerName val="0"/>
          <c:showPercent val="0"/>
          <c:showBubbleSize val="0"/>
        </c:dLbls>
        <c:axId val="64804352"/>
        <c:axId val="64806272"/>
      </c:scatterChart>
      <c:valAx>
        <c:axId val="64804352"/>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64806272"/>
        <c:crosses val="autoZero"/>
        <c:crossBetween val="midCat"/>
      </c:valAx>
      <c:valAx>
        <c:axId val="64806272"/>
        <c:scaling>
          <c:orientation val="minMax"/>
        </c:scaling>
        <c:delete val="0"/>
        <c:axPos val="l"/>
        <c:majorGridlines/>
        <c:title>
          <c:tx>
            <c:rich>
              <a:bodyPr rot="-5400000" vert="horz"/>
              <a:lstStyle/>
              <a:p>
                <a:pPr>
                  <a:defRPr/>
                </a:pPr>
                <a:r>
                  <a:rPr lang="en-US"/>
                  <a:t>Pressure (psig)</a:t>
                </a:r>
              </a:p>
            </c:rich>
          </c:tx>
          <c:layout/>
          <c:overlay val="0"/>
        </c:title>
        <c:numFmt formatCode="General" sourceLinked="1"/>
        <c:majorTickMark val="out"/>
        <c:minorTickMark val="none"/>
        <c:tickLblPos val="nextTo"/>
        <c:crossAx val="6480435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ser>
        <c:ser>
          <c:idx val="2"/>
          <c:order val="4"/>
          <c:spPr>
            <a:ln w="127000">
              <a:solidFill>
                <a:schemeClr val="tx1"/>
              </a:solidFill>
            </a:ln>
          </c:spPr>
          <c:marker>
            <c:symbol val="none"/>
          </c:marker>
          <c:dPt>
            <c:idx val="1"/>
            <c:bubble3D val="0"/>
            <c:spPr>
              <a:ln w="88900">
                <a:solidFill>
                  <a:schemeClr val="tx1">
                    <a:lumMod val="65000"/>
                    <a:lumOff val="35000"/>
                  </a:schemeClr>
                </a:solidFill>
              </a:ln>
            </c:spPr>
          </c:dPt>
          <c:xVal>
            <c:numRef>
              <c:f>(´ÒÉÙ°ÍÒÏÅËÉ!$K$37,´ÒÉÙ°ÍÒÏÅËÉ!$M$37)</c:f>
              <c:numCache>
                <c:formatCode>General</c:formatCode>
                <c:ptCount val="2"/>
                <c:pt idx="0" formatCode="0.0">
                  <c:v>-27.079710328018926</c:v>
                </c:pt>
                <c:pt idx="1">
                  <c:v>-20.420636110636444</c:v>
                </c:pt>
              </c:numCache>
            </c:numRef>
          </c:xVal>
          <c:yVal>
            <c:numRef>
              <c:f>(´ÒÉÙ°ÍÒÏÅËÉ!$L$37,´ÒÉÙ°ÍÒÏÅËÉ!$N$37)</c:f>
              <c:numCache>
                <c:formatCode>General</c:formatCode>
                <c:ptCount val="2"/>
                <c:pt idx="0" formatCode="0.0">
                  <c:v>18.893769027862092</c:v>
                </c:pt>
                <c:pt idx="1">
                  <c:v>118.67180634353288</c:v>
                </c:pt>
              </c:numCache>
            </c:numRef>
          </c:yVal>
          <c:smooth val="0"/>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ser>
        <c:ser>
          <c:idx val="5"/>
          <c:order val="7"/>
          <c:spPr>
            <a:ln w="88900">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119.91341213813428</c:v>
                </c:pt>
              </c:numCache>
            </c:numRef>
          </c:xVal>
          <c:yVal>
            <c:numRef>
              <c:f>(´ÒÉÙ°ÍÒÏÅËÉ!$L$40,´ÒÉÙ°ÍÒÏÅËÉ!$N$40)</c:f>
              <c:numCache>
                <c:formatCode>General</c:formatCode>
                <c:ptCount val="2"/>
                <c:pt idx="0" formatCode="0.0">
                  <c:v>18.893769027862092</c:v>
                </c:pt>
                <c:pt idx="1">
                  <c:v>-10.989703789909559</c:v>
                </c:pt>
              </c:numCache>
            </c:numRef>
          </c:yVal>
          <c:smooth val="0"/>
        </c:ser>
        <c:ser>
          <c:idx val="6"/>
          <c:order val="8"/>
          <c:marker>
            <c:symbol val="circle"/>
            <c:size val="13"/>
            <c:spPr>
              <a:ln>
                <a:noFill/>
              </a:ln>
            </c:spPr>
          </c:marker>
          <c:dPt>
            <c:idx val="0"/>
            <c:marker>
              <c:spPr>
                <a:solidFill>
                  <a:schemeClr val="tx1"/>
                </a:solidFill>
                <a:ln>
                  <a:noFill/>
                </a:ln>
              </c:spPr>
            </c:marker>
            <c:bubble3D val="0"/>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ser>
        <c:ser>
          <c:idx val="7"/>
          <c:order val="9"/>
          <c:spPr>
            <a:ln>
              <a:solidFill>
                <a:schemeClr val="tx1"/>
              </a:solidFill>
            </a:ln>
          </c:spPr>
          <c:marker>
            <c:symbol val="circle"/>
            <c:size val="13"/>
            <c:spPr>
              <a:solidFill>
                <a:schemeClr val="tx1"/>
              </a:solidFill>
              <a:ln>
                <a:noFill/>
              </a:ln>
            </c:spPr>
          </c:marker>
          <c:xVal>
            <c:numRef>
              <c:f>´ÒÉÙ°ÍÒÏÅËÉ!$K$37</c:f>
              <c:numCache>
                <c:formatCode>0.0</c:formatCode>
                <c:ptCount val="1"/>
                <c:pt idx="0">
                  <c:v>-27.079710328018926</c:v>
                </c:pt>
              </c:numCache>
            </c:numRef>
          </c:xVal>
          <c:yVal>
            <c:numRef>
              <c:f>´ÒÉÙ°ÍÒÏÅËÉ!$L$37</c:f>
              <c:numCache>
                <c:formatCode>0.0</c:formatCode>
                <c:ptCount val="1"/>
                <c:pt idx="0">
                  <c:v>18.893769027862092</c:v>
                </c:pt>
              </c:numCache>
            </c:numRef>
          </c:yVal>
          <c:smooth val="0"/>
        </c:ser>
        <c:ser>
          <c:idx val="8"/>
          <c:order val="10"/>
          <c:marker>
            <c:symbol val="circle"/>
            <c:size val="9"/>
          </c:marker>
          <c:dPt>
            <c:idx val="0"/>
            <c:marker>
              <c:spPr>
                <a:solidFill>
                  <a:schemeClr val="tx1"/>
                </a:solidFill>
                <a:ln>
                  <a:noFill/>
                </a:ln>
              </c:spPr>
            </c:marker>
            <c:bubble3D val="0"/>
          </c:dPt>
          <c:xVal>
            <c:numRef>
              <c:f>´ÒÉÙ°ÍÒÏÅËÉ!$M$37</c:f>
              <c:numCache>
                <c:formatCode>General</c:formatCode>
                <c:ptCount val="1"/>
                <c:pt idx="0">
                  <c:v>-20.420636110636444</c:v>
                </c:pt>
              </c:numCache>
            </c:numRef>
          </c:xVal>
          <c:yVal>
            <c:numRef>
              <c:f>´ÒÉÙ°ÍÒÏÅËÉ!$N$37</c:f>
              <c:numCache>
                <c:formatCode>General</c:formatCode>
                <c:ptCount val="1"/>
                <c:pt idx="0">
                  <c:v>118.67180634353288</c:v>
                </c:pt>
              </c:numCache>
            </c:numRef>
          </c:yVal>
          <c:smooth val="0"/>
        </c:ser>
        <c:ser>
          <c:idx val="9"/>
          <c:order val="11"/>
          <c:marker>
            <c:symbol val="circle"/>
            <c:size val="9"/>
            <c:spPr>
              <a:ln>
                <a:noFill/>
              </a:ln>
            </c:spPr>
          </c:marker>
          <c:dPt>
            <c:idx val="0"/>
            <c:marker>
              <c:spPr>
                <a:solidFill>
                  <a:schemeClr val="tx1"/>
                </a:solidFill>
                <a:ln>
                  <a:noFill/>
                </a:ln>
              </c:spPr>
            </c:marker>
            <c:bubble3D val="0"/>
          </c:dPt>
          <c:xVal>
            <c:numRef>
              <c:f>´ÒÉÙ°ÍÒÏÅËÉ!$M$40</c:f>
              <c:numCache>
                <c:formatCode>General</c:formatCode>
                <c:ptCount val="1"/>
                <c:pt idx="0">
                  <c:v>119.91341213813428</c:v>
                </c:pt>
              </c:numCache>
            </c:numRef>
          </c:xVal>
          <c:yVal>
            <c:numRef>
              <c:f>´ÒÉÙ°ÍÒÏÅËÉ!$N$40</c:f>
              <c:numCache>
                <c:formatCode>General</c:formatCode>
                <c:ptCount val="1"/>
                <c:pt idx="0">
                  <c:v>-10.989703789909559</c:v>
                </c:pt>
              </c:numCache>
            </c:numRef>
          </c:yVal>
          <c:smooth val="0"/>
        </c:ser>
        <c:ser>
          <c:idx val="12"/>
          <c:order val="12"/>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ser>
        <c:dLbls>
          <c:showLegendKey val="0"/>
          <c:showVal val="0"/>
          <c:showCatName val="0"/>
          <c:showSerName val="0"/>
          <c:showPercent val="0"/>
          <c:showBubbleSize val="0"/>
        </c:dLbls>
        <c:axId val="77212672"/>
        <c:axId val="77218560"/>
      </c:scatterChart>
      <c:valAx>
        <c:axId val="77212672"/>
        <c:scaling>
          <c:orientation val="minMax"/>
        </c:scaling>
        <c:delete val="1"/>
        <c:axPos val="b"/>
        <c:numFmt formatCode="General" sourceLinked="1"/>
        <c:majorTickMark val="out"/>
        <c:minorTickMark val="none"/>
        <c:tickLblPos val="nextTo"/>
        <c:crossAx val="77218560"/>
        <c:crosses val="autoZero"/>
        <c:crossBetween val="midCat"/>
      </c:valAx>
      <c:valAx>
        <c:axId val="77218560"/>
        <c:scaling>
          <c:orientation val="minMax"/>
        </c:scaling>
        <c:delete val="1"/>
        <c:axPos val="l"/>
        <c:numFmt formatCode="General" sourceLinked="1"/>
        <c:majorTickMark val="out"/>
        <c:minorTickMark val="none"/>
        <c:tickLblPos val="nextTo"/>
        <c:crossAx val="77212672"/>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D$23" lockText="1" noThreeD="1"/>
</file>

<file path=xl/ctrlProps/ctrlProp16.xml><?xml version="1.0" encoding="utf-8"?>
<formControlPr xmlns="http://schemas.microsoft.com/office/spreadsheetml/2009/9/main" objectType="CheckBox" fmlaLink="$D$24" lockText="1" noThreeD="1"/>
</file>

<file path=xl/ctrlProps/ctrlProp17.xml><?xml version="1.0" encoding="utf-8"?>
<formControlPr xmlns="http://schemas.microsoft.com/office/spreadsheetml/2009/9/main" objectType="CheckBox" checked="Checked"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5.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8"/>
  <sheetViews>
    <sheetView tabSelected="1" workbookViewId="0"/>
  </sheetViews>
  <sheetFormatPr defaultColWidth="9.140625" defaultRowHeight="15" x14ac:dyDescent="0.25"/>
  <cols>
    <col min="1" max="1" width="9.140625" style="94"/>
    <col min="2" max="2" width="2.7109375" style="94" customWidth="1"/>
    <col min="3" max="3" width="70.7109375" style="94" customWidth="1"/>
    <col min="4" max="4" width="9.140625" style="94"/>
    <col min="5" max="5" width="8.5703125" style="94" customWidth="1"/>
    <col min="6" max="16384" width="9.140625" style="94"/>
  </cols>
  <sheetData>
    <row r="2" spans="2:5" ht="31.5" x14ac:dyDescent="0.5">
      <c r="C2" s="95" t="s">
        <v>188</v>
      </c>
    </row>
    <row r="3" spans="2:5" ht="15.75" x14ac:dyDescent="0.25">
      <c r="C3" s="96" t="s">
        <v>208</v>
      </c>
    </row>
    <row r="4" spans="2:5" ht="15.75" x14ac:dyDescent="0.25">
      <c r="C4" s="96" t="s">
        <v>189</v>
      </c>
    </row>
    <row r="5" spans="2:5" x14ac:dyDescent="0.25">
      <c r="D5" s="131" t="s">
        <v>224</v>
      </c>
      <c r="E5" s="132"/>
    </row>
    <row r="6" spans="2:5" ht="15" customHeight="1" x14ac:dyDescent="0.25">
      <c r="C6" s="97" t="s">
        <v>190</v>
      </c>
      <c r="D6" s="133"/>
      <c r="E6" s="134"/>
    </row>
    <row r="7" spans="2:5" ht="15" customHeight="1" x14ac:dyDescent="0.25">
      <c r="B7" s="98" t="s">
        <v>176</v>
      </c>
      <c r="C7" s="94" t="s">
        <v>191</v>
      </c>
      <c r="D7" s="133"/>
      <c r="E7" s="134"/>
    </row>
    <row r="8" spans="2:5" ht="15" customHeight="1" x14ac:dyDescent="0.25">
      <c r="B8" s="128" t="s">
        <v>176</v>
      </c>
      <c r="C8" s="94" t="s">
        <v>192</v>
      </c>
      <c r="D8" s="133"/>
      <c r="E8" s="134"/>
    </row>
    <row r="9" spans="2:5" ht="15" customHeight="1" x14ac:dyDescent="0.25">
      <c r="B9" s="129" t="s">
        <v>176</v>
      </c>
      <c r="C9" s="94" t="s">
        <v>193</v>
      </c>
      <c r="D9" s="133"/>
      <c r="E9" s="134"/>
    </row>
    <row r="10" spans="2:5" ht="15" customHeight="1" x14ac:dyDescent="0.25">
      <c r="B10" s="130" t="s">
        <v>176</v>
      </c>
      <c r="C10" s="99" t="s">
        <v>194</v>
      </c>
      <c r="D10" s="135"/>
      <c r="E10" s="136"/>
    </row>
    <row r="12" spans="2:5" x14ac:dyDescent="0.25">
      <c r="C12" s="100" t="s">
        <v>196</v>
      </c>
    </row>
    <row r="13" spans="2:5" ht="60.75" customHeight="1" x14ac:dyDescent="0.25">
      <c r="C13" s="101" t="s">
        <v>215</v>
      </c>
    </row>
    <row r="14" spans="2:5" x14ac:dyDescent="0.25">
      <c r="C14" s="102"/>
    </row>
    <row r="15" spans="2:5" x14ac:dyDescent="0.25">
      <c r="C15" s="100" t="s">
        <v>210</v>
      </c>
    </row>
    <row r="16" spans="2:5" ht="90" x14ac:dyDescent="0.25">
      <c r="C16" s="101" t="s">
        <v>211</v>
      </c>
    </row>
    <row r="17" spans="3:3" x14ac:dyDescent="0.25">
      <c r="C17" s="102"/>
    </row>
    <row r="18" spans="3:3" x14ac:dyDescent="0.25">
      <c r="C18" s="100" t="s">
        <v>195</v>
      </c>
    </row>
    <row r="19" spans="3:3" ht="75" x14ac:dyDescent="0.25">
      <c r="C19" s="101" t="s">
        <v>214</v>
      </c>
    </row>
    <row r="20" spans="3:3" x14ac:dyDescent="0.25">
      <c r="C20" s="102"/>
    </row>
    <row r="21" spans="3:3" x14ac:dyDescent="0.25">
      <c r="C21" s="100" t="s">
        <v>212</v>
      </c>
    </row>
    <row r="22" spans="3:3" ht="75" x14ac:dyDescent="0.25">
      <c r="C22" s="101" t="s">
        <v>213</v>
      </c>
    </row>
    <row r="23" spans="3:3" x14ac:dyDescent="0.25">
      <c r="C23" s="102"/>
    </row>
    <row r="24" spans="3:3" x14ac:dyDescent="0.25">
      <c r="C24" s="100" t="s">
        <v>101</v>
      </c>
    </row>
    <row r="25" spans="3:3" ht="104.25" customHeight="1" x14ac:dyDescent="0.25">
      <c r="C25" s="101" t="s">
        <v>197</v>
      </c>
    </row>
    <row r="26" spans="3:3" x14ac:dyDescent="0.25">
      <c r="C26" s="102"/>
    </row>
    <row r="27" spans="3:3" x14ac:dyDescent="0.25">
      <c r="C27" s="100" t="s">
        <v>198</v>
      </c>
    </row>
    <row r="28" spans="3:3" ht="105" x14ac:dyDescent="0.25">
      <c r="C28" s="101" t="s">
        <v>199</v>
      </c>
    </row>
    <row r="29" spans="3:3" x14ac:dyDescent="0.25">
      <c r="C29" s="102"/>
    </row>
    <row r="30" spans="3:3" x14ac:dyDescent="0.25">
      <c r="C30" s="100" t="s">
        <v>216</v>
      </c>
    </row>
    <row r="31" spans="3:3" ht="45.75" customHeight="1" x14ac:dyDescent="0.25">
      <c r="C31" s="101" t="s">
        <v>217</v>
      </c>
    </row>
    <row r="32" spans="3:3" x14ac:dyDescent="0.25">
      <c r="C32" s="102"/>
    </row>
    <row r="33" spans="2:3" x14ac:dyDescent="0.25">
      <c r="C33" s="100" t="s">
        <v>223</v>
      </c>
    </row>
    <row r="34" spans="2:3" ht="30" customHeight="1" x14ac:dyDescent="0.25">
      <c r="C34" s="101" t="s">
        <v>218</v>
      </c>
    </row>
    <row r="35" spans="2:3" x14ac:dyDescent="0.25">
      <c r="C35" s="102"/>
    </row>
    <row r="36" spans="2:3" x14ac:dyDescent="0.25">
      <c r="C36" s="100" t="s">
        <v>200</v>
      </c>
    </row>
    <row r="37" spans="2:3" ht="105" x14ac:dyDescent="0.25">
      <c r="C37" s="101" t="s">
        <v>201</v>
      </c>
    </row>
    <row r="38" spans="2:3" x14ac:dyDescent="0.25">
      <c r="C38" s="102"/>
    </row>
    <row r="39" spans="2:3" x14ac:dyDescent="0.25">
      <c r="C39" s="100" t="s">
        <v>219</v>
      </c>
    </row>
    <row r="40" spans="2:3" ht="75" x14ac:dyDescent="0.25">
      <c r="C40" s="101" t="s">
        <v>220</v>
      </c>
    </row>
    <row r="41" spans="2:3" x14ac:dyDescent="0.25">
      <c r="C41" s="102"/>
    </row>
    <row r="43" spans="2:3" x14ac:dyDescent="0.25">
      <c r="C43" s="100" t="s">
        <v>202</v>
      </c>
    </row>
    <row r="44" spans="2:3" x14ac:dyDescent="0.25">
      <c r="C44" s="103" t="s">
        <v>203</v>
      </c>
    </row>
    <row r="45" spans="2:3" x14ac:dyDescent="0.25">
      <c r="C45" s="103" t="s">
        <v>204</v>
      </c>
    </row>
    <row r="46" spans="2:3" x14ac:dyDescent="0.25">
      <c r="C46" s="103" t="s">
        <v>205</v>
      </c>
    </row>
    <row r="47" spans="2:3" x14ac:dyDescent="0.25">
      <c r="B47" s="105"/>
      <c r="C47" s="104" t="s">
        <v>206</v>
      </c>
    </row>
    <row r="48" spans="2:3" x14ac:dyDescent="0.25">
      <c r="B48" s="105"/>
      <c r="C48" s="106" t="s">
        <v>207</v>
      </c>
    </row>
  </sheetData>
  <sheetProtection sheet="1" objects="1" scenarios="1"/>
  <mergeCells count="1">
    <mergeCell ref="D5:E10"/>
  </mergeCells>
  <hyperlinks>
    <hyperlink ref="C44" r:id="rId1"/>
    <hyperlink ref="C46" r:id="rId2"/>
    <hyperlink ref="C45" r:id="rId3"/>
    <hyperlink ref="C47" r:id="rId4"/>
    <hyperlink ref="C48"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19"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5" x14ac:dyDescent="0.25">
      <c r="C2" s="2" t="s">
        <v>209</v>
      </c>
    </row>
    <row r="4" spans="2:16" x14ac:dyDescent="0.25">
      <c r="B4" s="10" t="b">
        <v>0</v>
      </c>
      <c r="C4" s="1" t="s">
        <v>0</v>
      </c>
    </row>
    <row r="6" spans="2:16" x14ac:dyDescent="0.25">
      <c r="C6" s="146" t="s">
        <v>9</v>
      </c>
      <c r="D6" s="147"/>
      <c r="E6" s="25" t="s">
        <v>34</v>
      </c>
      <c r="G6" s="110"/>
      <c r="H6" s="111" t="s">
        <v>43</v>
      </c>
      <c r="I6" s="111" t="s">
        <v>44</v>
      </c>
      <c r="J6" s="111" t="s">
        <v>45</v>
      </c>
      <c r="K6" s="111" t="s">
        <v>46</v>
      </c>
      <c r="L6" s="111" t="s">
        <v>47</v>
      </c>
      <c r="M6" s="111" t="s">
        <v>48</v>
      </c>
      <c r="N6" s="111" t="s">
        <v>49</v>
      </c>
      <c r="O6" s="111" t="s">
        <v>50</v>
      </c>
      <c r="P6" s="111" t="s">
        <v>51</v>
      </c>
    </row>
    <row r="7" spans="2:16" x14ac:dyDescent="0.25">
      <c r="C7" s="27" t="s">
        <v>1</v>
      </c>
      <c r="D7" s="28">
        <f>VLOOKUP($C$6, MotorSpecs, 2, FALSE)</f>
        <v>18730</v>
      </c>
      <c r="E7" s="29">
        <f>D7*(D14/12)</f>
        <v>17169.166666666664</v>
      </c>
      <c r="G7" s="112" t="s">
        <v>38</v>
      </c>
      <c r="H7" s="113">
        <f>I17</f>
        <v>20</v>
      </c>
      <c r="I7" s="113">
        <f>$E$17*I13*IF($B$4, 2.205, 1)/$E$8*0.113</f>
        <v>38.283994878361071</v>
      </c>
      <c r="J7" s="113">
        <f>$E$17*$E$18/8.8507/((SQRT($E$9)*$E$8)/(SQRT($E$10)+SQRT($E$9)))</f>
        <v>283.9496410754104</v>
      </c>
      <c r="K7" s="113">
        <f>$E$17*K13*IF($B$4, 2.205, 1)/$E$8*0.113</f>
        <v>19.141997439180535</v>
      </c>
      <c r="L7" s="113">
        <f>($E$7*$E$8+SQRT(($E$7*$E$8)^2-27.119*$E$18*$E$17*L9*$E$7*$E$8))/(120*L9*$E$8)</f>
        <v>265.52441579042636</v>
      </c>
      <c r="M7" s="113">
        <f>($E$7*$E$8+SQRT(($E$7*$E$8)^2-27.119*$E$18*$E$17*M9*$E$7*$E$8))/(120*M9*$E$8)</f>
        <v>127.30045354142241</v>
      </c>
      <c r="N7" s="113">
        <f>($E$10-$E$9)/$E$8*$E$17*$E$18/$D$13/0.2248/39.37/(N12-$E$9/$D$13)</f>
        <v>79.663114221412812</v>
      </c>
      <c r="O7" s="113">
        <f>$E$17*O13*IF($B$4, 2.205, 1)/$E$8*0.113</f>
        <v>65.108834827144676</v>
      </c>
      <c r="P7" s="113">
        <f>12*0.113*$E$17*$E$18/($D$15*$D$8*$D$13*P14)</f>
        <v>21.056197183098586</v>
      </c>
    </row>
    <row r="8" spans="2:16" x14ac:dyDescent="0.25">
      <c r="C8" s="33" t="s">
        <v>2</v>
      </c>
      <c r="D8" s="34">
        <f>VLOOKUP($C$6, MotorSpecs, 3, FALSE)</f>
        <v>0.71</v>
      </c>
      <c r="E8" s="35">
        <f>D8*D13*(D14/12)*D15</f>
        <v>1.0413333333333332</v>
      </c>
      <c r="G8" s="69" t="s">
        <v>39</v>
      </c>
      <c r="H8" s="114">
        <f t="shared" ref="H8:P8" si="0">$E$7/H7/60</f>
        <v>14.307638888888887</v>
      </c>
      <c r="I8" s="114">
        <f t="shared" si="0"/>
        <v>7.47447539597069</v>
      </c>
      <c r="J8" s="114">
        <f t="shared" si="0"/>
        <v>1.0077588994091464</v>
      </c>
      <c r="K8" s="114">
        <f t="shared" si="0"/>
        <v>14.94895079194138</v>
      </c>
      <c r="L8" s="114">
        <f t="shared" si="0"/>
        <v>1.0776891342588735</v>
      </c>
      <c r="M8" s="114">
        <f t="shared" si="0"/>
        <v>2.247853560746869</v>
      </c>
      <c r="N8" s="114">
        <f t="shared" si="0"/>
        <v>3.5920360454708682</v>
      </c>
      <c r="O8" s="114">
        <f t="shared" si="0"/>
        <v>4.3949915328307663</v>
      </c>
      <c r="P8" s="114">
        <f t="shared" si="0"/>
        <v>13.589955265401256</v>
      </c>
    </row>
    <row r="9" spans="2:16" x14ac:dyDescent="0.25">
      <c r="C9" s="33" t="s">
        <v>3</v>
      </c>
      <c r="D9" s="36">
        <f>VLOOKUP($C$6, MotorSpecs, 4, FALSE)</f>
        <v>0.7</v>
      </c>
      <c r="E9" s="37">
        <f>D9*D13*(D14/12)</f>
        <v>1.2833333333333332</v>
      </c>
      <c r="G9" s="69" t="s">
        <v>40</v>
      </c>
      <c r="H9" s="115">
        <f>H8*(1-$D$18/H13)</f>
        <v>0.61506593898433159</v>
      </c>
      <c r="I9" s="115">
        <f t="shared" ref="I9:K9" si="1">I8*(1-$D$18/I13)</f>
        <v>3.737237697985345</v>
      </c>
      <c r="J9" s="115">
        <f t="shared" si="1"/>
        <v>0.93982877552418209</v>
      </c>
      <c r="K9" s="115">
        <f t="shared" si="1"/>
        <v>0</v>
      </c>
      <c r="L9" s="12">
        <v>1</v>
      </c>
      <c r="M9" s="115">
        <f>M11*IF($B$4, 3.281, 1)/$E$17/2/PI()*12</f>
        <v>1.909859317102744</v>
      </c>
      <c r="N9" s="115">
        <f>N8*(1-$D$18/N13)</f>
        <v>2.7289969001258592</v>
      </c>
      <c r="O9" s="115">
        <f>O8*(1-$D$18/O13)</f>
        <v>3.1028640221785206</v>
      </c>
      <c r="P9" s="115">
        <f>P8*(1-$D$18/P13)</f>
        <v>1.2365930164405228</v>
      </c>
    </row>
    <row r="10" spans="2:16" x14ac:dyDescent="0.25">
      <c r="C10" s="33" t="s">
        <v>4</v>
      </c>
      <c r="D10" s="38">
        <f>VLOOKUP($C$6, MotorSpecs, 5, FALSE)</f>
        <v>134</v>
      </c>
      <c r="E10" s="39">
        <f>D10*D13*(D14/12)</f>
        <v>245.66666666666666</v>
      </c>
      <c r="G10" s="69" t="str">
        <f>"Free Lin. Speed (" &amp; IF($B$4, "m", "ft") &amp; "/s)"</f>
        <v>Free Lin. Speed (ft/s)</v>
      </c>
      <c r="H10" s="115">
        <f>H8*2*PI()*$E$17/12/IF($B$4, 3.281, 1)</f>
        <v>14.982924407849646</v>
      </c>
      <c r="I10" s="115">
        <f t="shared" ref="I10:L10" si="2">I8*2*PI()*$E$17/12/IF($B$4, 3.281, 1)</f>
        <v>7.8272523311397242</v>
      </c>
      <c r="J10" s="115">
        <f t="shared" si="2"/>
        <v>1.0553226516578362</v>
      </c>
      <c r="K10" s="115">
        <f t="shared" si="2"/>
        <v>15.654504662279448</v>
      </c>
      <c r="L10" s="115">
        <f t="shared" si="2"/>
        <v>1.1285534223470732</v>
      </c>
      <c r="M10" s="115">
        <f t="shared" ref="M10" si="3">M8*2*PI()*$D$17/12/IF($B$4, 3.281, 1)</f>
        <v>2.3539467442626729</v>
      </c>
      <c r="N10" s="115">
        <f t="shared" ref="N10:P11" si="4">N8*2*PI()*$E$17/12/IF($B$4, 3.281, 1)</f>
        <v>3.7615713506270025</v>
      </c>
      <c r="O10" s="115">
        <f t="shared" si="4"/>
        <v>4.6024243707101578</v>
      </c>
      <c r="P10" s="115">
        <f t="shared" si="4"/>
        <v>14.231367874799501</v>
      </c>
    </row>
    <row r="11" spans="2:16" x14ac:dyDescent="0.25">
      <c r="C11" s="40" t="s">
        <v>5</v>
      </c>
      <c r="D11" s="41">
        <f>VLOOKUP($C$6, MotorSpecs, 6, FALSE)</f>
        <v>348.14867987694288</v>
      </c>
      <c r="E11" s="42">
        <f>(E7/60*2*PI())*E8/4</f>
        <v>468.06655850122308</v>
      </c>
      <c r="G11" s="69" t="str">
        <f>"Loaded Lin. Speed (" &amp; IF($B$4, "m", "ft") &amp; "/s)"</f>
        <v>Loaded Lin. Speed (ft/s)</v>
      </c>
      <c r="H11" s="115">
        <f>H9*2*PI()*$E$17/12/IF($B$4, 3.281, 1)</f>
        <v>0.64409554512882783</v>
      </c>
      <c r="I11" s="115">
        <f t="shared" ref="I11:L11" si="5">I9*2*PI()*$E$17/12/IF($B$4, 3.281, 1)</f>
        <v>3.9136261655698621</v>
      </c>
      <c r="J11" s="115">
        <f t="shared" si="5"/>
        <v>0.98418639227302007</v>
      </c>
      <c r="K11" s="115">
        <f t="shared" si="5"/>
        <v>0</v>
      </c>
      <c r="L11" s="115">
        <f t="shared" si="5"/>
        <v>1.0471975511965974</v>
      </c>
      <c r="M11" s="12">
        <v>1.9999999999999996</v>
      </c>
      <c r="N11" s="115">
        <f t="shared" si="4"/>
        <v>2.8577988710349049</v>
      </c>
      <c r="O11" s="115">
        <f t="shared" si="4"/>
        <v>3.2493116057213709</v>
      </c>
      <c r="P11" s="115">
        <f t="shared" si="4"/>
        <v>1.2949571786433292</v>
      </c>
    </row>
    <row r="12" spans="2:16" x14ac:dyDescent="0.25">
      <c r="G12" s="69" t="s">
        <v>41</v>
      </c>
      <c r="H12" s="90">
        <f t="shared" ref="H12:M12" si="6">($E$10-$E$9)/$E$8*$E$17*$E$18/H7/$D$13/0.2248/39.37 + $E$9/$D$13</f>
        <v>117.58047975084887</v>
      </c>
      <c r="I12" s="90">
        <f t="shared" si="6"/>
        <v>61.731849891133926</v>
      </c>
      <c r="J12" s="90">
        <f t="shared" si="6"/>
        <v>8.8782548617632742</v>
      </c>
      <c r="K12" s="90">
        <f t="shared" si="6"/>
        <v>122.82203311560119</v>
      </c>
      <c r="L12" s="90">
        <f t="shared" si="6"/>
        <v>9.4498067946524777</v>
      </c>
      <c r="M12" s="90">
        <f t="shared" si="6"/>
        <v>19.013763518015491</v>
      </c>
      <c r="N12" s="13">
        <v>30</v>
      </c>
      <c r="O12" s="90">
        <f t="shared" ref="O12:P12" si="7">($E$10-$E$9)/$E$8*$E$17*$E$18/O7/$D$13/0.2248/39.37 + $E$9/$D$13</f>
        <v>36.56269440265342</v>
      </c>
      <c r="P12" s="90">
        <f t="shared" si="7"/>
        <v>111.71472707478898</v>
      </c>
    </row>
    <row r="13" spans="2:16" x14ac:dyDescent="0.25">
      <c r="C13" s="44" t="s">
        <v>35</v>
      </c>
      <c r="D13" s="14">
        <v>2</v>
      </c>
      <c r="G13" s="69" t="str">
        <f>"Stall Load (" &amp; IF($B$4, "kgf", "lbf") &amp; ")"</f>
        <v>Stall Load (lbf)</v>
      </c>
      <c r="H13" s="116">
        <f>$E$8*H7*39.37*0.2248/$E$17/IF($B$4, 2.205, 1)</f>
        <v>92.161915413333347</v>
      </c>
      <c r="I13" s="116">
        <f>2*D18</f>
        <v>176.4</v>
      </c>
      <c r="J13" s="116">
        <f>$E$8*J7*39.37*0.2248/$E$17/IF($B$4, 2.205, 1)</f>
        <v>1308.4671401219168</v>
      </c>
      <c r="K13" s="116">
        <f>D18</f>
        <v>88.2</v>
      </c>
      <c r="L13" s="116">
        <f>$E$8*L7*39.37*0.2248/$E$17/IF($B$4, 2.205, 1)</f>
        <v>1223.5619374126015</v>
      </c>
      <c r="M13" s="116">
        <f>$E$8*M7*39.37*0.2248/$E$17/IF($B$4, 2.205, 1)</f>
        <v>586.61268156817721</v>
      </c>
      <c r="N13" s="116">
        <f>$E$8*N7*39.37*0.2248/$E$17/IF($B$4, 2.205, 1)</f>
        <v>367.09525972182803</v>
      </c>
      <c r="O13" s="15">
        <v>300</v>
      </c>
      <c r="P13" s="116">
        <f>$E$8*P7*39.37*0.2248/$E$17/IF($B$4, 2.205, 1)</f>
        <v>97.028973185759995</v>
      </c>
    </row>
    <row r="14" spans="2:16" x14ac:dyDescent="0.25">
      <c r="C14" s="44" t="s">
        <v>36</v>
      </c>
      <c r="D14" s="14">
        <v>11</v>
      </c>
      <c r="G14" s="70" t="s">
        <v>42</v>
      </c>
      <c r="H14" s="117">
        <f t="shared" ref="H14:O14" si="8">12*0.113*$E$17*$E$18/($D$15*$D$8*$D$13*H7)</f>
        <v>10.528098591549293</v>
      </c>
      <c r="I14" s="117">
        <f t="shared" si="8"/>
        <v>5.5</v>
      </c>
      <c r="J14" s="117">
        <f t="shared" si="8"/>
        <v>0.74154688498114896</v>
      </c>
      <c r="K14" s="117">
        <f t="shared" si="8"/>
        <v>11</v>
      </c>
      <c r="L14" s="117">
        <f t="shared" si="8"/>
        <v>0.79300418081770174</v>
      </c>
      <c r="M14" s="117">
        <f t="shared" si="8"/>
        <v>1.654055158275386</v>
      </c>
      <c r="N14" s="117">
        <f t="shared" ref="N14" si="9">12*0.113*$E$17*$E$18/($D$15*$D$8*$D$13*N7)</f>
        <v>2.6431551652093024</v>
      </c>
      <c r="O14" s="117">
        <f t="shared" si="8"/>
        <v>3.234</v>
      </c>
      <c r="P14" s="16">
        <v>10</v>
      </c>
    </row>
    <row r="15" spans="2:16" x14ac:dyDescent="0.25">
      <c r="C15" s="44" t="s">
        <v>37</v>
      </c>
      <c r="D15" s="17">
        <v>0.8</v>
      </c>
    </row>
    <row r="17" spans="3:15" x14ac:dyDescent="0.25">
      <c r="C17" s="44" t="str">
        <f>"Radius (" &amp; IF($B$4, "mm", "in") &amp; ")"</f>
        <v>Radius (in)</v>
      </c>
      <c r="D17" s="18">
        <v>1.9999999999999993</v>
      </c>
      <c r="E17" s="3">
        <f>D17/IF($B$4, 25.4, 1)</f>
        <v>1.9999999999999993</v>
      </c>
      <c r="H17" s="25" t="s">
        <v>52</v>
      </c>
      <c r="I17" s="118">
        <f>IF(PRODUCT(I18:I21)&gt;0,PRODUCT(I18:I21),1)/IF(PRODUCT(H18:H21)&gt;0,PRODUCT(H18:H21), 1)</f>
        <v>20</v>
      </c>
    </row>
    <row r="18" spans="3:15" x14ac:dyDescent="0.25">
      <c r="C18" s="44" t="str">
        <f>"Load (" &amp; IF($B$4, "kgf", "lbf") &amp; ")"</f>
        <v>Load (lbf)</v>
      </c>
      <c r="D18" s="19">
        <v>88.2</v>
      </c>
      <c r="E18" s="3">
        <f>D18*IF($B$4, 2.205, 1)</f>
        <v>88.2</v>
      </c>
      <c r="H18" s="20"/>
      <c r="I18" s="21">
        <v>6</v>
      </c>
    </row>
    <row r="19" spans="3:15" x14ac:dyDescent="0.25">
      <c r="H19" s="20">
        <v>18</v>
      </c>
      <c r="I19" s="21">
        <v>60</v>
      </c>
    </row>
    <row r="20" spans="3:15" x14ac:dyDescent="0.25">
      <c r="H20" s="20"/>
      <c r="I20" s="21"/>
    </row>
    <row r="21" spans="3:15" x14ac:dyDescent="0.25">
      <c r="H21" s="20"/>
      <c r="I21" s="21"/>
    </row>
    <row r="23" spans="3:15" ht="15.75" thickBot="1" x14ac:dyDescent="0.3"/>
    <row r="24" spans="3:15" ht="18.75" customHeight="1" x14ac:dyDescent="0.25">
      <c r="D24" s="140" t="s">
        <v>53</v>
      </c>
      <c r="E24" s="141"/>
      <c r="F24" s="141"/>
      <c r="G24" s="141"/>
      <c r="H24" s="141"/>
      <c r="I24" s="141"/>
      <c r="J24" s="141"/>
      <c r="K24" s="141"/>
      <c r="L24" s="141"/>
      <c r="M24" s="141"/>
      <c r="N24" s="141"/>
      <c r="O24" s="142"/>
    </row>
    <row r="25" spans="3:15" ht="75" customHeight="1" x14ac:dyDescent="0.25">
      <c r="D25" s="143" t="s">
        <v>54</v>
      </c>
      <c r="E25" s="144"/>
      <c r="F25" s="144"/>
      <c r="G25" s="144"/>
      <c r="H25" s="144"/>
      <c r="I25" s="144"/>
      <c r="J25" s="144"/>
      <c r="K25" s="144"/>
      <c r="L25" s="144"/>
      <c r="M25" s="144"/>
      <c r="N25" s="144"/>
      <c r="O25" s="145"/>
    </row>
    <row r="26" spans="3:15" ht="72" customHeight="1" x14ac:dyDescent="0.25">
      <c r="D26" s="143" t="s">
        <v>55</v>
      </c>
      <c r="E26" s="144"/>
      <c r="F26" s="144"/>
      <c r="G26" s="144"/>
      <c r="H26" s="144"/>
      <c r="I26" s="144"/>
      <c r="J26" s="144"/>
      <c r="K26" s="144"/>
      <c r="L26" s="144"/>
      <c r="M26" s="144"/>
      <c r="N26" s="144"/>
      <c r="O26" s="145"/>
    </row>
    <row r="27" spans="3:15" ht="73.5" customHeight="1" thickBot="1" x14ac:dyDescent="0.3">
      <c r="D27" s="137" t="s">
        <v>56</v>
      </c>
      <c r="E27" s="138"/>
      <c r="F27" s="138"/>
      <c r="G27" s="138"/>
      <c r="H27" s="138"/>
      <c r="I27" s="138"/>
      <c r="J27" s="138"/>
      <c r="K27" s="138"/>
      <c r="L27" s="138"/>
      <c r="M27" s="138"/>
      <c r="N27" s="138"/>
      <c r="O27" s="139"/>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73" priority="18">
      <formula>$H$9&lt;=0</formula>
    </cfRule>
  </conditionalFormatting>
  <conditionalFormatting sqref="L7:L8 L12:L14">
    <cfRule type="expression" dxfId="72" priority="17">
      <formula>ISERROR($L$7)</formula>
    </cfRule>
  </conditionalFormatting>
  <conditionalFormatting sqref="M7:M10 M12:M14">
    <cfRule type="expression" dxfId="71" priority="16">
      <formula>ISERROR($M$7)</formula>
    </cfRule>
  </conditionalFormatting>
  <conditionalFormatting sqref="N7">
    <cfRule type="expression" dxfId="70" priority="15">
      <formula>$N$9&lt;0</formula>
    </cfRule>
  </conditionalFormatting>
  <conditionalFormatting sqref="P14 O13 N12 M11 L9 D13:D15 D17:D18">
    <cfRule type="containsBlanks" dxfId="69" priority="19">
      <formula>LEN(TRIM(D9))=0</formula>
    </cfRule>
  </conditionalFormatting>
  <conditionalFormatting sqref="O7">
    <cfRule type="expression" dxfId="68" priority="13">
      <formula>ISERROR($O$8)</formula>
    </cfRule>
  </conditionalFormatting>
  <conditionalFormatting sqref="P7">
    <cfRule type="expression" dxfId="67" priority="12">
      <formula>ISERROR($P$7)</formula>
    </cfRule>
  </conditionalFormatting>
  <conditionalFormatting sqref="H18:I21">
    <cfRule type="expression" dxfId="66" priority="11">
      <formula>$I$17=1</formula>
    </cfRule>
  </conditionalFormatting>
  <conditionalFormatting sqref="D14">
    <cfRule type="cellIs" dxfId="65" priority="10" operator="greaterThan">
      <formula>12</formula>
    </cfRule>
  </conditionalFormatting>
  <conditionalFormatting sqref="P14">
    <cfRule type="cellIs" dxfId="64" priority="9" operator="greaterThan">
      <formula>$D$14</formula>
    </cfRule>
  </conditionalFormatting>
  <conditionalFormatting sqref="D15">
    <cfRule type="cellIs" dxfId="63" priority="8" operator="greaterThan">
      <formula>1</formula>
    </cfRule>
  </conditionalFormatting>
  <conditionalFormatting sqref="D13:D15 D17:D18 L9 M11 N12 O13 P14">
    <cfRule type="cellIs" dxfId="62" priority="7" operator="lessThanOrEqual">
      <formula>0</formula>
    </cfRule>
  </conditionalFormatting>
  <conditionalFormatting sqref="N8:N11">
    <cfRule type="expression" dxfId="61" priority="6">
      <formula>$H$9&lt;=0</formula>
    </cfRule>
  </conditionalFormatting>
  <conditionalFormatting sqref="N13:N14">
    <cfRule type="expression" dxfId="60" priority="5">
      <formula>$H$9&lt;=0</formula>
    </cfRule>
  </conditionalFormatting>
  <conditionalFormatting sqref="O8:O12">
    <cfRule type="expression" dxfId="59" priority="4">
      <formula>$H$9&lt;=0</formula>
    </cfRule>
  </conditionalFormatting>
  <conditionalFormatting sqref="O14">
    <cfRule type="expression" dxfId="58" priority="3">
      <formula>$H$9&lt;=0</formula>
    </cfRule>
  </conditionalFormatting>
  <conditionalFormatting sqref="P8:P13">
    <cfRule type="expression" dxfId="57" priority="2">
      <formula>$H$9&lt;=0</formula>
    </cfRule>
  </conditionalFormatting>
  <conditionalFormatting sqref="D13:D15 D17:D18 H18:I21 L9 M11 N12 O13 P14">
    <cfRule type="expression" dxfId="56"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5" x14ac:dyDescent="0.25">
      <c r="C2" s="2" t="s">
        <v>57</v>
      </c>
    </row>
    <row r="4" spans="2:10" x14ac:dyDescent="0.25">
      <c r="B4" s="10" t="b">
        <v>0</v>
      </c>
      <c r="C4" s="1" t="s">
        <v>0</v>
      </c>
    </row>
    <row r="6" spans="2:10" x14ac:dyDescent="0.25">
      <c r="C6" s="119" t="str">
        <f>"Diameter (" &amp; IF($B$4,"mm","in") &amp; ")"</f>
        <v>Diameter (in)</v>
      </c>
      <c r="D6" s="125">
        <v>0.375</v>
      </c>
      <c r="G6" s="108" t="s">
        <v>66</v>
      </c>
      <c r="H6" s="120">
        <f>(D7*D8/(PI()*(D6-D7/2)))/((PI()*(D6-D7/2)*D14+D7*D8*COS(0.5*RADIANS(D9)))/(PI()*(D6-D7/2)*COS(0.5*RADIANS(D9))-D14*D7*D8))</f>
        <v>0.41621760320185969</v>
      </c>
    </row>
    <row r="7" spans="2:10" x14ac:dyDescent="0.25">
      <c r="C7" s="119" t="str">
        <f>"Pitch (" &amp; IF($B$4, "mm", "in") &amp; "/rev)"</f>
        <v>Pitch (in/rev)</v>
      </c>
      <c r="D7" s="125">
        <v>0.1</v>
      </c>
      <c r="G7" s="108" t="str">
        <f>"Equivalent Radius (" &amp; IF($B$4, "mm", "in") &amp; ")"</f>
        <v>Equivalent Radius (in)</v>
      </c>
      <c r="H7" s="45">
        <f>D7*D8/(2*PI())</f>
        <v>1.5915494309189534E-2</v>
      </c>
    </row>
    <row r="8" spans="2:10" x14ac:dyDescent="0.25">
      <c r="C8" s="119" t="s">
        <v>58</v>
      </c>
      <c r="D8" s="21">
        <v>1</v>
      </c>
    </row>
    <row r="9" spans="2:10" x14ac:dyDescent="0.25">
      <c r="C9" s="119" t="s">
        <v>59</v>
      </c>
      <c r="D9" s="21">
        <v>29</v>
      </c>
      <c r="G9" s="68" t="str">
        <f>"Applied Force (" &amp; IF($B$4, "N", "lbf") &amp; ")"</f>
        <v>Applied Force (lbf)</v>
      </c>
      <c r="H9" s="22">
        <v>889.60000000000048</v>
      </c>
      <c r="I9" s="121">
        <f>I10/(($D$6-$D$7/2)/2*((PI()*($D$6-$D$7/2)*$D$14+$D$7*$D$8*COS(0.5*RADIANS($D$9)))/(PI()*($D$6-$D$7/2)*COS(0.5*RADIANS($D$9))-$D$14*$D$7*$D$8)))</f>
        <v>46.294429616346761</v>
      </c>
      <c r="J9" s="121">
        <f>J11/(($D$6-$D$7/2)/2*((PI()*$D$14*($D$6-$D$7/2)-$D$7*$D$8*COS(0.5*RADIANS($D$9)))/(PI()*($D$6-$D$7/2)*COS(0.5*RADIANS($D$9))+$D$14*$D$7*$D$8)))</f>
        <v>45.562656592416822</v>
      </c>
    </row>
    <row r="10" spans="2:10" x14ac:dyDescent="0.25">
      <c r="G10" s="69" t="str">
        <f>"Raise Torque (" &amp; IF($B$4, "Nmm", "in-lb") &amp; ")"</f>
        <v>Raise Torque (in-lb)</v>
      </c>
      <c r="H10" s="90">
        <f>H9*($D$6-$D$7/2)/2*((PI()*($D$6-$D$7/2)*$D$14+$D$7*$D$8*COS(0.5*RADIANS($D$9)))/(PI()*($D$6-$D$7/2)*COS(0.5*RADIANS($D$9))-$D$14*$D$7*$D$8))</f>
        <v>34.016878739721115</v>
      </c>
      <c r="I10" s="12">
        <v>1.7702248185519569</v>
      </c>
      <c r="J10" s="90">
        <f>J9*($D$6-$D$7/2)/2*((PI()*($D$6-$D$7/2)*$D$14+$D$7*$D$8*COS(0.5*RADIANS($D$9)))/(PI()*($D$6-$D$7/2)*COS(0.5*RADIANS($D$9))-$D$14*$D$7*$D$8))</f>
        <v>1.7422429905168582</v>
      </c>
    </row>
    <row r="11" spans="2:10" x14ac:dyDescent="0.25">
      <c r="C11" s="119" t="s">
        <v>60</v>
      </c>
      <c r="D11" s="21" t="s">
        <v>63</v>
      </c>
      <c r="G11" s="69" t="str">
        <f>"Lower Torque (" &amp; IF($B$4, "Nmm", "in-lb") &amp; ")"</f>
        <v>Lower Torque (in-lb)</v>
      </c>
      <c r="H11" s="90">
        <f>MAX(H9*($D$6-$D$7/2)/2*((PI()*$D$14*($D$6-$D$7/2)-$D$7*$D$8*COS(0.5*RADIANS($D$9)))/(PI()*($D$6-$D$7/2)*COS(0.5*RADIANS($D$9))+$D$14*$D$7*$D$8)), 0)</f>
        <v>5.1844825884645189</v>
      </c>
      <c r="I11" s="90">
        <f>I9*($D$6-$D$7/2)/2*((PI()*$D$14*($D$6-$D$7/2)-$D$7*$D$8*COS(0.5*RADIANS($D$9)))/(PI()*($D$6-$D$7/2)*COS(0.5*RADIANS($D$9))+$D$14*$D$7*$D$8))</f>
        <v>0.26979840859807303</v>
      </c>
      <c r="J11" s="12">
        <v>0.26553372278279341</v>
      </c>
    </row>
    <row r="12" spans="2:10" x14ac:dyDescent="0.25">
      <c r="C12" s="119" t="s">
        <v>61</v>
      </c>
      <c r="D12" s="21" t="s">
        <v>68</v>
      </c>
      <c r="G12" s="69" t="str">
        <f>"Eq. Raise Load (" &amp; IF($B$4, "kgf", "lbf") &amp; ")"</f>
        <v>Eq. Raise Load (lbf)</v>
      </c>
      <c r="H12" s="90">
        <f t="shared" ref="H12:J13" si="0">H10/$H$7/9.8</f>
        <v>218.09627825869933</v>
      </c>
      <c r="I12" s="90">
        <f t="shared" si="0"/>
        <v>11.349643439112555</v>
      </c>
      <c r="J12" s="90">
        <f t="shared" si="0"/>
        <v>11.170240366889946</v>
      </c>
    </row>
    <row r="13" spans="2:10" x14ac:dyDescent="0.25">
      <c r="C13" s="119" t="s">
        <v>62</v>
      </c>
      <c r="D13" s="21" t="s">
        <v>64</v>
      </c>
      <c r="G13" s="70" t="str">
        <f>"Eq. Lower Load (" &amp; IF($B$4, "kgf", "lbf") &amp; ")"</f>
        <v>Eq. Lower Load (lbf)</v>
      </c>
      <c r="H13" s="117">
        <f t="shared" si="0"/>
        <v>33.239862066498624</v>
      </c>
      <c r="I13" s="117">
        <f t="shared" si="0"/>
        <v>1.7297891804120888</v>
      </c>
      <c r="J13" s="117">
        <f t="shared" si="0"/>
        <v>1.7024465158668827</v>
      </c>
    </row>
    <row r="14" spans="2:10" x14ac:dyDescent="0.25">
      <c r="D14" s="3">
        <f>IF($D$11="Steel", IF($D$13="No",IF($D$12="Steel",0.2,IF($D$12="Bronze",0.19,IF($D$12="Brass",0.17,0.2))), IF($D$12="Steel",0.14,IF($D$12="Bronze",0.13,IF($D$12="Brass",0.13,0.14)))), IF($D$12="Steel",0.1,IF($D$12="Bronze",0.05,IF($D$12="Brass",0.05,0.08))))</f>
        <v>0.13</v>
      </c>
    </row>
    <row r="15" spans="2:10" x14ac:dyDescent="0.25">
      <c r="G15" s="68" t="s">
        <v>67</v>
      </c>
      <c r="H15" s="23">
        <v>5000</v>
      </c>
      <c r="I15" s="122">
        <f>I16*60/$D$7/$D$8*IF($B$4, 1000, 12)</f>
        <v>7200</v>
      </c>
    </row>
    <row r="16" spans="2:10" x14ac:dyDescent="0.25">
      <c r="C16" s="119" t="s">
        <v>65</v>
      </c>
      <c r="D16" s="123" t="b">
        <f>((PI()*$D$14*($D$6-$D$7/2)-$D$7*$D$8*COS(0.5*RADIANS($D$9)))/(PI()*($D$6-$D$7/2)*COS(0.5*RADIANS($D$9))+$D$14*$D$7*$D$8))&lt;0</f>
        <v>0</v>
      </c>
      <c r="G16" s="70" t="str">
        <f>"Linear Speed (" &amp; IF($B$4, "m", "ft") &amp; "/s)"</f>
        <v>Linear Speed (ft/s)</v>
      </c>
      <c r="H16" s="124">
        <f>H15/60*$D$7*$D$8/IF($B$4, 1000, 12)</f>
        <v>0.69444444444444453</v>
      </c>
      <c r="I16" s="24">
        <v>1</v>
      </c>
    </row>
    <row r="19" spans="3:10" ht="43.5" customHeight="1" x14ac:dyDescent="0.25">
      <c r="C19" s="148" t="s">
        <v>69</v>
      </c>
      <c r="D19" s="149"/>
      <c r="E19" s="149"/>
      <c r="F19" s="149"/>
      <c r="G19" s="149"/>
      <c r="H19" s="149"/>
      <c r="I19" s="149"/>
      <c r="J19" s="150"/>
    </row>
    <row r="20" spans="3:10" x14ac:dyDescent="0.25">
      <c r="C20" s="151" t="s">
        <v>70</v>
      </c>
      <c r="D20" s="152"/>
      <c r="E20" s="152"/>
      <c r="F20" s="152"/>
      <c r="G20" s="152"/>
      <c r="H20" s="152"/>
      <c r="I20" s="152"/>
      <c r="J20" s="153"/>
    </row>
    <row r="22" spans="3:10" ht="43.5" customHeight="1" x14ac:dyDescent="0.25">
      <c r="C22" s="148" t="s">
        <v>71</v>
      </c>
      <c r="D22" s="149"/>
      <c r="E22" s="149"/>
      <c r="F22" s="149"/>
      <c r="G22" s="149"/>
      <c r="H22" s="149"/>
      <c r="I22" s="149"/>
      <c r="J22" s="150"/>
    </row>
    <row r="23" spans="3:10" ht="29.25" customHeight="1" x14ac:dyDescent="0.25">
      <c r="C23" s="151" t="s">
        <v>72</v>
      </c>
      <c r="D23" s="152"/>
      <c r="E23" s="152"/>
      <c r="F23" s="152"/>
      <c r="G23" s="152"/>
      <c r="H23" s="152"/>
      <c r="I23" s="152"/>
      <c r="J23" s="153"/>
    </row>
  </sheetData>
  <sheetProtection sheet="1" objects="1" scenarios="1" formatCells="0" formatColumns="0" formatRows="0"/>
  <mergeCells count="4">
    <mergeCell ref="C19:J19"/>
    <mergeCell ref="C20:J20"/>
    <mergeCell ref="C22:J22"/>
    <mergeCell ref="C23:J23"/>
  </mergeCells>
  <conditionalFormatting sqref="J9:J10 J12:J13">
    <cfRule type="expression" dxfId="55" priority="6">
      <formula>$J$9&lt;0</formula>
    </cfRule>
  </conditionalFormatting>
  <conditionalFormatting sqref="I9 I11:I13">
    <cfRule type="expression" dxfId="54" priority="5">
      <formula>$I$9&lt;0</formula>
    </cfRule>
  </conditionalFormatting>
  <conditionalFormatting sqref="H9 I10 J11 I16 H15 D6:D9">
    <cfRule type="cellIs" dxfId="53" priority="4" operator="lessThan">
      <formula>0</formula>
    </cfRule>
  </conditionalFormatting>
  <conditionalFormatting sqref="J11 I10 H9 I16 H15 D6:D9 D11:D13">
    <cfRule type="containsBlanks" dxfId="52" priority="3">
      <formula>LEN(TRIM(D6))=0</formula>
    </cfRule>
  </conditionalFormatting>
  <conditionalFormatting sqref="D9">
    <cfRule type="cellIs" dxfId="51" priority="2" operator="greaterThan">
      <formula>90</formula>
    </cfRule>
  </conditionalFormatting>
  <conditionalFormatting sqref="D6:D9 H9 I10 J11 H15 I16">
    <cfRule type="expression" dxfId="50"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1.85546875" style="1" customWidth="1"/>
    <col min="11" max="11" width="9" style="1" customWidth="1"/>
    <col min="12" max="12" width="9.140625" style="1" customWidth="1"/>
    <col min="13" max="16384" width="9.140625" style="1"/>
  </cols>
  <sheetData>
    <row r="2" spans="2:14" ht="31.5" x14ac:dyDescent="0.25">
      <c r="C2" s="2" t="s">
        <v>73</v>
      </c>
    </row>
    <row r="4" spans="2:14" x14ac:dyDescent="0.25">
      <c r="B4" s="10" t="b">
        <v>0</v>
      </c>
      <c r="C4" s="1" t="s">
        <v>0</v>
      </c>
    </row>
    <row r="6" spans="2:14" x14ac:dyDescent="0.25">
      <c r="C6" s="146" t="s">
        <v>6</v>
      </c>
      <c r="D6" s="154"/>
      <c r="E6" s="25" t="s">
        <v>34</v>
      </c>
      <c r="G6" s="108" t="s">
        <v>80</v>
      </c>
      <c r="H6" s="109" t="s">
        <v>81</v>
      </c>
      <c r="I6" s="109" t="s">
        <v>82</v>
      </c>
      <c r="J6" s="26" t="str">
        <f>"C-C dist. (" &amp; IF($B$4, "mm", "in") &amp; ")"</f>
        <v>C-C dist. (in)</v>
      </c>
    </row>
    <row r="7" spans="2:14" x14ac:dyDescent="0.25">
      <c r="C7" s="27" t="s">
        <v>1</v>
      </c>
      <c r="D7" s="28">
        <f>VLOOKUP($C$6, MotorSpecs, 2, FALSE)</f>
        <v>5330</v>
      </c>
      <c r="E7" s="29">
        <f>D7*(D14/12)</f>
        <v>4885.833333333333</v>
      </c>
      <c r="G7" s="30">
        <v>12</v>
      </c>
      <c r="H7" s="31">
        <v>54</v>
      </c>
      <c r="I7" s="31">
        <v>20</v>
      </c>
      <c r="J7" s="32">
        <f>IF(COUNTBLANK(G7:I7)&gt;0, "", ((G7+H7)/(2*I7)+0.003)*IF($B$4, 25.4, 1))</f>
        <v>1.6529999999999998</v>
      </c>
    </row>
    <row r="8" spans="2:14" x14ac:dyDescent="0.25">
      <c r="C8" s="33" t="s">
        <v>2</v>
      </c>
      <c r="D8" s="34">
        <f>VLOOKUP($C$6, MotorSpecs, 3, FALSE)</f>
        <v>2.41</v>
      </c>
      <c r="E8" s="35">
        <f>D8*D13*(D14/12)*D15</f>
        <v>10.604000000000001</v>
      </c>
      <c r="G8" s="30">
        <v>18</v>
      </c>
      <c r="H8" s="31">
        <v>50</v>
      </c>
      <c r="I8" s="31">
        <v>20</v>
      </c>
      <c r="J8" s="32">
        <f t="shared" ref="J8:J10" si="0">IF(COUNTBLANK(G8:I8)&gt;0, "", ((G8+H8)/(2*I8)+0.003)*IF($B$4, 25.4, 1))</f>
        <v>1.7029999999999998</v>
      </c>
    </row>
    <row r="9" spans="2:14" x14ac:dyDescent="0.25">
      <c r="C9" s="33" t="s">
        <v>3</v>
      </c>
      <c r="D9" s="36">
        <f>VLOOKUP($C$6, MotorSpecs, 4, FALSE)</f>
        <v>2.7</v>
      </c>
      <c r="E9" s="37">
        <f>D9*D13*(D14/12)</f>
        <v>14.850000000000001</v>
      </c>
      <c r="G9" s="30"/>
      <c r="H9" s="31"/>
      <c r="I9" s="31"/>
      <c r="J9" s="32" t="str">
        <f t="shared" si="0"/>
        <v/>
      </c>
    </row>
    <row r="10" spans="2:14" x14ac:dyDescent="0.25">
      <c r="C10" s="33" t="s">
        <v>4</v>
      </c>
      <c r="D10" s="38">
        <f>VLOOKUP($C$6, MotorSpecs, 5, FALSE)</f>
        <v>131</v>
      </c>
      <c r="E10" s="39">
        <f>D10*D13*(D14/12)</f>
        <v>720.5</v>
      </c>
      <c r="G10" s="30"/>
      <c r="H10" s="31"/>
      <c r="I10" s="31"/>
      <c r="J10" s="32" t="str">
        <f t="shared" si="0"/>
        <v/>
      </c>
    </row>
    <row r="11" spans="2:14" x14ac:dyDescent="0.25">
      <c r="C11" s="40" t="s">
        <v>5</v>
      </c>
      <c r="D11" s="41">
        <f>VLOOKUP($C$6, MotorSpecs, 6, FALSE)</f>
        <v>336.28916760964142</v>
      </c>
      <c r="E11" s="42">
        <f>(E7/60*2*PI())*E8/4</f>
        <v>1356.3663093588871</v>
      </c>
    </row>
    <row r="12" spans="2:14" x14ac:dyDescent="0.25">
      <c r="G12" s="157" t="s">
        <v>83</v>
      </c>
      <c r="H12" s="158"/>
      <c r="I12" s="43">
        <f>IF(COUNTBLANK($H$7:$H$10)&lt;4, PRODUCT($H$7:$H$10), 1)/IF(COUNTBLANK($G$7:$G$10)&lt;4, PRODUCT($G$7:$G$10), 1)</f>
        <v>12.5</v>
      </c>
    </row>
    <row r="13" spans="2:14" x14ac:dyDescent="0.25">
      <c r="C13" s="44" t="s">
        <v>85</v>
      </c>
      <c r="D13" s="14">
        <v>6</v>
      </c>
      <c r="G13" s="157" t="str">
        <f>"Adjusted Speed (" &amp; IF($B$4, "m", "ft") &amp; "/s)"</f>
        <v>Adjusted Speed (ft/s)</v>
      </c>
      <c r="H13" s="158"/>
      <c r="I13" s="45">
        <f>I14*$D$16</f>
        <v>6.0715001399693671</v>
      </c>
      <c r="N13" s="46"/>
    </row>
    <row r="14" spans="2:14" x14ac:dyDescent="0.25">
      <c r="C14" s="44" t="s">
        <v>36</v>
      </c>
      <c r="D14" s="14">
        <v>11</v>
      </c>
      <c r="G14" s="157" t="str">
        <f>"Free Speed (" &amp; IF($B$4, "m", "ft") &amp; "/s)"</f>
        <v>Free Speed (ft/s)</v>
      </c>
      <c r="H14" s="158"/>
      <c r="I14" s="45">
        <f>($E$7/60)/I12*(D20*PI()/12)/IF($B$4, 3.281, 1)</f>
        <v>6.8219102696285026</v>
      </c>
    </row>
    <row r="15" spans="2:14" x14ac:dyDescent="0.25">
      <c r="C15" s="44" t="s">
        <v>74</v>
      </c>
      <c r="D15" s="17">
        <v>0.8</v>
      </c>
      <c r="G15" s="157" t="s">
        <v>84</v>
      </c>
      <c r="H15" s="158"/>
      <c r="I15" s="47">
        <f>(($E$10-$E$9)/$E$8)*$D$19*$D$17*F14/$D$13*(F13/2)/I12*4.448*0.0254 + $E$9/$D$13</f>
        <v>2.4750000000000001</v>
      </c>
    </row>
    <row r="16" spans="2:14" x14ac:dyDescent="0.25">
      <c r="C16" s="44" t="s">
        <v>75</v>
      </c>
      <c r="D16" s="17">
        <v>0.89</v>
      </c>
    </row>
    <row r="17" spans="3:12" x14ac:dyDescent="0.25">
      <c r="C17" s="44" t="s">
        <v>76</v>
      </c>
      <c r="D17" s="17">
        <v>1</v>
      </c>
      <c r="E17" s="3"/>
      <c r="G17" s="48" t="s">
        <v>80</v>
      </c>
      <c r="H17" s="49" t="s">
        <v>81</v>
      </c>
      <c r="J17" s="155" t="s">
        <v>83</v>
      </c>
      <c r="K17" s="156"/>
      <c r="L17" s="43">
        <f>IF(COUNTBLANK($H$7:$H$10)&lt;4, PRODUCT($H$7:$H$10), 1)*IF(ISBLANK(H18), 1, H18) / (IF(COUNTBLANK($G$7:$G$10)&lt;4, PRODUCT($G$7:$G$10), 1)*IF(ISBLANK(G18), 1, G18))</f>
        <v>15.625</v>
      </c>
    </row>
    <row r="18" spans="3:12" x14ac:dyDescent="0.25">
      <c r="D18" s="5"/>
      <c r="E18" s="3"/>
      <c r="G18" s="50">
        <v>12</v>
      </c>
      <c r="H18" s="51">
        <v>15</v>
      </c>
      <c r="J18" s="155" t="str">
        <f>"Adjusted Speed (" &amp; IF($B$4, "m", "ft") &amp; "/s)"</f>
        <v>Adjusted Speed (ft/s)</v>
      </c>
      <c r="K18" s="156"/>
      <c r="L18" s="45">
        <f>L19*$D$16</f>
        <v>4.8572001119754944</v>
      </c>
    </row>
    <row r="19" spans="3:12" x14ac:dyDescent="0.25">
      <c r="C19" s="44" t="str">
        <f>"Robot Weight  (" &amp; IF($B$4, "kg", "lbs") &amp; ")"</f>
        <v>Robot Weight  (lbs)</v>
      </c>
      <c r="D19" s="52">
        <v>154</v>
      </c>
      <c r="G19" s="53" t="s">
        <v>82</v>
      </c>
      <c r="H19" s="54"/>
      <c r="J19" s="155" t="str">
        <f>"Free Speed (" &amp; IF($B$4, "m", "ft") &amp; "/s)"</f>
        <v>Free Speed (ft/s)</v>
      </c>
      <c r="K19" s="156"/>
      <c r="L19" s="45">
        <f>($E$7/60)/L17*(D20*PI()/12)/IF($B$4, 3.281, 1)</f>
        <v>5.4575282157028022</v>
      </c>
    </row>
    <row r="20" spans="3:12" x14ac:dyDescent="0.25">
      <c r="C20" s="44" t="str">
        <f>"Wheel Diam. (" &amp; IF($B$4, "mm", "in") &amp; ")"</f>
        <v>Wheel Diam. (in)</v>
      </c>
      <c r="D20" s="55">
        <v>4</v>
      </c>
      <c r="G20" s="56" t="str">
        <f>"C-C (" &amp; IF($B$4, "mm", "in") &amp; ")"</f>
        <v>C-C (in)</v>
      </c>
      <c r="H20" s="57" t="str">
        <f>IF(COUNTBLANK(G18:H19)&gt;0, "", ((G18+H18)/(2*H19)+0.003)*IF($B$4, 25.4, 1))</f>
        <v/>
      </c>
      <c r="J20" s="155" t="s">
        <v>84</v>
      </c>
      <c r="K20" s="156"/>
      <c r="L20" s="47">
        <f>(($E$10-$E$9)/$E$8)*$D$19*$D$17*D21/$D$13*(D20/2)/L17*4.448*0.0254 + $E$9/$D$13</f>
        <v>27.175034627275242</v>
      </c>
    </row>
    <row r="21" spans="3:12" x14ac:dyDescent="0.25">
      <c r="C21" s="44" t="s">
        <v>77</v>
      </c>
      <c r="D21" s="55">
        <v>1</v>
      </c>
    </row>
    <row r="22" spans="3:12" x14ac:dyDescent="0.25">
      <c r="G22" s="48" t="s">
        <v>80</v>
      </c>
      <c r="H22" s="49" t="s">
        <v>81</v>
      </c>
      <c r="J22" s="159" t="s">
        <v>83</v>
      </c>
      <c r="K22" s="160"/>
      <c r="L22" s="43">
        <f>IF(COUNTBLANK($H$7:$H$10)&lt;4, PRODUCT($H$7:$H$10), 1)*IF(ISBLANK(H23), 1, H23) / (IF(COUNTBLANK($G$7:$G$10)&lt;4, PRODUCT($G$7:$G$10), 1)*IF(ISBLANK(G23), 1, G23))</f>
        <v>25</v>
      </c>
    </row>
    <row r="23" spans="3:12" x14ac:dyDescent="0.25">
      <c r="C23" s="58" t="s">
        <v>78</v>
      </c>
      <c r="D23" s="10" t="b">
        <v>0</v>
      </c>
      <c r="G23" s="50"/>
      <c r="H23" s="51">
        <v>2</v>
      </c>
      <c r="J23" s="159" t="str">
        <f>"Adjusted Speed (" &amp; IF($B$4, "m", "ft") &amp; "/s)"</f>
        <v>Adjusted Speed (ft/s)</v>
      </c>
      <c r="K23" s="160"/>
      <c r="L23" s="45">
        <f>L24*$D$16</f>
        <v>3.0357500699846836</v>
      </c>
    </row>
    <row r="24" spans="3:12" x14ac:dyDescent="0.25">
      <c r="C24" s="58" t="s">
        <v>79</v>
      </c>
      <c r="D24" s="10" t="b">
        <v>0</v>
      </c>
      <c r="G24" s="53" t="s">
        <v>82</v>
      </c>
      <c r="H24" s="54"/>
      <c r="J24" s="159" t="str">
        <f>"Free Speed (" &amp; IF($B$4, "m", "ft") &amp; "/s)"</f>
        <v>Free Speed (ft/s)</v>
      </c>
      <c r="K24" s="160"/>
      <c r="L24" s="45">
        <f>($E$7/60)/L22*(IF(D24,D26,D20)*PI()/12)/IF($B$4, 3.281, 1)</f>
        <v>3.4109551348142513</v>
      </c>
    </row>
    <row r="25" spans="3:12" x14ac:dyDescent="0.25">
      <c r="G25" s="56" t="str">
        <f>"C-C (" &amp; IF($B$4, "mm", "in") &amp; ")"</f>
        <v>C-C (in)</v>
      </c>
      <c r="H25" s="57" t="str">
        <f>IF(COUNTBLANK(G23:H24)&gt;0, "", ((G23+H23)/(2*H24)+0.003)*IF($B$4, 25.4, 1))</f>
        <v/>
      </c>
      <c r="J25" s="159" t="s">
        <v>84</v>
      </c>
      <c r="K25" s="160"/>
      <c r="L25" s="47">
        <f>(($E$10-$E$9)/$E$8)*$D$19*$D$17*IF(D24,D27,D21)/$D$13*(IF(D24,D26,D20)/2)/L22*4.448*0.0254 + $E$9/$D$13</f>
        <v>17.912521642047025</v>
      </c>
    </row>
    <row r="26" spans="3:12" x14ac:dyDescent="0.25">
      <c r="C26" s="107" t="str">
        <f>"2nd Wheel Diam. (" &amp; IF($B$4, "mm", "in") &amp; ")"</f>
        <v>2nd Wheel Diam. (in)</v>
      </c>
      <c r="D26" s="14">
        <v>6</v>
      </c>
    </row>
    <row r="27" spans="3:12" x14ac:dyDescent="0.25">
      <c r="C27" s="107" t="s">
        <v>107</v>
      </c>
      <c r="D27" s="14">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49" priority="23" operator="greaterThan">
      <formula>12</formula>
    </cfRule>
  </conditionalFormatting>
  <conditionalFormatting sqref="D13:D17 D19:D21">
    <cfRule type="cellIs" dxfId="48" priority="20" operator="lessThanOrEqual">
      <formula>0</formula>
    </cfRule>
  </conditionalFormatting>
  <conditionalFormatting sqref="D15:D17">
    <cfRule type="cellIs" dxfId="47" priority="13" operator="greaterThan">
      <formula>1</formula>
    </cfRule>
  </conditionalFormatting>
  <conditionalFormatting sqref="D13:D17 D19:D21">
    <cfRule type="containsBlanks" dxfId="46" priority="9">
      <formula>LEN(TRIM(D13))=0</formula>
    </cfRule>
  </conditionalFormatting>
  <conditionalFormatting sqref="G7:I10 G18:H18 H19 D26:D27 G23:H23 H24">
    <cfRule type="cellIs" dxfId="45" priority="7" operator="lessThan">
      <formula>0</formula>
    </cfRule>
  </conditionalFormatting>
  <conditionalFormatting sqref="C26:D27">
    <cfRule type="expression" dxfId="44" priority="24">
      <formula>NOT($D$24)</formula>
    </cfRule>
  </conditionalFormatting>
  <conditionalFormatting sqref="G17:L25">
    <cfRule type="expression" dxfId="43" priority="25">
      <formula>NOT($D$23)</formula>
    </cfRule>
  </conditionalFormatting>
  <conditionalFormatting sqref="G12:I15">
    <cfRule type="expression" dxfId="42" priority="2">
      <formula>$D$23</formula>
    </cfRule>
  </conditionalFormatting>
  <conditionalFormatting sqref="D13:D17 D19:D21 G7:I10 G18:H18 H19 G23:H23 H24">
    <cfRule type="expression" dxfId="41"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2851562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140625" style="1" customWidth="1"/>
    <col min="13" max="13" width="9.140625" style="1"/>
    <col min="14" max="14" width="9.140625" style="1" customWidth="1"/>
    <col min="15" max="15" width="24.28515625" style="1" customWidth="1"/>
    <col min="16" max="16384" width="9.140625" style="1"/>
  </cols>
  <sheetData>
    <row r="2" spans="2:16" ht="31.5" x14ac:dyDescent="0.25">
      <c r="C2" s="2" t="s">
        <v>86</v>
      </c>
    </row>
    <row r="4" spans="2:16" x14ac:dyDescent="0.25">
      <c r="B4" s="10" t="b">
        <v>1</v>
      </c>
      <c r="C4" s="1" t="s">
        <v>0</v>
      </c>
    </row>
    <row r="6" spans="2:16" ht="18.75" x14ac:dyDescent="0.25">
      <c r="D6" s="5"/>
      <c r="F6" s="161" t="s">
        <v>91</v>
      </c>
      <c r="G6" s="161"/>
      <c r="I6" s="161" t="s">
        <v>90</v>
      </c>
      <c r="J6" s="161"/>
      <c r="L6" s="161" t="s">
        <v>92</v>
      </c>
      <c r="M6" s="161"/>
      <c r="O6" s="59" t="s">
        <v>94</v>
      </c>
      <c r="P6" s="59"/>
    </row>
    <row r="7" spans="2:16" x14ac:dyDescent="0.25">
      <c r="D7" s="5"/>
    </row>
    <row r="8" spans="2:16" x14ac:dyDescent="0.25">
      <c r="C8" s="108" t="s">
        <v>89</v>
      </c>
      <c r="D8" s="14" t="s">
        <v>96</v>
      </c>
      <c r="F8" s="108" t="str">
        <f>"Load Force (" &amp; IF($B$4, "kgf", "lbf") &amp; ")"</f>
        <v>Load Force (kgf)</v>
      </c>
      <c r="G8" s="55">
        <v>69.999999999999986</v>
      </c>
      <c r="I8" s="108" t="str">
        <f>"Load Force (" &amp; IF($B$4, "kgf", "lbf") &amp; ")"</f>
        <v>Load Force (kgf)</v>
      </c>
      <c r="J8" s="55">
        <v>69.999999999999986</v>
      </c>
      <c r="L8" s="108" t="str">
        <f>"Length (" &amp; IF($B$4, "mm", "in") &amp; ")"</f>
        <v>Length (mm)</v>
      </c>
      <c r="M8" s="52">
        <v>550</v>
      </c>
      <c r="O8" s="108" t="str">
        <f>"Torque (" &amp; IF($B$4, "Nmm", "in-lbs") &amp; ")"</f>
        <v>Torque (Nmm)</v>
      </c>
      <c r="P8" s="52">
        <v>150000</v>
      </c>
    </row>
    <row r="9" spans="2:16" x14ac:dyDescent="0.25">
      <c r="D9" s="60"/>
      <c r="F9" s="108" t="str">
        <f>"Distance To Support (" &amp; IF($B$4, "mm", "in") &amp; ")"</f>
        <v>Distance To Support (mm)</v>
      </c>
      <c r="G9" s="52">
        <v>200</v>
      </c>
      <c r="H9" s="61"/>
      <c r="I9" s="108" t="str">
        <f>"Distance To Support (" &amp; IF($B$4, "mm", "in") &amp; ")"</f>
        <v>Distance To Support (mm)</v>
      </c>
      <c r="J9" s="52">
        <v>300</v>
      </c>
      <c r="K9" s="61"/>
      <c r="L9" s="108" t="s">
        <v>93</v>
      </c>
      <c r="M9" s="19">
        <v>0.8</v>
      </c>
      <c r="N9" s="61"/>
      <c r="O9" s="108" t="str">
        <f>"Distance To Support (" &amp; IF($B$4, "mm", "in") &amp; ")"</f>
        <v>Distance To Support (mm)</v>
      </c>
      <c r="P9" s="52">
        <v>114.99999999999997</v>
      </c>
    </row>
    <row r="10" spans="2:16" x14ac:dyDescent="0.25">
      <c r="C10" s="108" t="s">
        <v>87</v>
      </c>
      <c r="D10" s="14" t="s">
        <v>88</v>
      </c>
      <c r="F10" s="108" t="str">
        <f>"Dist. Btwn. Supports (" &amp; IF($B$4, "mm", "in") &amp; ")"</f>
        <v>Dist. Btwn. Supports (mm)</v>
      </c>
      <c r="G10" s="52">
        <v>600</v>
      </c>
      <c r="I10" s="108" t="str">
        <f>"Length (" &amp; IF($B$4, "mm", "in") &amp; ")"</f>
        <v>Length (mm)</v>
      </c>
      <c r="J10" s="52">
        <v>600</v>
      </c>
    </row>
    <row r="11" spans="2:16" x14ac:dyDescent="0.25">
      <c r="C11" s="108" t="str">
        <f>CHOOSE(MATCH($D$10,{"Hex","Round","Round Tube","Square","Rect. Tube"},0), "Size","Diameter","Outside Diam.","Size","║ Size") &amp; " (" &amp; IF($B$4,"mm","in") &amp; ")"</f>
        <v>Size (mm)</v>
      </c>
      <c r="D11" s="19">
        <v>12.699999999999996</v>
      </c>
    </row>
    <row r="12" spans="2:16" x14ac:dyDescent="0.25">
      <c r="C12" s="108" t="str">
        <f>CHOOSE(MATCH($D$10,{"Hex","Round","Round Tube","Square","Rect. Tube"},0), "","","Wall Thick. ("&amp;IF($B$4,"in","mm")&amp;")","","┴ Size ("&amp;IF($B$4,"mm","in")&amp;")")</f>
        <v/>
      </c>
      <c r="D12" s="19">
        <v>3</v>
      </c>
    </row>
    <row r="13" spans="2:16" x14ac:dyDescent="0.25">
      <c r="C13" s="108" t="str">
        <f>CHOOSE(MATCH($D$10,{"Hex","Round","Round Tube","Square","Rect. Tube"},0), "","","","","Wall Thick. ("&amp;IF($B$4,"mm","in")&amp;")")</f>
        <v/>
      </c>
      <c r="D13" s="19">
        <v>0</v>
      </c>
      <c r="F13" s="108" t="str">
        <f>"Displacement (" &amp; IF($B$4, "mm", "in") &amp; ")"</f>
        <v>Displacement (mm)</v>
      </c>
      <c r="G13" s="45">
        <f>4*G8*IF($B$4, 9.8, 1)*(MAX(G9,G10-G9))^3*(MIN(G9,G10-G9))^2 / (3*D20*D22*(3*MAX(G9,G10-G9)+MIN(G9,G10-G9))^2)</f>
        <v>10.657080217110135</v>
      </c>
      <c r="I13" s="108" t="str">
        <f>"Displacement (" &amp; IF($B$4, "mm", "in") &amp; ")"</f>
        <v>Displacement (mm)</v>
      </c>
      <c r="J13" s="45">
        <f>(J8*IF($B$4, 9.8, 1))*J9^2/(6*D22*D20)*(3*J10-J9)</f>
        <v>137.68864382067096</v>
      </c>
      <c r="L13" s="108" t="str">
        <f>"Max. Force (" &amp; IF($B$4, "kgf", "lbf") &amp; ")"</f>
        <v>Max. Force (kgf)</v>
      </c>
      <c r="M13" s="6">
        <f>PI()^2*D22*D20/(M8*M9)^2 / IF($B$4, 9.8, 1)</f>
        <v>583.14536518042598</v>
      </c>
      <c r="O13" s="108" t="s">
        <v>95</v>
      </c>
      <c r="P13" s="45">
        <f>DEGREES(P8*P9/(D23*D21))</f>
        <v>12.238797783310503</v>
      </c>
    </row>
    <row r="14" spans="2:16" x14ac:dyDescent="0.25">
      <c r="G14" s="5"/>
    </row>
    <row r="15" spans="2:16" ht="15" customHeight="1" x14ac:dyDescent="0.25">
      <c r="C15" s="173" t="s">
        <v>225</v>
      </c>
      <c r="D15" s="174"/>
    </row>
    <row r="16" spans="2:16" ht="15" customHeight="1" x14ac:dyDescent="0.25">
      <c r="C16" s="175"/>
      <c r="D16" s="176"/>
    </row>
    <row r="17" spans="3:4" ht="15" customHeight="1" x14ac:dyDescent="0.25">
      <c r="C17" s="175"/>
      <c r="D17" s="176"/>
    </row>
    <row r="18" spans="3:4" x14ac:dyDescent="0.25">
      <c r="C18" s="177"/>
      <c r="D18" s="178"/>
    </row>
    <row r="20" spans="3:4" x14ac:dyDescent="0.25">
      <c r="C20" s="62" t="s">
        <v>97</v>
      </c>
      <c r="D20" s="63">
        <f>CHOOSE(MATCH($D$10,{"Hex","Round","Round Tube","Square","Rect. Tube"},0), 0.0601*$D$11^4, PI()/64*$D$11^4, PI()*$D$11^3*$D$12, $D$11^4/12, $D$11^2*$D$12*$D$13/3)</f>
        <v>1563.4692924099977</v>
      </c>
    </row>
    <row r="21" spans="3:4" x14ac:dyDescent="0.25">
      <c r="C21" s="62" t="s">
        <v>98</v>
      </c>
      <c r="D21" s="63">
        <f>CHOOSE(MATCH($D$10,{"Hex","Round","Round Tube","Square","Rect. Tube"},0), 0.1154*$D$11^4, PI()/32*$D$11^4, PI()/4*$D$11^3*$D$12, 9/64*$D$11^4, (2*$D$13^2*($D$12-$D$13)^2*($D$11-$D$13)^2)/($D$11*$D$13+$D$12*$D$13-2*$D$13^2))</f>
        <v>3002.0691571399957</v>
      </c>
    </row>
    <row r="22" spans="3:4" x14ac:dyDescent="0.25">
      <c r="C22" s="62" t="s">
        <v>99</v>
      </c>
      <c r="D22" s="3">
        <f>CHOOSE(MATCH($D$8,{"6061 Al","7075 Al","Steel","Stainless"},0), 68900, 71700, 206000, 193000) * IF($B$4, 1, 145)</f>
        <v>71700</v>
      </c>
    </row>
    <row r="23" spans="3:4" x14ac:dyDescent="0.25">
      <c r="C23" s="62" t="s">
        <v>100</v>
      </c>
      <c r="D23" s="3">
        <f>CHOOSE(MATCH($D$8,{"6061 Al","7075 Al","Steel","Stainless"},0), 26000, 26900, 80000, 77000) * IF($B$4, 1, 145)</f>
        <v>26900</v>
      </c>
    </row>
  </sheetData>
  <sheetProtection sheet="1" objects="1" scenarios="1" formatCells="0" formatColumns="0" formatRows="0"/>
  <mergeCells count="4">
    <mergeCell ref="L6:M6"/>
    <mergeCell ref="F6:G6"/>
    <mergeCell ref="I6:J6"/>
    <mergeCell ref="C15:D18"/>
  </mergeCells>
  <conditionalFormatting sqref="C13:D13">
    <cfRule type="expression" dxfId="40" priority="4">
      <formula>NOT($D$10="Rect. Tube")</formula>
    </cfRule>
  </conditionalFormatting>
  <conditionalFormatting sqref="C12:D13">
    <cfRule type="expression" dxfId="39" priority="7">
      <formula>NOT(OR($D$10="Round Tube", $D$10="Rect. Tube"))</formula>
    </cfRule>
  </conditionalFormatting>
  <conditionalFormatting sqref="D11:D13 G8:G10 J8:J10 M8:M9 P8:P9">
    <cfRule type="cellIs" dxfId="38" priority="8" operator="lessThanOrEqual">
      <formula>0</formula>
    </cfRule>
  </conditionalFormatting>
  <conditionalFormatting sqref="G9">
    <cfRule type="cellIs" dxfId="37" priority="3" operator="greaterThanOrEqual">
      <formula>$G$10</formula>
    </cfRule>
  </conditionalFormatting>
  <conditionalFormatting sqref="D11 G8:G10 J8:J10 M8:M9 P8:P9">
    <cfRule type="expression" dxfId="36" priority="2">
      <formula>ISTEXT(D8)</formula>
    </cfRule>
  </conditionalFormatting>
  <conditionalFormatting sqref="D11">
    <cfRule type="containsBlanks" dxfId="35"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"6061 Al,7075 Al,Steel,Stainless"</formula1>
    </dataValidation>
    <dataValidation type="list" allowBlank="1" showInputMessage="1" showErrorMessage="1"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5" x14ac:dyDescent="0.25">
      <c r="C2" s="2" t="s">
        <v>101</v>
      </c>
    </row>
    <row r="4" spans="2:16" x14ac:dyDescent="0.25">
      <c r="B4" s="10" t="b">
        <v>1</v>
      </c>
      <c r="C4" s="1" t="s">
        <v>0</v>
      </c>
    </row>
    <row r="6" spans="2:16" ht="18.75" x14ac:dyDescent="0.25">
      <c r="C6" s="161" t="s">
        <v>102</v>
      </c>
      <c r="D6" s="161"/>
      <c r="F6" s="161" t="s">
        <v>105</v>
      </c>
      <c r="G6" s="161"/>
      <c r="I6" s="162" t="s">
        <v>102</v>
      </c>
      <c r="J6" s="163"/>
    </row>
    <row r="7" spans="2:16" x14ac:dyDescent="0.25">
      <c r="C7" s="108" t="str">
        <f>"Distance to Target (" &amp; IF($B$4, "m", "ft") &amp; ")"</f>
        <v>Distance to Target (m)</v>
      </c>
      <c r="D7" s="55">
        <v>1.523925632429137</v>
      </c>
      <c r="F7" s="108" t="str">
        <f>"Distance to Target (" &amp; IF($B$4, "m", "ft") &amp; ")"</f>
        <v>Distance to Target (m)</v>
      </c>
      <c r="G7" s="55">
        <v>1.523925632429137</v>
      </c>
    </row>
    <row r="8" spans="2:16" x14ac:dyDescent="0.25">
      <c r="C8" s="108" t="str">
        <f>"Release Height (" &amp; IF($B$4, "m", "ft") &amp; ")"</f>
        <v>Release Height (m)</v>
      </c>
      <c r="D8" s="55">
        <v>0.3047851264858274</v>
      </c>
      <c r="F8" s="108" t="str">
        <f>"Release Height (" &amp; IF($B$4, "m", "ft") &amp; ")"</f>
        <v>Release Height (m)</v>
      </c>
      <c r="G8" s="55">
        <v>0.3047851264858274</v>
      </c>
      <c r="I8" s="61"/>
      <c r="J8" s="61">
        <v>0</v>
      </c>
      <c r="L8" s="61"/>
      <c r="M8" s="61">
        <v>0</v>
      </c>
      <c r="O8" s="61"/>
      <c r="P8" s="61">
        <v>0</v>
      </c>
    </row>
    <row r="9" spans="2:16" x14ac:dyDescent="0.25">
      <c r="C9" s="108" t="str">
        <f>"Release Velocity (" &amp; IF($B$4, "m", "ft") &amp; "/s)"</f>
        <v>Release Velocity (m/s)</v>
      </c>
      <c r="D9" s="55">
        <v>4.5717768972874122</v>
      </c>
      <c r="F9" s="108" t="str">
        <f>"Target Height (" &amp; IF($B$4, "m", "ft") &amp; ")"</f>
        <v>Target Height (m)</v>
      </c>
      <c r="G9" s="55">
        <v>1.2191405059433096</v>
      </c>
      <c r="I9" s="61"/>
      <c r="J9" s="61">
        <v>0</v>
      </c>
      <c r="O9" s="61"/>
      <c r="P9" s="61">
        <v>0</v>
      </c>
    </row>
    <row r="10" spans="2:16" x14ac:dyDescent="0.25">
      <c r="C10" s="108" t="s">
        <v>103</v>
      </c>
      <c r="D10" s="77">
        <v>70</v>
      </c>
      <c r="F10" s="108" t="s">
        <v>106</v>
      </c>
      <c r="G10" s="77">
        <v>-60</v>
      </c>
      <c r="I10" s="64"/>
      <c r="J10" s="61">
        <v>0</v>
      </c>
    </row>
    <row r="11" spans="2:16" x14ac:dyDescent="0.25">
      <c r="D11" s="60"/>
      <c r="G11" s="60"/>
    </row>
    <row r="12" spans="2:16" x14ac:dyDescent="0.25">
      <c r="D12" s="60"/>
      <c r="G12" s="60"/>
    </row>
    <row r="13" spans="2:16" x14ac:dyDescent="0.25">
      <c r="C13" s="108" t="str">
        <f>"Final Height (" &amp; IF($B$4, "m", "ft") &amp; ")"</f>
        <v>Final Height (m)</v>
      </c>
      <c r="D13" s="47">
        <v>10.079807336426413</v>
      </c>
      <c r="F13" s="108" t="str">
        <f>"Release Velocity (" &amp; IF($B$4, "m", "ft") &amp; "/s)"</f>
        <v>Release Velocity (m/s)</v>
      </c>
      <c r="G13" s="47">
        <f>SQRT((IF($B$4, 9.807, 32.174)*G7)/(ABS(TAN(RADIANS(G14))-TAN(RADIANS(G10)))))/COS(RADIANS(G14))</f>
        <v>5.5453881994838294</v>
      </c>
    </row>
    <row r="14" spans="2:16" x14ac:dyDescent="0.25">
      <c r="C14" s="108" t="s">
        <v>104</v>
      </c>
      <c r="D14" s="65">
        <f>DEGREES(ATAN(2*(D13-D8)/D7-TAN(RADIANS(D10))))</f>
        <v>84.335137472670056</v>
      </c>
      <c r="F14" s="108" t="s">
        <v>103</v>
      </c>
      <c r="G14" s="65">
        <f>DEGREES(ATAN(2*(G9-G8)/G7-TAN(RADIANS(G10))))</f>
        <v>71.167636014035594</v>
      </c>
    </row>
    <row r="33" spans="11:17" x14ac:dyDescent="0.25">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25">
      <c r="K34" s="3"/>
      <c r="L34" s="3"/>
      <c r="M34" s="3"/>
      <c r="N34" s="3"/>
      <c r="O34" s="3"/>
      <c r="P34" s="3"/>
      <c r="Q34" s="3"/>
    </row>
    <row r="35" spans="11:17" x14ac:dyDescent="0.25">
      <c r="K35" s="3">
        <v>0</v>
      </c>
      <c r="L35" s="3">
        <f t="shared" ref="L35:L66" si="0">$L$33/100*K35</f>
        <v>0</v>
      </c>
      <c r="M35" s="3">
        <f>MAX(TAN($N$33)*L35 - $O$33*L35^2 / (2*($M$33*COS($N$33))^2) + $K$33, 0)</f>
        <v>0.3047851264858274</v>
      </c>
      <c r="N35" s="3"/>
      <c r="O35" s="3"/>
      <c r="P35" s="3"/>
      <c r="Q35" s="3"/>
    </row>
    <row r="36" spans="11:17" x14ac:dyDescent="0.25">
      <c r="K36" s="3">
        <v>1</v>
      </c>
      <c r="L36" s="3">
        <f t="shared" si="0"/>
        <v>1.5239256324291371E-2</v>
      </c>
      <c r="M36" s="3">
        <f t="shared" ref="M36:M99" si="1">MAX(TAN($N$33)*L36 - $O$33*L36^2 / (2*($M$33*COS($N$33))^2) + $K$33, 0)</f>
        <v>0.34618888115001428</v>
      </c>
      <c r="N36" s="3"/>
      <c r="O36" s="3"/>
      <c r="P36" s="3"/>
      <c r="Q36" s="3"/>
    </row>
    <row r="37" spans="11:17" x14ac:dyDescent="0.25">
      <c r="K37" s="3">
        <v>2</v>
      </c>
      <c r="L37" s="3">
        <f t="shared" si="0"/>
        <v>3.0478512648582742E-2</v>
      </c>
      <c r="M37" s="3">
        <f t="shared" si="1"/>
        <v>0.38666111986203189</v>
      </c>
      <c r="N37" s="3"/>
      <c r="O37" s="3"/>
      <c r="P37" s="3"/>
      <c r="Q37" s="3"/>
    </row>
    <row r="38" spans="11:17" x14ac:dyDescent="0.25">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34" priority="6" operator="lessThanOrEqual">
      <formula>0</formula>
    </cfRule>
  </conditionalFormatting>
  <conditionalFormatting sqref="D8 G8">
    <cfRule type="cellIs" dxfId="33" priority="5" operator="lessThan">
      <formula>0</formula>
    </cfRule>
  </conditionalFormatting>
  <conditionalFormatting sqref="D10 G10">
    <cfRule type="cellIs" dxfId="32" priority="3" operator="lessThanOrEqual">
      <formula>-90</formula>
    </cfRule>
    <cfRule type="cellIs" dxfId="31" priority="4" operator="greaterThanOrEqual">
      <formula>90</formula>
    </cfRule>
  </conditionalFormatting>
  <conditionalFormatting sqref="D7:D10 G7:G10">
    <cfRule type="expression" dxfId="30" priority="2">
      <formula>ISTEXT(D7)</formula>
    </cfRule>
  </conditionalFormatting>
  <conditionalFormatting sqref="D7:D10 G7:G10 I6">
    <cfRule type="containsBlanks" dxfId="29"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6384" width="9.140625" style="1"/>
  </cols>
  <sheetData>
    <row r="2" spans="2:10" ht="31.5" x14ac:dyDescent="0.25">
      <c r="C2" s="2" t="s">
        <v>108</v>
      </c>
    </row>
    <row r="4" spans="2:10" x14ac:dyDescent="0.25">
      <c r="B4" s="10" t="b">
        <v>1</v>
      </c>
      <c r="C4" s="1" t="s">
        <v>0</v>
      </c>
    </row>
    <row r="6" spans="2:10" ht="18.75" x14ac:dyDescent="0.25">
      <c r="F6" s="161" t="s">
        <v>102</v>
      </c>
      <c r="G6" s="161"/>
      <c r="I6" s="161" t="s">
        <v>105</v>
      </c>
      <c r="J6" s="161"/>
    </row>
    <row r="7" spans="2:10" x14ac:dyDescent="0.25">
      <c r="C7" s="108" t="s">
        <v>109</v>
      </c>
      <c r="D7" s="14" t="s">
        <v>30</v>
      </c>
      <c r="F7" s="108" t="s">
        <v>112</v>
      </c>
      <c r="G7" s="14">
        <v>100</v>
      </c>
      <c r="I7" s="108" t="str">
        <f>"Estimated Dist. (" &amp; IF($B$4, "mm", "in") &amp; ")"</f>
        <v>Estimated Dist. (mm)</v>
      </c>
      <c r="J7" s="55">
        <v>52</v>
      </c>
    </row>
    <row r="8" spans="2:10" x14ac:dyDescent="0.25">
      <c r="I8" s="108" t="s">
        <v>113</v>
      </c>
      <c r="J8" s="76" t="s">
        <v>115</v>
      </c>
    </row>
    <row r="9" spans="2:10" x14ac:dyDescent="0.25">
      <c r="C9" s="108" t="s">
        <v>110</v>
      </c>
      <c r="D9" s="14">
        <v>12</v>
      </c>
      <c r="I9" s="108" t="s">
        <v>114</v>
      </c>
      <c r="J9" s="14">
        <v>2</v>
      </c>
    </row>
    <row r="10" spans="2:10" x14ac:dyDescent="0.25">
      <c r="C10" s="108" t="str">
        <f>"Pitch Diam. 1 (" &amp; IF($B$4, "mm", "in") &amp; ")"</f>
        <v>Pitch Diam. 1 (mm)</v>
      </c>
      <c r="D10" s="45">
        <f>$D$17*D9/PI()</f>
        <v>36.401918583978301</v>
      </c>
    </row>
    <row r="11" spans="2:10" x14ac:dyDescent="0.25">
      <c r="F11" s="108" t="str">
        <f>"C-C Dist. (" &amp; IF($B$4, "mm", "in") &amp; ")"</f>
        <v>C-C Dist. (mm)</v>
      </c>
      <c r="G11" s="45">
        <f>G12/4 - PI()/8*($D$10+$D$13) + SQRT((G12/4 - PI()/8*($D$10+$D$13))^2 - ($D$10-$D$13)^2/8) + $D$20</f>
        <v>400.48599333645143</v>
      </c>
      <c r="I11" s="108" t="str">
        <f>"Actual Dist. (" &amp; IF($B$4, "mm", "in") &amp; ")"</f>
        <v>Actual Dist. (mm)</v>
      </c>
      <c r="J11" s="45">
        <f>J12/4 - PI()/8*($D$10+$D$13) + SQRT((J12/4 - PI()/8*($D$10+$D$13))^2 - ($D$10-$D$13)^2/8) + $D$20</f>
        <v>56.272173571248409</v>
      </c>
    </row>
    <row r="12" spans="2:10" x14ac:dyDescent="0.25">
      <c r="C12" s="108" t="s">
        <v>111</v>
      </c>
      <c r="D12" s="14">
        <v>20</v>
      </c>
      <c r="F12" s="108" t="str">
        <f>"Chain Length (" &amp; IF($B$4, "mm", "in") &amp; ")"</f>
        <v>Chain Length (mm)</v>
      </c>
      <c r="G12" s="45">
        <f>G7*$D$17</f>
        <v>952.99999999999989</v>
      </c>
      <c r="I12" s="108" t="str">
        <f>"Chain Length (" &amp; IF($B$4, "mm", "in") &amp; ")"</f>
        <v>Chain Length (mm)</v>
      </c>
      <c r="J12" s="45">
        <f>J13*D17</f>
        <v>266.83999999999997</v>
      </c>
    </row>
    <row r="13" spans="2:10" x14ac:dyDescent="0.25">
      <c r="C13" s="108" t="str">
        <f>"Pitch Diam. 2 (" &amp; IF($B$4, "mm", "in") &amp; ")"</f>
        <v>Pitch Diam. 2 (mm)</v>
      </c>
      <c r="D13" s="45">
        <f>$D$17*D12/PI()</f>
        <v>60.669864306630501</v>
      </c>
      <c r="F13" s="108" t="str">
        <f>"Clearance (" &amp; IF($B$4, "mm", "in") &amp; ")"</f>
        <v>Clearance (mm)</v>
      </c>
      <c r="G13" s="45">
        <f>G11 - ($D$10+$D$13)/2</f>
        <v>351.95010189114703</v>
      </c>
      <c r="I13" s="108" t="s">
        <v>112</v>
      </c>
      <c r="J13" s="6">
        <f>Eval_Links_Teeth</f>
        <v>28</v>
      </c>
    </row>
    <row r="14" spans="2:10" x14ac:dyDescent="0.25">
      <c r="I14" s="108" t="str">
        <f>"Clearance (" &amp; IF($B$4, "mm", "in") &amp; ")"</f>
        <v>Clearance (mm)</v>
      </c>
      <c r="J14" s="45">
        <f>J11 - ($D$10+$D$13)/2</f>
        <v>7.7362821259440082</v>
      </c>
    </row>
    <row r="16" spans="2:10" x14ac:dyDescent="0.25">
      <c r="C16" s="164" t="s">
        <v>24</v>
      </c>
      <c r="D16" s="164"/>
    </row>
    <row r="17" spans="3:4" x14ac:dyDescent="0.25">
      <c r="C17" s="66" t="str">
        <f>"Pitch (" &amp; IF($B$4, "mm", "in") &amp; ")"</f>
        <v>Pitch (mm)</v>
      </c>
      <c r="D17" s="67">
        <f>VLOOKUP($D$7, ChainBeltSpecs, 2, FALSE) / IF($B$4, 1, 25.4)</f>
        <v>9.5299999999999994</v>
      </c>
    </row>
    <row r="18" spans="3:4" x14ac:dyDescent="0.25">
      <c r="C18" s="66" t="str">
        <f>"Width (" &amp; IF($B$4, "mm", "in") &amp; ")"</f>
        <v>Width (mm)</v>
      </c>
      <c r="D18" s="67">
        <f>VLOOKUP($D$7, ChainBeltSpecs, 3, FALSE) / IF($B$4, 1, 25.4)</f>
        <v>11.76</v>
      </c>
    </row>
    <row r="19" spans="3:4" x14ac:dyDescent="0.25">
      <c r="C19" s="66" t="str">
        <f>"Thickness (" &amp; IF($B$4, "mm", "in") &amp; ")"</f>
        <v>Thickness (mm)</v>
      </c>
      <c r="D19" s="67">
        <f>VLOOKUP($D$7, ChainBeltSpecs, 4, FALSE) / IF($B$4, 1, 25.4)</f>
        <v>8.94</v>
      </c>
    </row>
    <row r="20" spans="3:4" x14ac:dyDescent="0.25">
      <c r="C20" s="66" t="str">
        <f>"C-C Addition (" &amp; IF($B$4, "mm", "in") &amp; ")"</f>
        <v>C-C Addition (mm)</v>
      </c>
      <c r="D20" s="67">
        <f>VLOOKUP($D$7, ChainBeltSpecs, 5, FALSE) / IF($B$4, 1, 25.4)</f>
        <v>0.41</v>
      </c>
    </row>
  </sheetData>
  <sheetProtection sheet="1" objects="1" scenarios="1" formatCells="0" formatColumns="0" formatRows="0"/>
  <mergeCells count="3">
    <mergeCell ref="F6:G6"/>
    <mergeCell ref="I6:J6"/>
    <mergeCell ref="C16:D16"/>
  </mergeCells>
  <conditionalFormatting sqref="D9 D12 G7 J7 J9">
    <cfRule type="expression" dxfId="28" priority="1">
      <formula>ISTEXT(D7)</formula>
    </cfRule>
    <cfRule type="cellIs" dxfId="27" priority="6" operator="lessThanOrEqual">
      <formula>0</formula>
    </cfRule>
  </conditionalFormatting>
  <conditionalFormatting sqref="D7 D9 D12 G7 J7:J9">
    <cfRule type="containsBlanks" dxfId="26" priority="2">
      <formula>LEN(TRIM(D7))=0</formula>
    </cfRule>
    <cfRule type="containsBlanks" dxfId="25" priority="5">
      <formula>LEN(TRIM(D7))=0</formula>
    </cfRule>
  </conditionalFormatting>
  <conditionalFormatting sqref="G11:G13">
    <cfRule type="expression" dxfId="24" priority="4">
      <formula>$G$13&lt;=0</formula>
    </cfRule>
  </conditionalFormatting>
  <conditionalFormatting sqref="J11:J14">
    <cfRule type="expression" dxfId="23" priority="3">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5" x14ac:dyDescent="0.25">
      <c r="C2" s="2" t="s">
        <v>116</v>
      </c>
    </row>
    <row r="4" spans="2:10" x14ac:dyDescent="0.25">
      <c r="B4" s="10" t="b">
        <v>1</v>
      </c>
      <c r="C4" s="1" t="s">
        <v>0</v>
      </c>
    </row>
    <row r="5" spans="2:10" x14ac:dyDescent="0.25">
      <c r="B5" s="4"/>
    </row>
    <row r="6" spans="2:10" ht="18.75" x14ac:dyDescent="0.25">
      <c r="F6" s="161" t="s">
        <v>123</v>
      </c>
      <c r="G6" s="161"/>
      <c r="I6" s="161" t="s">
        <v>128</v>
      </c>
      <c r="J6" s="161"/>
    </row>
    <row r="7" spans="2:10" x14ac:dyDescent="0.25">
      <c r="C7" s="108" t="s">
        <v>117</v>
      </c>
      <c r="D7" s="14">
        <v>100</v>
      </c>
      <c r="F7" s="108" t="s">
        <v>122</v>
      </c>
      <c r="G7" s="14" t="s">
        <v>124</v>
      </c>
      <c r="I7" s="108" t="s">
        <v>126</v>
      </c>
      <c r="J7" s="14">
        <v>20</v>
      </c>
    </row>
    <row r="8" spans="2:10" x14ac:dyDescent="0.25">
      <c r="C8" s="108" t="s">
        <v>118</v>
      </c>
      <c r="D8" s="14">
        <v>32</v>
      </c>
      <c r="I8" s="108" t="s">
        <v>127</v>
      </c>
      <c r="J8" s="14">
        <v>20</v>
      </c>
    </row>
    <row r="10" spans="2:10" x14ac:dyDescent="0.25">
      <c r="C10" s="108" t="s">
        <v>119</v>
      </c>
      <c r="D10" s="52">
        <v>30</v>
      </c>
      <c r="F10" s="108" t="str">
        <f>"Clearance (" &amp; IF($B$4, "mm", "in") &amp; ")"</f>
        <v>Clearance (mm)</v>
      </c>
      <c r="G10" s="45">
        <f>(($D$10+$D$11)/(2*$D$12) - ($D$7+2)/(2*$D$8) - IFERROR(CHOOSE(MATCH(G7, {"1/2"" Hex","1/2"" Round","3/8"" Hex","3/8"" Round","1/4"" Square"}, 0), 0.577, 0.5, 0.433, 0.375, 0.354), G7/IF($B$4, 25.4, 1))/2) * IF($B$4, 25.4, 1)</f>
        <v>9.3408499999999997</v>
      </c>
      <c r="I10" s="108" t="str">
        <f>"Clearance (" &amp; IF($B$4, "mm", "in") &amp; ")"</f>
        <v>Clearance (mm)</v>
      </c>
      <c r="J10" s="45">
        <f>(($D$10+$D$11)/(2*$D$12) - ($D$7+2)/(2*$D$8) - (J7+2)/(2*J8)) * IF($B$4, 25.4, 1)</f>
        <v>2.6987499999999986</v>
      </c>
    </row>
    <row r="11" spans="2:10" x14ac:dyDescent="0.25">
      <c r="C11" s="108" t="s">
        <v>120</v>
      </c>
      <c r="D11" s="14">
        <v>60</v>
      </c>
      <c r="F11" s="108" t="s">
        <v>125</v>
      </c>
      <c r="G11" s="45" t="b">
        <f>G10&gt;0</f>
        <v>1</v>
      </c>
      <c r="I11" s="108" t="s">
        <v>125</v>
      </c>
      <c r="J11" s="45" t="b">
        <f>J10&gt;0</f>
        <v>1</v>
      </c>
    </row>
    <row r="12" spans="2:10" x14ac:dyDescent="0.25">
      <c r="C12" s="108" t="s">
        <v>121</v>
      </c>
      <c r="D12" s="14">
        <v>20</v>
      </c>
      <c r="G12" s="5"/>
      <c r="J12" s="5"/>
    </row>
    <row r="13" spans="2:10" x14ac:dyDescent="0.25">
      <c r="D13" s="5"/>
      <c r="G13" s="5"/>
    </row>
    <row r="14" spans="2:10" x14ac:dyDescent="0.25">
      <c r="J14" s="5"/>
    </row>
    <row r="17" spans="4:4" x14ac:dyDescent="0.25">
      <c r="D17" s="5"/>
    </row>
    <row r="18" spans="4:4" x14ac:dyDescent="0.25">
      <c r="D18" s="5"/>
    </row>
    <row r="19" spans="4:4" x14ac:dyDescent="0.25">
      <c r="D19" s="5"/>
    </row>
    <row r="20" spans="4:4" x14ac:dyDescent="0.25">
      <c r="D20" s="5"/>
    </row>
  </sheetData>
  <sheetProtection sheet="1" objects="1" scenarios="1" formatCells="0" formatColumns="0" formatRows="0"/>
  <mergeCells count="2">
    <mergeCell ref="F6:G6"/>
    <mergeCell ref="I6:J6"/>
  </mergeCells>
  <conditionalFormatting sqref="D7:D8 D10:D12 G7 J7:J8">
    <cfRule type="containsBlanks" dxfId="22" priority="4">
      <formula>LEN(TRIM(D7))=0</formula>
    </cfRule>
    <cfRule type="cellIs" dxfId="21" priority="5" operator="lessThanOrEqual">
      <formula>0</formula>
    </cfRule>
  </conditionalFormatting>
  <conditionalFormatting sqref="G10:G11">
    <cfRule type="expression" dxfId="20" priority="3">
      <formula>$G$10&lt;=0</formula>
    </cfRule>
  </conditionalFormatting>
  <conditionalFormatting sqref="J10:J11">
    <cfRule type="expression" dxfId="19" priority="2">
      <formula>$J$10&lt;=0</formula>
    </cfRule>
  </conditionalFormatting>
  <conditionalFormatting sqref="D7:D8 D10:D12 J7:J8">
    <cfRule type="expression" dxfId="18"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5" x14ac:dyDescent="0.25">
      <c r="C2" s="2" t="s">
        <v>129</v>
      </c>
    </row>
    <row r="4" spans="2:10" x14ac:dyDescent="0.25">
      <c r="B4" s="10" t="b">
        <v>0</v>
      </c>
      <c r="C4" s="1" t="s">
        <v>0</v>
      </c>
    </row>
    <row r="5" spans="2:10" x14ac:dyDescent="0.25">
      <c r="B5" s="4"/>
    </row>
    <row r="6" spans="2:10" x14ac:dyDescent="0.25">
      <c r="C6" s="108" t="s">
        <v>130</v>
      </c>
      <c r="D6" s="52">
        <v>20</v>
      </c>
    </row>
    <row r="8" spans="2:10" x14ac:dyDescent="0.25">
      <c r="C8" s="108" t="s">
        <v>131</v>
      </c>
      <c r="D8" s="75">
        <v>3</v>
      </c>
    </row>
    <row r="9" spans="2:10" x14ac:dyDescent="0.25">
      <c r="C9" s="108" t="str">
        <f>"Desired Distance (" &amp; IF($B$4, "mm", "in") &amp; ")"</f>
        <v>Desired Distance (in)</v>
      </c>
      <c r="D9" s="18">
        <v>2</v>
      </c>
    </row>
    <row r="10" spans="2:10" x14ac:dyDescent="0.25">
      <c r="D10" s="5"/>
      <c r="G10" s="5"/>
      <c r="J10" s="5"/>
    </row>
    <row r="11" spans="2:10" x14ac:dyDescent="0.25">
      <c r="C11" s="108" t="s">
        <v>132</v>
      </c>
      <c r="D11" s="6">
        <f>2*D9/IF($B$4, 25.4, 1)*D6/(D8+1)</f>
        <v>20</v>
      </c>
    </row>
    <row r="12" spans="2:10" x14ac:dyDescent="0.25">
      <c r="C12" s="108" t="str">
        <f>"Pitch Diameter (" &amp; IF($B$4, "mm", "in") &amp; ")"</f>
        <v>Pitch Diameter (in)</v>
      </c>
      <c r="D12" s="7">
        <f>D11/$D$6*IF($B$4, 25.4, 1)</f>
        <v>1</v>
      </c>
    </row>
    <row r="13" spans="2:10" x14ac:dyDescent="0.25">
      <c r="C13" s="108" t="str">
        <f>"Outside Diameter (" &amp; IF($B$4, "mm", "in") &amp; ")"</f>
        <v>Outside Diameter (in)</v>
      </c>
      <c r="D13" s="7">
        <f>(D11+2)/$D$6*IF($B$4, 25.4, 1)</f>
        <v>1.1000000000000001</v>
      </c>
    </row>
    <row r="15" spans="2:10" x14ac:dyDescent="0.25">
      <c r="C15" s="108" t="s">
        <v>133</v>
      </c>
      <c r="D15" s="6">
        <f>D11*D8</f>
        <v>60</v>
      </c>
    </row>
    <row r="16" spans="2:10" x14ac:dyDescent="0.25">
      <c r="C16" s="108" t="str">
        <f>"Pitch Diameter (" &amp; IF($B$4, "mm", "in") &amp; ")"</f>
        <v>Pitch Diameter (in)</v>
      </c>
      <c r="D16" s="7">
        <f>D15/$D$6*IF($B$4, 25.4, 1)</f>
        <v>3</v>
      </c>
    </row>
    <row r="17" spans="3:4" x14ac:dyDescent="0.25">
      <c r="C17" s="108" t="str">
        <f>"Outside Diameter (" &amp; IF($B$4, "mm", "in") &amp; ")"</f>
        <v>Outside Diameter (in)</v>
      </c>
      <c r="D17" s="7">
        <f>(D15+2)/$D$6*IF($B$4, 25.4, 1)</f>
        <v>3.1</v>
      </c>
    </row>
    <row r="19" spans="3:4" ht="14.45" customHeight="1" x14ac:dyDescent="0.25">
      <c r="C19" s="165" t="s">
        <v>134</v>
      </c>
      <c r="D19" s="165"/>
    </row>
    <row r="20" spans="3:4" ht="14.45" customHeight="1" x14ac:dyDescent="0.25">
      <c r="C20" s="166" t="s">
        <v>135</v>
      </c>
      <c r="D20" s="166"/>
    </row>
  </sheetData>
  <sheetProtection sheet="1" objects="1" scenarios="1" formatCells="0" formatColumns="0" formatRows="0"/>
  <mergeCells count="2">
    <mergeCell ref="C19:D19"/>
    <mergeCell ref="C20:D20"/>
  </mergeCells>
  <conditionalFormatting sqref="D11:D13 D15:D17">
    <cfRule type="expression" dxfId="17" priority="5">
      <formula>NOT(AND(INT($D$11)=$D$11, INT($D$15)=$D$15))</formula>
    </cfRule>
  </conditionalFormatting>
  <conditionalFormatting sqref="C19:D20">
    <cfRule type="expression" dxfId="16" priority="4">
      <formula>AND(INT($D$11)=$D$11, INT($D$15)=$D$15)</formula>
    </cfRule>
  </conditionalFormatting>
  <conditionalFormatting sqref="D6 D8:D9">
    <cfRule type="expression" dxfId="15" priority="1">
      <formula>ISTEXT(D6)</formula>
    </cfRule>
    <cfRule type="containsBlanks" dxfId="14" priority="2">
      <formula>LEN(TRIM(D6))=0</formula>
    </cfRule>
    <cfRule type="cellIs" dxfId="13"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5" x14ac:dyDescent="0.25">
      <c r="C2" s="2" t="s">
        <v>136</v>
      </c>
    </row>
    <row r="4" spans="2:17" x14ac:dyDescent="0.25">
      <c r="B4" s="10" t="b">
        <v>0</v>
      </c>
      <c r="C4" s="1" t="s">
        <v>0</v>
      </c>
      <c r="G4" s="5"/>
      <c r="H4" s="5"/>
      <c r="I4" s="5"/>
    </row>
    <row r="5" spans="2:17" x14ac:dyDescent="0.25">
      <c r="B5" s="4"/>
      <c r="G5" s="5"/>
      <c r="H5" s="5"/>
      <c r="I5" s="5"/>
    </row>
    <row r="6" spans="2:17" x14ac:dyDescent="0.25">
      <c r="D6" s="68" t="s">
        <v>141</v>
      </c>
      <c r="E6" s="68" t="s">
        <v>142</v>
      </c>
      <c r="F6" s="68" t="s">
        <v>143</v>
      </c>
      <c r="G6" s="68" t="s">
        <v>144</v>
      </c>
      <c r="H6" s="68" t="s">
        <v>145</v>
      </c>
      <c r="I6" s="68" t="s">
        <v>146</v>
      </c>
      <c r="J6" s="68" t="s">
        <v>147</v>
      </c>
      <c r="K6" s="68" t="s">
        <v>148</v>
      </c>
      <c r="N6" s="68" t="s">
        <v>151</v>
      </c>
      <c r="O6" s="68" t="s">
        <v>153</v>
      </c>
      <c r="P6" s="68" t="s">
        <v>152</v>
      </c>
      <c r="Q6" s="68" t="s">
        <v>154</v>
      </c>
    </row>
    <row r="7" spans="2:17" x14ac:dyDescent="0.25">
      <c r="C7" s="68" t="str">
        <f>"Diameter (" &amp; IF($B$4, "mm", "in") &amp; ")"</f>
        <v>Diameter (in)</v>
      </c>
      <c r="D7" s="91">
        <v>1.4999999999999998</v>
      </c>
      <c r="E7" s="12"/>
      <c r="F7" s="12"/>
      <c r="G7" s="12"/>
      <c r="H7" s="12"/>
      <c r="I7" s="12"/>
      <c r="J7" s="12"/>
      <c r="K7" s="12"/>
      <c r="M7" s="68" t="str">
        <f>"Tank Volume (" &amp; IF($B$4, "mL", "in^3") &amp; ")"</f>
        <v>Tank Volume (in^3)</v>
      </c>
      <c r="N7" s="15">
        <v>35.000000000000014</v>
      </c>
      <c r="O7" s="15"/>
      <c r="P7" s="15"/>
      <c r="Q7" s="15"/>
    </row>
    <row r="8" spans="2:17" x14ac:dyDescent="0.25">
      <c r="C8" s="69" t="str">
        <f>"Rod Diameter (" &amp; IF($B$4, "mm", "in") &amp; ")"</f>
        <v>Rod Diameter (in)</v>
      </c>
      <c r="D8" s="91">
        <v>0.37499999999999994</v>
      </c>
      <c r="E8" s="12"/>
      <c r="F8" s="12"/>
      <c r="G8" s="12"/>
      <c r="H8" s="12"/>
      <c r="I8" s="12"/>
      <c r="J8" s="12"/>
      <c r="K8" s="12"/>
      <c r="M8" s="69" t="s">
        <v>149</v>
      </c>
      <c r="N8" s="72">
        <v>3</v>
      </c>
      <c r="O8" s="72"/>
      <c r="P8" s="72"/>
      <c r="Q8" s="72"/>
    </row>
    <row r="9" spans="2:17" x14ac:dyDescent="0.25">
      <c r="C9" s="69" t="str">
        <f>"Stroke Length (" &amp; IF($B$4, "mm", "in") &amp; ")"</f>
        <v>Stroke Length (in)</v>
      </c>
      <c r="D9" s="91">
        <v>11.999999999999998</v>
      </c>
      <c r="E9" s="12"/>
      <c r="F9" s="12"/>
      <c r="G9" s="12"/>
      <c r="H9" s="12"/>
      <c r="I9" s="12"/>
      <c r="J9" s="12"/>
      <c r="K9" s="12"/>
      <c r="M9" s="70" t="s">
        <v>150</v>
      </c>
      <c r="N9" s="74">
        <v>120</v>
      </c>
      <c r="O9" s="74"/>
      <c r="P9" s="74"/>
      <c r="Q9" s="74"/>
    </row>
    <row r="10" spans="2:17" x14ac:dyDescent="0.25">
      <c r="C10" s="69" t="s">
        <v>137</v>
      </c>
      <c r="D10" s="72">
        <v>40</v>
      </c>
      <c r="E10" s="72"/>
      <c r="F10" s="72"/>
      <c r="G10" s="72"/>
      <c r="H10" s="72"/>
      <c r="I10" s="72"/>
      <c r="J10" s="72"/>
      <c r="K10" s="72"/>
      <c r="M10" s="108" t="str">
        <f>"Total Tank Vol. (" &amp; IF($B$4, "mL", "in^3") &amp; ")"</f>
        <v>Total Tank Vol. (in^3)</v>
      </c>
      <c r="N10" s="32">
        <f>SUMPRODUCT(N7:Q7,N8:Q8,N9:Q9)/120</f>
        <v>105.00000000000004</v>
      </c>
      <c r="O10" s="1" t="s">
        <v>160</v>
      </c>
    </row>
    <row r="11" spans="2:17" x14ac:dyDescent="0.25">
      <c r="C11" s="69" t="str">
        <f>"Push Force (" &amp; IF($B$4, "N", "lbf") &amp; ")"</f>
        <v>Push Force (lbf)</v>
      </c>
      <c r="D11" s="90">
        <f>IF(COUNTBLANK(D7:D10)=0, (D$7/2)^2*PI()*D$10/IF($B$4, 145.04, 1), "")</f>
        <v>70.685834705770318</v>
      </c>
      <c r="E11" s="90" t="str">
        <f t="shared" ref="E11:K11" si="0">IF(COUNTBLANK(E7:E10)=0, (E$7/2)^2*PI()*E$10/IF($B$4, 145.04, 1), "")</f>
        <v/>
      </c>
      <c r="F11" s="90" t="str">
        <f t="shared" si="0"/>
        <v/>
      </c>
      <c r="G11" s="90" t="str">
        <f t="shared" si="0"/>
        <v/>
      </c>
      <c r="H11" s="90" t="str">
        <f t="shared" si="0"/>
        <v/>
      </c>
      <c r="I11" s="90" t="str">
        <f t="shared" si="0"/>
        <v/>
      </c>
      <c r="J11" s="90" t="str">
        <f t="shared" si="0"/>
        <v/>
      </c>
      <c r="K11" s="90" t="str">
        <f t="shared" si="0"/>
        <v/>
      </c>
    </row>
    <row r="12" spans="2:17" x14ac:dyDescent="0.25">
      <c r="C12" s="69" t="s">
        <v>138</v>
      </c>
      <c r="D12" s="15">
        <v>15</v>
      </c>
      <c r="E12" s="72"/>
      <c r="F12" s="72"/>
      <c r="G12" s="72"/>
      <c r="H12" s="72"/>
      <c r="I12" s="72"/>
      <c r="J12" s="72"/>
      <c r="K12" s="72"/>
      <c r="M12" s="108" t="s">
        <v>155</v>
      </c>
      <c r="N12" s="167" t="s">
        <v>161</v>
      </c>
      <c r="O12" s="168"/>
    </row>
    <row r="13" spans="2:17" x14ac:dyDescent="0.25">
      <c r="C13" s="69" t="str">
        <f>"Pull Force (" &amp; IF($B$4, "N", "lbf") &amp; ")"</f>
        <v>Pull Force (lbf)</v>
      </c>
      <c r="D13" s="90">
        <f>IF(COUNTBLANK(D9:D12)=0, (D$7^2 - D$8^2)*PI()/4*D$12/IF($B$4, 145.04, 1), "")</f>
        <v>24.850488763747375</v>
      </c>
      <c r="E13" s="90" t="str">
        <f t="shared" ref="E13:K13" si="1">IF(COUNTBLANK(E9:E12)=0, (E$7^2 - E$8^2)*PI()/4*E$12/IF($B$4, 145.04, 1), "")</f>
        <v/>
      </c>
      <c r="F13" s="90" t="str">
        <f t="shared" si="1"/>
        <v/>
      </c>
      <c r="G13" s="90" t="str">
        <f t="shared" si="1"/>
        <v/>
      </c>
      <c r="H13" s="90" t="str">
        <f t="shared" si="1"/>
        <v/>
      </c>
      <c r="I13" s="90" t="str">
        <f t="shared" si="1"/>
        <v/>
      </c>
      <c r="J13" s="90" t="str">
        <f t="shared" si="1"/>
        <v/>
      </c>
      <c r="K13" s="90" t="str">
        <f t="shared" si="1"/>
        <v/>
      </c>
    </row>
    <row r="14" spans="2:17" x14ac:dyDescent="0.25">
      <c r="C14" s="69" t="s">
        <v>173</v>
      </c>
      <c r="D14" s="72">
        <v>5</v>
      </c>
      <c r="E14" s="72"/>
      <c r="F14" s="72"/>
      <c r="G14" s="72"/>
      <c r="H14" s="72"/>
      <c r="I14" s="72"/>
      <c r="J14" s="72"/>
      <c r="K14" s="72"/>
      <c r="M14" s="108" t="s">
        <v>156</v>
      </c>
      <c r="N14" s="14">
        <v>120</v>
      </c>
    </row>
    <row r="15" spans="2:17" x14ac:dyDescent="0.25">
      <c r="C15" s="69" t="s">
        <v>139</v>
      </c>
      <c r="D15" s="72">
        <v>8</v>
      </c>
      <c r="E15" s="72"/>
      <c r="F15" s="72"/>
      <c r="G15" s="72"/>
      <c r="H15" s="72"/>
      <c r="I15" s="72"/>
      <c r="J15" s="72"/>
      <c r="K15" s="72"/>
      <c r="M15" s="108" t="s">
        <v>157</v>
      </c>
      <c r="N15" s="14">
        <v>95</v>
      </c>
    </row>
    <row r="16" spans="2:17" x14ac:dyDescent="0.25">
      <c r="C16" s="70" t="s">
        <v>140</v>
      </c>
      <c r="D16" s="73">
        <v>140</v>
      </c>
      <c r="E16" s="74"/>
      <c r="F16" s="74"/>
      <c r="G16" s="74"/>
      <c r="H16" s="74"/>
      <c r="I16" s="74"/>
      <c r="J16" s="74"/>
      <c r="K16" s="74"/>
      <c r="M16" s="108" t="s">
        <v>158</v>
      </c>
      <c r="N16" s="47">
        <f>MIN(D42:D192)</f>
        <v>33.320099200506633</v>
      </c>
    </row>
    <row r="17" spans="4:14" x14ac:dyDescent="0.25">
      <c r="D17" s="60"/>
      <c r="M17" s="108" t="s">
        <v>159</v>
      </c>
      <c r="N17" s="47">
        <f>D192</f>
        <v>56.540434019763524</v>
      </c>
    </row>
    <row r="39" spans="3:14" x14ac:dyDescent="0.25">
      <c r="C39" s="4"/>
      <c r="D39" s="4"/>
      <c r="E39" s="4"/>
      <c r="F39" s="4"/>
      <c r="G39" s="4"/>
      <c r="H39" s="4"/>
      <c r="I39" s="4"/>
      <c r="J39" s="4"/>
      <c r="K39" s="4"/>
      <c r="L39" s="4"/>
      <c r="M39" s="4"/>
      <c r="N39" s="4"/>
    </row>
    <row r="40" spans="3:14" x14ac:dyDescent="0.25">
      <c r="C40" s="3"/>
      <c r="D40" s="71">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3">
        <f>MAX(D10:K10,D12:K12)</f>
        <v>40</v>
      </c>
      <c r="J40" s="3"/>
      <c r="K40" s="3"/>
      <c r="L40" s="3"/>
      <c r="M40" s="3"/>
      <c r="N40" s="4"/>
    </row>
    <row r="41" spans="3:14" x14ac:dyDescent="0.25">
      <c r="C41" s="3" t="s">
        <v>162</v>
      </c>
      <c r="D41" s="3" t="s">
        <v>163</v>
      </c>
      <c r="E41" s="3" t="s">
        <v>164</v>
      </c>
      <c r="F41" s="3" t="s">
        <v>165</v>
      </c>
      <c r="G41" s="3" t="s">
        <v>166</v>
      </c>
      <c r="H41" s="3" t="s">
        <v>167</v>
      </c>
      <c r="I41" s="3" t="s">
        <v>168</v>
      </c>
      <c r="J41" s="3" t="s">
        <v>169</v>
      </c>
      <c r="K41" s="3" t="s">
        <v>170</v>
      </c>
      <c r="L41" s="3" t="s">
        <v>171</v>
      </c>
      <c r="M41" s="3" t="s">
        <v>172</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2" priority="5">
      <formula>AND(COUNTBLANK(D$7:D$16)&lt;10, ISBLANK(D7))</formula>
    </cfRule>
    <cfRule type="cellIs" dxfId="11" priority="8" operator="lessThan">
      <formula>0</formula>
    </cfRule>
  </conditionalFormatting>
  <conditionalFormatting sqref="N16:N17">
    <cfRule type="cellIs" dxfId="10" priority="7" operator="lessThanOrEqual">
      <formula>$I$40</formula>
    </cfRule>
  </conditionalFormatting>
  <conditionalFormatting sqref="N7:Q9">
    <cfRule type="expression" dxfId="9" priority="3">
      <formula>AND(COUNTBLANK(N$7:N$9)&lt;3, ISBLANK(N7))</formula>
    </cfRule>
  </conditionalFormatting>
  <conditionalFormatting sqref="D7:K10 D12:K12 D14:K16 N7:Q9 N14:N15">
    <cfRule type="expression" dxfId="8" priority="4">
      <formula>ISTEXT(D7)</formula>
    </cfRule>
  </conditionalFormatting>
  <conditionalFormatting sqref="D8:K8">
    <cfRule type="cellIs" dxfId="7"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2:R41"/>
  <sheetViews>
    <sheetView zoomScaleNormal="100" workbookViewId="0">
      <selection activeCell="J37" sqref="J37"/>
    </sheetView>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19.42578125" style="1" customWidth="1"/>
    <col min="10" max="10" width="3.140625" style="1" customWidth="1"/>
    <col min="11" max="16384" width="9.140625" style="1"/>
  </cols>
  <sheetData>
    <row r="2" spans="3:11" ht="31.5" x14ac:dyDescent="0.25">
      <c r="C2" s="2" t="s">
        <v>221</v>
      </c>
    </row>
    <row r="3" spans="3:11" x14ac:dyDescent="0.25">
      <c r="K3" s="93" t="s">
        <v>105</v>
      </c>
    </row>
    <row r="4" spans="3:11" ht="18.75" x14ac:dyDescent="0.25">
      <c r="C4" s="161" t="s">
        <v>102</v>
      </c>
      <c r="D4" s="161"/>
      <c r="F4" s="161" t="s">
        <v>105</v>
      </c>
      <c r="G4" s="161"/>
    </row>
    <row r="5" spans="3:11" ht="15" customHeight="1" x14ac:dyDescent="0.25">
      <c r="C5" s="108" t="s">
        <v>174</v>
      </c>
      <c r="D5" s="55">
        <v>40</v>
      </c>
      <c r="F5" s="108" t="s">
        <v>176</v>
      </c>
      <c r="G5" s="55">
        <v>120</v>
      </c>
      <c r="I5" s="170" t="s">
        <v>184</v>
      </c>
    </row>
    <row r="6" spans="3:11" x14ac:dyDescent="0.25">
      <c r="C6" s="108" t="s">
        <v>175</v>
      </c>
      <c r="D6" s="55">
        <v>90</v>
      </c>
      <c r="F6" s="108" t="s">
        <v>177</v>
      </c>
      <c r="G6" s="55">
        <v>10</v>
      </c>
      <c r="I6" s="171"/>
    </row>
    <row r="7" spans="3:11" x14ac:dyDescent="0.25">
      <c r="C7" s="108" t="s">
        <v>176</v>
      </c>
      <c r="D7" s="55">
        <v>100</v>
      </c>
      <c r="F7" s="108" t="s">
        <v>178</v>
      </c>
      <c r="G7" s="55">
        <v>100</v>
      </c>
      <c r="I7" s="171"/>
    </row>
    <row r="8" spans="3:11" x14ac:dyDescent="0.25">
      <c r="C8" s="108" t="s">
        <v>177</v>
      </c>
      <c r="D8" s="55">
        <v>20</v>
      </c>
      <c r="F8" s="108" t="s">
        <v>179</v>
      </c>
      <c r="G8" s="55">
        <v>50</v>
      </c>
      <c r="I8" s="172"/>
    </row>
    <row r="9" spans="3:11" x14ac:dyDescent="0.25">
      <c r="C9" s="108" t="s">
        <v>178</v>
      </c>
      <c r="D9" s="55">
        <v>100</v>
      </c>
      <c r="F9" s="108" t="s">
        <v>180</v>
      </c>
      <c r="G9" s="77">
        <v>95</v>
      </c>
      <c r="H9" s="3">
        <f>RADIANS(G9)</f>
        <v>1.6580627893946132</v>
      </c>
    </row>
    <row r="10" spans="3:11" x14ac:dyDescent="0.25">
      <c r="C10" s="108" t="s">
        <v>179</v>
      </c>
      <c r="D10" s="55">
        <v>50</v>
      </c>
      <c r="F10" s="108" t="s">
        <v>181</v>
      </c>
      <c r="G10" s="77">
        <v>-10</v>
      </c>
      <c r="H10" s="3">
        <f>RADIANS(G10)</f>
        <v>-0.17453292519943295</v>
      </c>
    </row>
    <row r="12" spans="3:11" x14ac:dyDescent="0.25">
      <c r="C12" s="108" t="s">
        <v>180</v>
      </c>
      <c r="D12" s="65">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108" t="s">
        <v>174</v>
      </c>
      <c r="G12" s="47">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row>
    <row r="13" spans="3:11" x14ac:dyDescent="0.25">
      <c r="C13" s="108" t="s">
        <v>181</v>
      </c>
      <c r="D13" s="65">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108" t="s">
        <v>175</v>
      </c>
      <c r="G13" s="47">
        <f>G5*SIN(H9)+G6*COS(H9)-SQRT(G7^2-(G12+G5*COS(H9)-G6*SIN(H9))^2)</f>
        <v>18.893769027862092</v>
      </c>
    </row>
    <row r="30" spans="11:18" x14ac:dyDescent="0.25">
      <c r="K30" s="169" t="s">
        <v>186</v>
      </c>
      <c r="L30" s="169"/>
      <c r="M30" s="169"/>
      <c r="N30" s="169"/>
      <c r="O30" s="169"/>
      <c r="P30" s="169"/>
      <c r="Q30" s="169"/>
      <c r="R30" s="169"/>
    </row>
    <row r="31" spans="11:18" x14ac:dyDescent="0.25">
      <c r="K31" s="1" t="s">
        <v>185</v>
      </c>
    </row>
    <row r="32" spans="11:18" x14ac:dyDescent="0.25">
      <c r="K32" s="1" t="s">
        <v>187</v>
      </c>
    </row>
    <row r="33" spans="11:16" x14ac:dyDescent="0.25">
      <c r="K33" s="3" t="s">
        <v>174</v>
      </c>
      <c r="L33" s="3" t="s">
        <v>175</v>
      </c>
      <c r="M33" s="3" t="s">
        <v>176</v>
      </c>
      <c r="N33" s="3" t="s">
        <v>177</v>
      </c>
      <c r="O33" s="3" t="s">
        <v>182</v>
      </c>
      <c r="P33" s="3" t="s">
        <v>183</v>
      </c>
    </row>
    <row r="34" spans="11:16" x14ac:dyDescent="0.25">
      <c r="K34" s="92">
        <f>IF($K$3="Forward", D5, G12)</f>
        <v>27.079710328018926</v>
      </c>
      <c r="L34" s="92">
        <f>IF($K$3="Forward", D6, G13)</f>
        <v>18.893769027862092</v>
      </c>
      <c r="M34" s="92">
        <f>IF($K$3="Forward", D7, G5)</f>
        <v>120</v>
      </c>
      <c r="N34" s="92">
        <f>IF($K$3="Forward", D8, G6)</f>
        <v>10</v>
      </c>
      <c r="O34" s="92">
        <f>RADIANS(IF($K$3="Forward", D12, G9))</f>
        <v>1.6580627893946132</v>
      </c>
      <c r="P34" s="92">
        <f>RADIANS(IF($K$3="Forward", D13, G10))</f>
        <v>-0.17453292519943295</v>
      </c>
    </row>
    <row r="35" spans="11:16" x14ac:dyDescent="0.25">
      <c r="K35" s="3">
        <v>0</v>
      </c>
      <c r="L35" s="3">
        <v>0</v>
      </c>
      <c r="M35" s="3">
        <f>1.5*$M$34*COS(O34)</f>
        <v>-15.688033694578483</v>
      </c>
      <c r="N35" s="3">
        <f>1.5*$M$34*SIN(O34)</f>
        <v>179.3150456565142</v>
      </c>
      <c r="O35" s="3"/>
      <c r="P35" s="3"/>
    </row>
    <row r="36" spans="11:16" x14ac:dyDescent="0.25">
      <c r="K36" s="3">
        <f>$M$34*COS(O34)</f>
        <v>-10.458689129718989</v>
      </c>
      <c r="L36" s="3">
        <f>$M$34*SIN(O34)</f>
        <v>119.54336377100947</v>
      </c>
      <c r="M36" s="3">
        <f>K36-$N$34*SIN(O34)</f>
        <v>-20.420636110636444</v>
      </c>
      <c r="N36" s="3">
        <f>L36+$N$34*COS(O34)</f>
        <v>118.67180634353288</v>
      </c>
      <c r="O36" s="3"/>
      <c r="P36" s="3"/>
    </row>
    <row r="37" spans="11:16" x14ac:dyDescent="0.25">
      <c r="K37" s="92">
        <f>-$K$34</f>
        <v>-27.079710328018926</v>
      </c>
      <c r="L37" s="92">
        <f>$L$34</f>
        <v>18.893769027862092</v>
      </c>
      <c r="M37" s="3">
        <f>M36</f>
        <v>-20.420636110636444</v>
      </c>
      <c r="N37" s="3">
        <f>N36</f>
        <v>118.67180634353288</v>
      </c>
      <c r="O37" s="3"/>
      <c r="P37" s="3"/>
    </row>
    <row r="38" spans="11:16" x14ac:dyDescent="0.25">
      <c r="K38" s="3">
        <v>0</v>
      </c>
      <c r="L38" s="3">
        <v>0</v>
      </c>
      <c r="M38" s="3">
        <f>1.5*$M$34*COS(P34)</f>
        <v>177.26539554219744</v>
      </c>
      <c r="N38" s="3">
        <f>1.5*$M$34*SIN(P34)</f>
        <v>-31.256671980047461</v>
      </c>
      <c r="O38" s="3"/>
      <c r="P38" s="3"/>
    </row>
    <row r="39" spans="11:16" x14ac:dyDescent="0.25">
      <c r="K39" s="3">
        <f>$M$34*COS(P34)</f>
        <v>118.17693036146497</v>
      </c>
      <c r="L39" s="3">
        <f>$M$34*SIN(P34)</f>
        <v>-20.837781320031638</v>
      </c>
      <c r="M39" s="3">
        <f>K39-$N$34*SIN(P34)</f>
        <v>119.91341213813428</v>
      </c>
      <c r="N39" s="3">
        <f>L39+$N$34*COS(P34)</f>
        <v>-10.989703789909559</v>
      </c>
      <c r="O39" s="3"/>
      <c r="P39" s="3"/>
    </row>
    <row r="40" spans="11:16" x14ac:dyDescent="0.25">
      <c r="K40" s="92">
        <f>-$K$34</f>
        <v>-27.079710328018926</v>
      </c>
      <c r="L40" s="92">
        <f>$L$34</f>
        <v>18.893769027862092</v>
      </c>
      <c r="M40" s="3">
        <f>M39</f>
        <v>119.91341213813428</v>
      </c>
      <c r="N40" s="3">
        <f>N39</f>
        <v>-10.989703789909559</v>
      </c>
      <c r="O40" s="3"/>
      <c r="P40" s="3"/>
    </row>
    <row r="41" spans="11:16" x14ac:dyDescent="0.25">
      <c r="K41" s="3">
        <v>0</v>
      </c>
      <c r="L41" s="3">
        <f>MIN(K35:N40)*1.1</f>
        <v>-34.382339178052213</v>
      </c>
      <c r="M41" s="3">
        <f>MAX(K35:N40)*1.1</f>
        <v>197.24655022216564</v>
      </c>
      <c r="N41" s="3">
        <f>M41/1.1</f>
        <v>179.3150456565142</v>
      </c>
      <c r="O41" s="3"/>
      <c r="P41" s="3"/>
    </row>
  </sheetData>
  <sheetProtection sheet="1" objects="1" scenarios="1" formatCells="0" formatColumns="0" formatRows="0"/>
  <mergeCells count="4">
    <mergeCell ref="K30:R30"/>
    <mergeCell ref="C4:D4"/>
    <mergeCell ref="F4:G4"/>
    <mergeCell ref="I5:I8"/>
  </mergeCells>
  <conditionalFormatting sqref="D5:D10 G5:G8">
    <cfRule type="cellIs" dxfId="6" priority="7" operator="lessThan">
      <formula>0</formula>
    </cfRule>
  </conditionalFormatting>
  <conditionalFormatting sqref="D7 G5">
    <cfRule type="cellIs" dxfId="5" priority="6" operator="equal">
      <formula>0</formula>
    </cfRule>
  </conditionalFormatting>
  <conditionalFormatting sqref="D5:D10 G5:G10">
    <cfRule type="expression" dxfId="4" priority="4">
      <formula>ISTEXT(D5)</formula>
    </cfRule>
  </conditionalFormatting>
  <conditionalFormatting sqref="D5:D10 G5:G10 K3">
    <cfRule type="containsBlanks" dxfId="3" priority="5">
      <formula>LEN(TRIM(D3))=0</formula>
    </cfRule>
  </conditionalFormatting>
  <conditionalFormatting sqref="D5:D10">
    <cfRule type="expression" dxfId="2" priority="3">
      <formula>ISERROR($D$12:$D$13)</formula>
    </cfRule>
  </conditionalFormatting>
  <conditionalFormatting sqref="G9:G10">
    <cfRule type="cellIs" dxfId="1" priority="2" operator="notBetween">
      <formula>180</formula>
      <formula>-90</formula>
    </cfRule>
  </conditionalFormatting>
  <conditionalFormatting sqref="G5:G10">
    <cfRule type="expression" dxfId="0"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N27"/>
  <sheetViews>
    <sheetView workbookViewId="0"/>
  </sheetViews>
  <sheetFormatPr defaultRowHeight="15" x14ac:dyDescent="0.25"/>
  <cols>
    <col min="1" max="1" width="9.140625" style="8"/>
    <col min="2" max="2" width="18.7109375" style="8" customWidth="1"/>
    <col min="3" max="3" width="16.85546875" style="8" customWidth="1"/>
    <col min="4" max="4" width="17" style="8" customWidth="1"/>
    <col min="5" max="5" width="15.140625" style="8" customWidth="1"/>
    <col min="6" max="6" width="15" style="8" customWidth="1"/>
    <col min="7" max="7" width="12.28515625" style="8" customWidth="1"/>
    <col min="8" max="9" width="9.140625" style="8"/>
    <col min="10" max="10" width="9.85546875" style="8" customWidth="1"/>
    <col min="11" max="16384" width="9.140625" style="8"/>
  </cols>
  <sheetData>
    <row r="2" spans="1:14" ht="31.5" x14ac:dyDescent="0.25">
      <c r="B2" s="9" t="s">
        <v>222</v>
      </c>
      <c r="J2" s="9" t="s">
        <v>24</v>
      </c>
    </row>
    <row r="3" spans="1:14" x14ac:dyDescent="0.25">
      <c r="B3" s="78"/>
    </row>
    <row r="4" spans="1:14" x14ac:dyDescent="0.25">
      <c r="A4" s="78"/>
      <c r="B4" s="78"/>
      <c r="C4" s="79" t="s">
        <v>1</v>
      </c>
      <c r="D4" s="80" t="s">
        <v>2</v>
      </c>
      <c r="E4" s="80" t="s">
        <v>3</v>
      </c>
      <c r="F4" s="80" t="s">
        <v>4</v>
      </c>
      <c r="G4" s="81" t="s">
        <v>5</v>
      </c>
      <c r="J4" s="11"/>
      <c r="K4" s="82" t="s">
        <v>25</v>
      </c>
      <c r="L4" s="83" t="s">
        <v>26</v>
      </c>
      <c r="M4" s="83" t="s">
        <v>27</v>
      </c>
      <c r="N4" s="84" t="s">
        <v>28</v>
      </c>
    </row>
    <row r="5" spans="1:14" x14ac:dyDescent="0.25">
      <c r="B5" s="85" t="s">
        <v>6</v>
      </c>
      <c r="C5" s="86">
        <v>5330</v>
      </c>
      <c r="D5" s="86">
        <v>2.41</v>
      </c>
      <c r="E5" s="86">
        <v>2.7</v>
      </c>
      <c r="F5" s="86">
        <v>131</v>
      </c>
      <c r="G5" s="87">
        <f>(C5/60*2*PI())*D5/4</f>
        <v>336.28916760964142</v>
      </c>
      <c r="J5" s="85" t="s">
        <v>29</v>
      </c>
      <c r="K5" s="126">
        <v>6.35</v>
      </c>
      <c r="L5" s="126">
        <v>9</v>
      </c>
      <c r="M5" s="126">
        <v>5.9</v>
      </c>
      <c r="N5" s="127">
        <v>0.31</v>
      </c>
    </row>
    <row r="6" spans="1:14" x14ac:dyDescent="0.25">
      <c r="B6" s="85" t="s">
        <v>7</v>
      </c>
      <c r="C6" s="86">
        <v>5840</v>
      </c>
      <c r="D6" s="86">
        <v>1.41</v>
      </c>
      <c r="E6" s="86">
        <v>3</v>
      </c>
      <c r="F6" s="86">
        <v>89</v>
      </c>
      <c r="G6" s="87">
        <f t="shared" ref="G6:G24" si="0">(C6/60*2*PI())*D6/4</f>
        <v>215.57608788933157</v>
      </c>
      <c r="J6" s="85" t="s">
        <v>30</v>
      </c>
      <c r="K6" s="126">
        <v>9.5299999999999994</v>
      </c>
      <c r="L6" s="126">
        <v>11.76</v>
      </c>
      <c r="M6" s="126">
        <v>8.94</v>
      </c>
      <c r="N6" s="127">
        <v>0.41</v>
      </c>
    </row>
    <row r="7" spans="1:14" x14ac:dyDescent="0.25">
      <c r="B7" s="85" t="s">
        <v>8</v>
      </c>
      <c r="C7" s="86">
        <v>13180</v>
      </c>
      <c r="D7" s="86">
        <v>0.43</v>
      </c>
      <c r="E7" s="86">
        <v>1.8</v>
      </c>
      <c r="F7" s="86">
        <v>53</v>
      </c>
      <c r="G7" s="87">
        <f t="shared" si="0"/>
        <v>148.37218504128995</v>
      </c>
      <c r="J7" s="85" t="s">
        <v>31</v>
      </c>
      <c r="K7" s="126">
        <v>5</v>
      </c>
      <c r="L7" s="126">
        <v>15</v>
      </c>
      <c r="M7" s="126">
        <v>3</v>
      </c>
      <c r="N7" s="127">
        <v>0</v>
      </c>
    </row>
    <row r="8" spans="1:14" x14ac:dyDescent="0.25">
      <c r="B8" s="85" t="s">
        <v>9</v>
      </c>
      <c r="C8" s="86">
        <v>18730</v>
      </c>
      <c r="D8" s="86">
        <v>0.71</v>
      </c>
      <c r="E8" s="86">
        <v>0.7</v>
      </c>
      <c r="F8" s="86">
        <v>134</v>
      </c>
      <c r="G8" s="87">
        <f t="shared" si="0"/>
        <v>348.14867987694288</v>
      </c>
      <c r="J8" s="85" t="s">
        <v>32</v>
      </c>
      <c r="K8" s="126">
        <v>3</v>
      </c>
      <c r="L8" s="126">
        <v>9</v>
      </c>
      <c r="M8" s="126">
        <v>3</v>
      </c>
      <c r="N8" s="127">
        <v>0</v>
      </c>
    </row>
    <row r="9" spans="1:14" x14ac:dyDescent="0.25">
      <c r="B9" s="85" t="s">
        <v>10</v>
      </c>
      <c r="C9" s="86">
        <v>5676</v>
      </c>
      <c r="D9" s="86">
        <v>2.6</v>
      </c>
      <c r="E9" s="86">
        <v>1.8</v>
      </c>
      <c r="F9" s="86">
        <v>105</v>
      </c>
      <c r="G9" s="87">
        <f t="shared" si="0"/>
        <v>386.35306453847278</v>
      </c>
      <c r="J9" s="85"/>
      <c r="K9" s="126"/>
      <c r="L9" s="126"/>
      <c r="M9" s="126"/>
      <c r="N9" s="127"/>
    </row>
    <row r="10" spans="1:14" x14ac:dyDescent="0.25">
      <c r="B10" s="85" t="s">
        <v>11</v>
      </c>
      <c r="C10" s="86">
        <v>5800</v>
      </c>
      <c r="D10" s="86">
        <v>0.28000000000000003</v>
      </c>
      <c r="E10" s="86">
        <v>1.6</v>
      </c>
      <c r="F10" s="86">
        <v>18</v>
      </c>
      <c r="G10" s="87">
        <f t="shared" si="0"/>
        <v>42.516220578581873</v>
      </c>
      <c r="J10" s="85"/>
      <c r="K10" s="126"/>
      <c r="L10" s="126"/>
      <c r="M10" s="126"/>
      <c r="N10" s="127"/>
    </row>
    <row r="11" spans="1:14" x14ac:dyDescent="0.25">
      <c r="B11" s="85" t="s">
        <v>12</v>
      </c>
      <c r="C11" s="86">
        <v>14270</v>
      </c>
      <c r="D11" s="86">
        <v>0.36</v>
      </c>
      <c r="E11" s="86">
        <v>3.7</v>
      </c>
      <c r="F11" s="86">
        <v>71</v>
      </c>
      <c r="G11" s="87">
        <f t="shared" si="0"/>
        <v>134.49158150017905</v>
      </c>
      <c r="J11" s="85"/>
      <c r="K11" s="126"/>
      <c r="L11" s="126"/>
      <c r="M11" s="126"/>
      <c r="N11" s="127"/>
    </row>
    <row r="12" spans="1:14" x14ac:dyDescent="0.25">
      <c r="B12" s="85" t="s">
        <v>13</v>
      </c>
      <c r="C12" s="86">
        <v>5508</v>
      </c>
      <c r="D12" s="86">
        <v>3.82</v>
      </c>
      <c r="E12" s="86">
        <v>8.16</v>
      </c>
      <c r="F12" s="86">
        <v>220</v>
      </c>
      <c r="G12" s="87">
        <f t="shared" si="0"/>
        <v>550.84057269512709</v>
      </c>
    </row>
    <row r="13" spans="1:14" x14ac:dyDescent="0.25">
      <c r="B13" s="85" t="s">
        <v>14</v>
      </c>
      <c r="C13" s="86">
        <v>5593</v>
      </c>
      <c r="D13" s="86">
        <v>5.23</v>
      </c>
      <c r="E13" s="86">
        <v>9.6199999999999992</v>
      </c>
      <c r="F13" s="86">
        <v>309</v>
      </c>
      <c r="G13" s="87">
        <f t="shared" si="0"/>
        <v>765.79959942741618</v>
      </c>
      <c r="J13" s="8" t="s">
        <v>33</v>
      </c>
    </row>
    <row r="14" spans="1:14" x14ac:dyDescent="0.25">
      <c r="B14" s="85" t="s">
        <v>15</v>
      </c>
      <c r="C14" s="86">
        <v>5437</v>
      </c>
      <c r="D14" s="86">
        <v>6.23</v>
      </c>
      <c r="E14" s="86">
        <v>9.15</v>
      </c>
      <c r="F14" s="86">
        <v>351</v>
      </c>
      <c r="G14" s="87">
        <f t="shared" si="0"/>
        <v>886.78023812205663</v>
      </c>
    </row>
    <row r="15" spans="1:14" x14ac:dyDescent="0.25">
      <c r="B15" s="85" t="s">
        <v>16</v>
      </c>
      <c r="C15" s="86">
        <v>13050</v>
      </c>
      <c r="D15" s="86">
        <v>0.72</v>
      </c>
      <c r="E15" s="86">
        <v>2.7</v>
      </c>
      <c r="F15" s="86">
        <v>97</v>
      </c>
      <c r="G15" s="87">
        <f t="shared" si="0"/>
        <v>245.98670477608078</v>
      </c>
    </row>
    <row r="16" spans="1:14" x14ac:dyDescent="0.25">
      <c r="B16" s="85" t="s">
        <v>17</v>
      </c>
      <c r="C16" s="86">
        <v>19000</v>
      </c>
      <c r="D16" s="86">
        <v>0.38</v>
      </c>
      <c r="E16" s="86">
        <v>0.4</v>
      </c>
      <c r="F16" s="86">
        <v>84</v>
      </c>
      <c r="G16" s="87">
        <f t="shared" si="0"/>
        <v>189.01915799098592</v>
      </c>
    </row>
    <row r="17" spans="2:7" x14ac:dyDescent="0.25">
      <c r="B17" s="85" t="s">
        <v>18</v>
      </c>
      <c r="C17" s="86">
        <v>100</v>
      </c>
      <c r="D17" s="86">
        <v>7.91</v>
      </c>
      <c r="E17" s="86">
        <v>5</v>
      </c>
      <c r="F17" s="86">
        <v>24</v>
      </c>
      <c r="G17" s="87">
        <f t="shared" si="0"/>
        <v>20.708331574912719</v>
      </c>
    </row>
    <row r="18" spans="2:7" x14ac:dyDescent="0.25">
      <c r="B18" s="85" t="s">
        <v>19</v>
      </c>
      <c r="C18" s="86">
        <v>6600</v>
      </c>
      <c r="D18" s="86">
        <v>6.1800000000000001E-2</v>
      </c>
      <c r="E18" s="86">
        <v>2</v>
      </c>
      <c r="F18" s="86">
        <v>11.5</v>
      </c>
      <c r="G18" s="87">
        <f t="shared" si="0"/>
        <v>10.678273429551707</v>
      </c>
    </row>
    <row r="19" spans="2:7" x14ac:dyDescent="0.25">
      <c r="B19" s="85" t="s">
        <v>20</v>
      </c>
      <c r="C19" s="86">
        <v>5300</v>
      </c>
      <c r="D19" s="86">
        <v>0.13</v>
      </c>
      <c r="E19" s="86">
        <v>1</v>
      </c>
      <c r="F19" s="86">
        <v>7</v>
      </c>
      <c r="G19" s="87">
        <f t="shared" si="0"/>
        <v>18.037977819361398</v>
      </c>
    </row>
    <row r="20" spans="2:7" x14ac:dyDescent="0.25">
      <c r="B20" s="85" t="s">
        <v>21</v>
      </c>
      <c r="C20" s="86">
        <v>24</v>
      </c>
      <c r="D20" s="86">
        <v>22</v>
      </c>
      <c r="E20" s="86">
        <v>3</v>
      </c>
      <c r="F20" s="86">
        <v>12</v>
      </c>
      <c r="G20" s="87">
        <f t="shared" si="0"/>
        <v>13.82300767579509</v>
      </c>
    </row>
    <row r="21" spans="2:7" x14ac:dyDescent="0.25">
      <c r="B21" s="85" t="s">
        <v>22</v>
      </c>
      <c r="C21" s="86">
        <v>3084</v>
      </c>
      <c r="D21" s="86">
        <v>0.32</v>
      </c>
      <c r="E21" s="86">
        <v>0.28000000000000003</v>
      </c>
      <c r="F21" s="86">
        <v>6.5</v>
      </c>
      <c r="G21" s="87">
        <f t="shared" si="0"/>
        <v>25.836457983122461</v>
      </c>
    </row>
    <row r="22" spans="2:7" x14ac:dyDescent="0.25">
      <c r="B22" s="85" t="s">
        <v>23</v>
      </c>
      <c r="C22" s="86">
        <v>90</v>
      </c>
      <c r="D22" s="86">
        <v>9.24</v>
      </c>
      <c r="E22" s="86">
        <v>1.5</v>
      </c>
      <c r="F22" s="86">
        <v>16.25</v>
      </c>
      <c r="G22" s="87">
        <f t="shared" si="0"/>
        <v>21.771237089377266</v>
      </c>
    </row>
    <row r="23" spans="2:7" x14ac:dyDescent="0.25">
      <c r="B23" s="88"/>
      <c r="C23" s="89"/>
      <c r="D23" s="89"/>
      <c r="E23" s="89"/>
      <c r="F23" s="89"/>
      <c r="G23" s="87">
        <f t="shared" si="0"/>
        <v>0</v>
      </c>
    </row>
    <row r="24" spans="2:7" x14ac:dyDescent="0.25">
      <c r="B24" s="88"/>
      <c r="C24" s="89"/>
      <c r="D24" s="89"/>
      <c r="E24" s="89"/>
      <c r="F24" s="89"/>
      <c r="G24" s="87">
        <f t="shared" si="0"/>
        <v>0</v>
      </c>
    </row>
    <row r="25" spans="2:7" x14ac:dyDescent="0.25">
      <c r="B25" s="88"/>
      <c r="C25" s="89"/>
      <c r="D25" s="89"/>
      <c r="E25" s="89"/>
      <c r="F25" s="89"/>
      <c r="G25" s="87">
        <f t="shared" ref="G25:G27" si="1">(C25/60*2*PI())*D25/4</f>
        <v>0</v>
      </c>
    </row>
    <row r="26" spans="2:7" x14ac:dyDescent="0.25">
      <c r="B26" s="88"/>
      <c r="C26" s="89"/>
      <c r="D26" s="89"/>
      <c r="E26" s="89"/>
      <c r="F26" s="89"/>
      <c r="G26" s="87">
        <f t="shared" si="1"/>
        <v>0</v>
      </c>
    </row>
    <row r="27" spans="2:7" x14ac:dyDescent="0.25">
      <c r="B27" s="88"/>
      <c r="C27" s="89"/>
      <c r="D27" s="89"/>
      <c r="E27" s="89"/>
      <c r="F27" s="89"/>
      <c r="G27" s="87">
        <f t="shared" si="1"/>
        <v>0</v>
      </c>
    </row>
  </sheetData>
  <sheetProtection sheet="1" objects="1" scenarios="1"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README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Specs</vt:lpstr>
      <vt:lpstr>ChainBelts</vt:lpstr>
      <vt:lpstr>ChainBeltSpecs</vt:lpstr>
      <vt:lpstr>Motors</vt:lpstr>
      <vt:lpstr>MotorSpecs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2019-06-14T00:50:31Z</dcterms:modified>
</cp:coreProperties>
</file>