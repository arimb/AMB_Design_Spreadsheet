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8195" windowHeight="11820" activeTab="5"/>
  </bookViews>
  <sheets>
    <sheet name="MechanismRatio" sheetId="1" r:id="rId1"/>
    <sheet name="LeadScrew" sheetId="5" r:id="rId2"/>
    <sheet name="Drivetrain" sheetId="7" r:id="rId3"/>
    <sheet name="BeamBend" sheetId="8" r:id="rId4"/>
    <sheet name="Projectile" sheetId="9" r:id="rId5"/>
    <sheet name="ChainBelt" sheetId="10" r:id="rId6"/>
    <sheet name="UsefulValues" sheetId="3" r:id="rId7"/>
  </sheets>
  <functionGroups builtInGroupCount="17"/>
  <definedNames>
    <definedName name="ChainBelts">UsefulValues!$J$5:$J$10</definedName>
    <definedName name="ChainBeltSpecs">UsefulValues!$J$5:$N$10</definedName>
    <definedName name="Motors">UsefulValues!$B$5:$B$24</definedName>
    <definedName name="MotorSpecs">UsefulValues!$B$5:$G$24</definedName>
  </definedNames>
  <calcPr calcId="145621"/>
</workbook>
</file>

<file path=xl/calcChain.xml><?xml version="1.0" encoding="utf-8"?>
<calcChain xmlns="http://schemas.openxmlformats.org/spreadsheetml/2006/main">
  <c r="I7" i="10" l="1"/>
  <c r="I14" i="10"/>
  <c r="I12" i="10"/>
  <c r="I11" i="10"/>
  <c r="G12" i="10"/>
  <c r="F11" i="10"/>
  <c r="F13" i="10"/>
  <c r="F12" i="10"/>
  <c r="D20" i="10"/>
  <c r="D19" i="10"/>
  <c r="D18" i="10"/>
  <c r="D17" i="10"/>
  <c r="D10" i="10" s="1"/>
  <c r="C20" i="10"/>
  <c r="C19" i="10"/>
  <c r="C18" i="10"/>
  <c r="C17" i="10"/>
  <c r="C13" i="10"/>
  <c r="C10" i="10"/>
  <c r="O33" i="9"/>
  <c r="L33" i="9"/>
  <c r="L37" i="9" s="1"/>
  <c r="K33" i="9"/>
  <c r="J18" i="7"/>
  <c r="J19" i="7"/>
  <c r="I12" i="7"/>
  <c r="L17" i="7"/>
  <c r="G14" i="7"/>
  <c r="G13" i="7"/>
  <c r="C26" i="7"/>
  <c r="D13" i="10" l="1"/>
  <c r="G11" i="10" s="1"/>
  <c r="G13" i="10" s="1"/>
  <c r="L89" i="9"/>
  <c r="L132" i="9"/>
  <c r="L125" i="9"/>
  <c r="L118" i="9"/>
  <c r="L110" i="9"/>
  <c r="L104" i="9"/>
  <c r="L97" i="9"/>
  <c r="L82" i="9"/>
  <c r="L76" i="9"/>
  <c r="L65" i="9"/>
  <c r="L54" i="9"/>
  <c r="L45" i="9"/>
  <c r="L130" i="9"/>
  <c r="L124" i="9"/>
  <c r="L116" i="9"/>
  <c r="L109" i="9"/>
  <c r="L102" i="9"/>
  <c r="L94" i="9"/>
  <c r="L88" i="9"/>
  <c r="L81" i="9"/>
  <c r="L73" i="9"/>
  <c r="L62" i="9"/>
  <c r="L53" i="9"/>
  <c r="L41" i="9"/>
  <c r="L35" i="9"/>
  <c r="L129" i="9"/>
  <c r="L121" i="9"/>
  <c r="L114" i="9"/>
  <c r="L108" i="9"/>
  <c r="L100" i="9"/>
  <c r="L93" i="9"/>
  <c r="L86" i="9"/>
  <c r="L78" i="9"/>
  <c r="L70" i="9"/>
  <c r="L61" i="9"/>
  <c r="L49" i="9"/>
  <c r="L38" i="9"/>
  <c r="L134" i="9"/>
  <c r="L126" i="9"/>
  <c r="L120" i="9"/>
  <c r="L113" i="9"/>
  <c r="L105" i="9"/>
  <c r="L98" i="9"/>
  <c r="L92" i="9"/>
  <c r="L84" i="9"/>
  <c r="L77" i="9"/>
  <c r="L69" i="9"/>
  <c r="L57" i="9"/>
  <c r="L46" i="9"/>
  <c r="L39" i="9"/>
  <c r="L43" i="9"/>
  <c r="L47" i="9"/>
  <c r="L51" i="9"/>
  <c r="L55" i="9"/>
  <c r="L59" i="9"/>
  <c r="L63" i="9"/>
  <c r="L67" i="9"/>
  <c r="L71" i="9"/>
  <c r="L75" i="9"/>
  <c r="L79" i="9"/>
  <c r="L83" i="9"/>
  <c r="L87" i="9"/>
  <c r="L91" i="9"/>
  <c r="L95" i="9"/>
  <c r="L99" i="9"/>
  <c r="L103" i="9"/>
  <c r="L107" i="9"/>
  <c r="L111" i="9"/>
  <c r="L115" i="9"/>
  <c r="L119" i="9"/>
  <c r="L123" i="9"/>
  <c r="L127" i="9"/>
  <c r="L131" i="9"/>
  <c r="L135" i="9"/>
  <c r="L36" i="9"/>
  <c r="L40" i="9"/>
  <c r="L44" i="9"/>
  <c r="L48" i="9"/>
  <c r="L52" i="9"/>
  <c r="L56" i="9"/>
  <c r="L60" i="9"/>
  <c r="L64" i="9"/>
  <c r="L68" i="9"/>
  <c r="L72" i="9"/>
  <c r="L133" i="9"/>
  <c r="L128" i="9"/>
  <c r="L122" i="9"/>
  <c r="L117" i="9"/>
  <c r="L112" i="9"/>
  <c r="L106" i="9"/>
  <c r="L101" i="9"/>
  <c r="L96" i="9"/>
  <c r="L90" i="9"/>
  <c r="L85" i="9"/>
  <c r="L80" i="9"/>
  <c r="L74" i="9"/>
  <c r="L66" i="9"/>
  <c r="L58" i="9"/>
  <c r="L50" i="9"/>
  <c r="L42" i="9"/>
  <c r="G14" i="9"/>
  <c r="N33" i="9" s="1"/>
  <c r="J13" i="10"/>
  <c r="J12" i="10" l="1"/>
  <c r="J11" i="10" s="1"/>
  <c r="J14" i="10" s="1"/>
  <c r="G13" i="9"/>
  <c r="M33" i="9" s="1"/>
  <c r="M37" i="9" s="1"/>
  <c r="D14" i="9"/>
  <c r="F9" i="9"/>
  <c r="F13" i="9"/>
  <c r="F8" i="9"/>
  <c r="F7" i="9"/>
  <c r="C13" i="9"/>
  <c r="C9" i="9"/>
  <c r="C8" i="9"/>
  <c r="C7" i="9"/>
  <c r="D15" i="8"/>
  <c r="D16" i="8"/>
  <c r="I10" i="8"/>
  <c r="O8" i="8"/>
  <c r="O9" i="8"/>
  <c r="L13" i="8"/>
  <c r="L8" i="8"/>
  <c r="I13" i="8"/>
  <c r="I9" i="8"/>
  <c r="I8" i="8"/>
  <c r="F13" i="8"/>
  <c r="F10" i="8"/>
  <c r="F9" i="8"/>
  <c r="F8" i="8"/>
  <c r="D18" i="8"/>
  <c r="D17" i="8"/>
  <c r="C13" i="8"/>
  <c r="C12" i="8"/>
  <c r="C11" i="8"/>
  <c r="L22" i="7"/>
  <c r="J23" i="7"/>
  <c r="J24" i="7"/>
  <c r="H25" i="7"/>
  <c r="G25" i="7"/>
  <c r="H20" i="7"/>
  <c r="G20" i="7"/>
  <c r="J10" i="7"/>
  <c r="J9" i="7"/>
  <c r="J8" i="7"/>
  <c r="J7" i="7"/>
  <c r="J6" i="7"/>
  <c r="C20" i="7"/>
  <c r="C19" i="7"/>
  <c r="D11" i="7"/>
  <c r="D10" i="7"/>
  <c r="E10" i="7" s="1"/>
  <c r="D9" i="7"/>
  <c r="E9" i="7" s="1"/>
  <c r="D8" i="7"/>
  <c r="E8" i="7" s="1"/>
  <c r="D7" i="7"/>
  <c r="E7" i="7" s="1"/>
  <c r="I14" i="7" s="1"/>
  <c r="K13" i="1"/>
  <c r="M74" i="9" l="1"/>
  <c r="M102" i="9"/>
  <c r="M96" i="9"/>
  <c r="M53" i="9"/>
  <c r="M84" i="9"/>
  <c r="M42" i="9"/>
  <c r="M121" i="9"/>
  <c r="M71" i="9"/>
  <c r="M122" i="9"/>
  <c r="M44" i="9"/>
  <c r="M130" i="9"/>
  <c r="M60" i="9"/>
  <c r="M87" i="9"/>
  <c r="M101" i="9"/>
  <c r="M86" i="9"/>
  <c r="M129" i="9"/>
  <c r="M106" i="9"/>
  <c r="M59" i="9"/>
  <c r="M114" i="9"/>
  <c r="M46" i="9"/>
  <c r="M120" i="9"/>
  <c r="M100" i="9"/>
  <c r="M85" i="9"/>
  <c r="M75" i="9"/>
  <c r="M49" i="9"/>
  <c r="M108" i="9"/>
  <c r="M83" i="9"/>
  <c r="M90" i="9"/>
  <c r="M95" i="9"/>
  <c r="M65" i="9"/>
  <c r="M105" i="9"/>
  <c r="M135" i="9"/>
  <c r="M97" i="9"/>
  <c r="M126" i="9"/>
  <c r="M123" i="9"/>
  <c r="M118" i="9"/>
  <c r="M79" i="9"/>
  <c r="M89" i="9"/>
  <c r="M78" i="9"/>
  <c r="M99" i="9"/>
  <c r="M66" i="9"/>
  <c r="M111" i="9"/>
  <c r="M124" i="9"/>
  <c r="M77" i="9"/>
  <c r="M48" i="9"/>
  <c r="M54" i="9"/>
  <c r="M98" i="9"/>
  <c r="M36" i="9"/>
  <c r="M82" i="9"/>
  <c r="M127" i="9"/>
  <c r="M110" i="9"/>
  <c r="M73" i="9"/>
  <c r="M38" i="9"/>
  <c r="M51" i="9"/>
  <c r="M115" i="9"/>
  <c r="M133" i="9"/>
  <c r="M45" i="9"/>
  <c r="M57" i="9"/>
  <c r="M40" i="9"/>
  <c r="M132" i="9"/>
  <c r="M94" i="9"/>
  <c r="M70" i="9"/>
  <c r="M39" i="9"/>
  <c r="M103" i="9"/>
  <c r="M64" i="9"/>
  <c r="M58" i="9"/>
  <c r="M116" i="9"/>
  <c r="M93" i="9"/>
  <c r="M69" i="9"/>
  <c r="M91" i="9"/>
  <c r="M52" i="9"/>
  <c r="M80" i="9"/>
  <c r="M109" i="9"/>
  <c r="M92" i="9"/>
  <c r="M56" i="9"/>
  <c r="M76" i="9"/>
  <c r="M35" i="9"/>
  <c r="M113" i="9"/>
  <c r="M67" i="9"/>
  <c r="M131" i="9"/>
  <c r="M112" i="9"/>
  <c r="M41" i="9"/>
  <c r="M63" i="9"/>
  <c r="M72" i="9"/>
  <c r="M104" i="9"/>
  <c r="M62" i="9"/>
  <c r="M134" i="9"/>
  <c r="M55" i="9"/>
  <c r="M119" i="9"/>
  <c r="M128" i="9"/>
  <c r="M125" i="9"/>
  <c r="M88" i="9"/>
  <c r="M61" i="9"/>
  <c r="M43" i="9"/>
  <c r="M107" i="9"/>
  <c r="M68" i="9"/>
  <c r="M50" i="9"/>
  <c r="M81" i="9"/>
  <c r="M47" i="9"/>
  <c r="M117" i="9"/>
  <c r="I15" i="7"/>
  <c r="L24" i="7"/>
  <c r="L23" i="7" s="1"/>
  <c r="I13" i="7"/>
  <c r="L25" i="7"/>
  <c r="G13" i="8"/>
  <c r="P13" i="8"/>
  <c r="J13" i="8"/>
  <c r="M13" i="8"/>
  <c r="L19" i="7"/>
  <c r="L18" i="7" s="1"/>
  <c r="L20" i="7"/>
  <c r="E11" i="7"/>
  <c r="H11" i="5"/>
  <c r="H16" i="5"/>
  <c r="I15" i="5"/>
  <c r="D16" i="5"/>
  <c r="J9" i="5"/>
  <c r="J10" i="5" s="1"/>
  <c r="J12" i="5" s="1"/>
  <c r="I9" i="5"/>
  <c r="I11" i="5" s="1"/>
  <c r="H7" i="5"/>
  <c r="I12" i="5" s="1"/>
  <c r="G16" i="5"/>
  <c r="G13" i="5"/>
  <c r="G12" i="5"/>
  <c r="G11" i="5"/>
  <c r="G10" i="5"/>
  <c r="G9" i="5"/>
  <c r="G7" i="5"/>
  <c r="D14" i="5"/>
  <c r="H6" i="5" s="1"/>
  <c r="C7" i="5"/>
  <c r="C6" i="5"/>
  <c r="I13" i="1"/>
  <c r="E18" i="1"/>
  <c r="E17" i="1"/>
  <c r="I17" i="1"/>
  <c r="H7" i="1" s="1"/>
  <c r="G13" i="1"/>
  <c r="C18" i="1"/>
  <c r="G11" i="1"/>
  <c r="G10" i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5" i="3"/>
  <c r="D11" i="1"/>
  <c r="C17" i="1"/>
  <c r="D10" i="1"/>
  <c r="E10" i="1" s="1"/>
  <c r="D9" i="1"/>
  <c r="E9" i="1" s="1"/>
  <c r="D8" i="1"/>
  <c r="E8" i="1" s="1"/>
  <c r="D7" i="1"/>
  <c r="E7" i="1" s="1"/>
  <c r="Q33" i="9" l="1"/>
  <c r="J13" i="5"/>
  <c r="I13" i="5"/>
  <c r="L11" i="1"/>
  <c r="H13" i="5"/>
  <c r="H10" i="5"/>
  <c r="H12" i="5" s="1"/>
  <c r="O7" i="1"/>
  <c r="O8" i="1" s="1"/>
  <c r="P7" i="1"/>
  <c r="P12" i="1" s="1"/>
  <c r="N7" i="1"/>
  <c r="H8" i="1"/>
  <c r="H10" i="1" s="1"/>
  <c r="H13" i="1"/>
  <c r="J7" i="1"/>
  <c r="J13" i="1" s="1"/>
  <c r="H14" i="1"/>
  <c r="H12" i="1"/>
  <c r="I7" i="1"/>
  <c r="I14" i="1" s="1"/>
  <c r="K7" i="1"/>
  <c r="K8" i="1" s="1"/>
  <c r="L7" i="1"/>
  <c r="L13" i="1" s="1"/>
  <c r="M9" i="1"/>
  <c r="M7" i="1" s="1"/>
  <c r="M8" i="1" s="1"/>
  <c r="M10" i="1" s="1"/>
  <c r="E11" i="1"/>
  <c r="P13" i="1" l="1"/>
  <c r="P8" i="1"/>
  <c r="O10" i="1"/>
  <c r="O9" i="1"/>
  <c r="O11" i="1" s="1"/>
  <c r="O12" i="1"/>
  <c r="O14" i="1"/>
  <c r="N13" i="1"/>
  <c r="N8" i="1"/>
  <c r="N14" i="1"/>
  <c r="H9" i="1"/>
  <c r="H11" i="1" s="1"/>
  <c r="K9" i="1"/>
  <c r="K11" i="1" s="1"/>
  <c r="K10" i="1"/>
  <c r="J8" i="1"/>
  <c r="J10" i="1" s="1"/>
  <c r="M13" i="1"/>
  <c r="K14" i="1"/>
  <c r="L14" i="1"/>
  <c r="I12" i="1"/>
  <c r="M12" i="1"/>
  <c r="J12" i="1"/>
  <c r="I8" i="1"/>
  <c r="K12" i="1"/>
  <c r="L8" i="1"/>
  <c r="L10" i="1" s="1"/>
  <c r="L12" i="1"/>
  <c r="M14" i="1"/>
  <c r="J14" i="1"/>
  <c r="P9" i="1" l="1"/>
  <c r="P11" i="1" s="1"/>
  <c r="P10" i="1"/>
  <c r="N9" i="1"/>
  <c r="N11" i="1" s="1"/>
  <c r="N10" i="1"/>
  <c r="I9" i="1"/>
  <c r="I11" i="1" s="1"/>
  <c r="I10" i="1"/>
  <c r="J9" i="1"/>
  <c r="J11" i="1" s="1"/>
</calcChain>
</file>

<file path=xl/comments1.xml><?xml version="1.0" encoding="utf-8"?>
<comments xmlns="http://schemas.openxmlformats.org/spreadsheetml/2006/main">
  <authors>
    <author>Ari Meles-Braverman</author>
  </authors>
  <commentList>
    <comment ref="F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Ari Meles-Braverman: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<sst xmlns="http://schemas.openxmlformats.org/spreadsheetml/2006/main" count="154" uniqueCount="117">
  <si>
    <t>Mechanism Design Calculator</t>
  </si>
  <si>
    <t>Metric?</t>
  </si>
  <si>
    <t>Free Speed (RPM)</t>
  </si>
  <si>
    <t>Stall Torque (Nm)</t>
  </si>
  <si>
    <t>Free Current (A)</t>
  </si>
  <si>
    <t>Stall Current (A)</t>
  </si>
  <si>
    <t>Power (W)</t>
  </si>
  <si>
    <t>CIM</t>
  </si>
  <si>
    <t>Mini CIM</t>
  </si>
  <si>
    <t>BAG Motor</t>
  </si>
  <si>
    <t>775pro/Redline</t>
  </si>
  <si>
    <t>NEO</t>
  </si>
  <si>
    <t>AM 775</t>
  </si>
  <si>
    <t>AM 9015</t>
  </si>
  <si>
    <t>CIM + Mini</t>
  </si>
  <si>
    <t>CIM + 2 Mini</t>
  </si>
  <si>
    <t>2 CIM + Mini</t>
  </si>
  <si>
    <t>BB RS-775-18</t>
  </si>
  <si>
    <t>BB 550</t>
  </si>
  <si>
    <t>Snowblower</t>
  </si>
  <si>
    <t>Neverest</t>
  </si>
  <si>
    <t>Throttle Motor</t>
  </si>
  <si>
    <t>Bosch Motor</t>
  </si>
  <si>
    <t>Dynamo</t>
  </si>
  <si>
    <t>Window Motor</t>
  </si>
  <si>
    <t>Chain/Belt Dimensions</t>
  </si>
  <si>
    <t>Pitch</t>
  </si>
  <si>
    <t>Width</t>
  </si>
  <si>
    <t>Thick</t>
  </si>
  <si>
    <t>C-C Add.</t>
  </si>
  <si>
    <t>#25 Chain</t>
  </si>
  <si>
    <t>#35 Chain</t>
  </si>
  <si>
    <t>5mm HTD</t>
  </si>
  <si>
    <t>3mm GT2</t>
  </si>
  <si>
    <t>(Dimensions in mm)</t>
  </si>
  <si>
    <t>Adjusted</t>
  </si>
  <si>
    <t># of Motors</t>
  </si>
  <si>
    <t>Voltage Applied (V)</t>
  </si>
  <si>
    <t>Gearbox Efficiency</t>
  </si>
  <si>
    <t>Gear Ratio</t>
  </si>
  <si>
    <t>Free Rot. Speed (rps)</t>
  </si>
  <si>
    <t>Loaded Rot. Speed (rps)</t>
  </si>
  <si>
    <t>Current Per Motor (A)</t>
  </si>
  <si>
    <t>Stall Voltage (V)</t>
  </si>
  <si>
    <t>By Ratio</t>
  </si>
  <si>
    <t>Max. Power</t>
  </si>
  <si>
    <t>Max. Eff.</t>
  </si>
  <si>
    <t>At Stall</t>
  </si>
  <si>
    <t>Rot. Speed</t>
  </si>
  <si>
    <t>Lin. Speed</t>
  </si>
  <si>
    <t>Current</t>
  </si>
  <si>
    <t>Stall Load</t>
  </si>
  <si>
    <t>Stall Voltage</t>
  </si>
  <si>
    <t>Ratio Tester</t>
  </si>
  <si>
    <t>EXAMPLE USES</t>
  </si>
  <si>
    <r>
      <t>Winch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As an endgame, you need to winch up the robot by spinning a cable around a circular drum. For radius, enter the drum's radius. For load, enter the weight of the robot (154lb max = 125lb robot + 15lb bumpers + 14lb battery). Since this is an end game task, change Voltage Applied to 10V to account for battery drop throughout the match.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</si>
  <si>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Elevator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with a motor connected to a linear elevator system. For radius, enter the radius of the pulley/sprocket driving the elevator (# teeth * pitch diameter). For load, enter the weight of the load. Then specify a desired linear speed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</si>
  <si>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r>
      <t>Arm</t>
    </r>
    <r>
      <rPr>
        <b/>
        <sz val="11"/>
        <color rgb="FF000000"/>
        <rFont val="Arial"/>
        <family val="2"/>
      </rPr>
      <t>:</t>
    </r>
    <r>
      <rPr>
        <sz val="11"/>
        <color rgb="FF000000"/>
        <rFont val="Arial"/>
        <family val="2"/>
      </rPr>
      <t xml:space="preserve"> You need to lift a load using an arm driven by a motor. For radius, enter the length of the arm (specifically the distance from axis of rotation to arm's center of mass). For load, enter the weight of the arm + load lifted. Then specify a desired rotational speed for the arm in the Lin. Speed column, a maximum allowable current draw in the Current column, or a maximum allowable stall load in the Stall Load column. Change the number and type of motors to find a combination that gives acceptible values. Then use the ratio tester to find a set of reductions (e.g. spur gears, chains, belts, planetaries) that approximates the desired ratio.</t>
    </r>
  </si>
  <si>
    <t>Lead Screw Calculator</t>
  </si>
  <si>
    <t># of Starts</t>
  </si>
  <si>
    <t>Thread Angle (°)</t>
  </si>
  <si>
    <t>Screw Material</t>
  </si>
  <si>
    <t>Nut Material</t>
  </si>
  <si>
    <t>Lubricated?</t>
  </si>
  <si>
    <t>Steel</t>
  </si>
  <si>
    <t>Yes</t>
  </si>
  <si>
    <t>Backdrive-able?</t>
  </si>
  <si>
    <t>Efficiency</t>
  </si>
  <si>
    <t>Rotational Speed (rpm)</t>
  </si>
  <si>
    <t>Bronze</t>
  </si>
  <si>
    <t>To use a leadscrew in the Mechanism Gear Ratio Calculator, use the Equivalent Radius for the Radius. For the Load, use the Equivalent Raise/Lower Load, depending on whether you are moving in the same or opposite direction as the applied force.</t>
  </si>
  <si>
    <t>The Mechanism gearbox efficiency should not include the leadscrew efficiency.</t>
  </si>
  <si>
    <t>Raise Torque is the torque needed to move the leadscrew the direction opposing the force (e.g. raising a weight). Lower Torque is the torque needed to move the leadscrew in the same direction as the load (e.g. lowering a weight).</t>
  </si>
  <si>
    <t>If Lower Torque is negative, the leadscrew is backdrive-able (i.e. not self-locking). If positive, it is not backdrive-able.</t>
  </si>
  <si>
    <t>Drivetrain Calculator</t>
  </si>
  <si>
    <t>Drivetrain Efficiency</t>
  </si>
  <si>
    <t>Speed Loss Coeff.</t>
  </si>
  <si>
    <t>% Driven Weight</t>
  </si>
  <si>
    <t>Wheel Friction Coeff.</t>
  </si>
  <si>
    <t>Shifting?</t>
  </si>
  <si>
    <t>2 Wheel Types?</t>
  </si>
  <si>
    <t>Drive Gear</t>
  </si>
  <si>
    <t>Driven Gear</t>
  </si>
  <si>
    <t>dp</t>
  </si>
  <si>
    <t>Final Ratio</t>
  </si>
  <si>
    <t>Wheel Slip Current (A)</t>
  </si>
  <si>
    <t># of Drivetrain Motors</t>
  </si>
  <si>
    <t>Beam Bend Calculator</t>
  </si>
  <si>
    <t>Beam/Axle Type</t>
  </si>
  <si>
    <t>Hex</t>
  </si>
  <si>
    <t>Material</t>
  </si>
  <si>
    <t>┴  Cantilevered Force</t>
  </si>
  <si>
    <t>┴  Force Btwn. Supports</t>
  </si>
  <si>
    <t>║ Buckling Force</t>
  </si>
  <si>
    <t>K (see chart)</t>
  </si>
  <si>
    <t>Twisting Torque</t>
  </si>
  <si>
    <t>Twist Angle (°)</t>
  </si>
  <si>
    <t>7075 Al</t>
  </si>
  <si>
    <t>I</t>
  </si>
  <si>
    <t>J</t>
  </si>
  <si>
    <t>E</t>
  </si>
  <si>
    <t>G</t>
  </si>
  <si>
    <t>Projectile Trajectory Calculator</t>
  </si>
  <si>
    <t>Forward</t>
  </si>
  <si>
    <t>Release Angle (°)</t>
  </si>
  <si>
    <t>Final Angle (°)</t>
  </si>
  <si>
    <t>Reverse</t>
  </si>
  <si>
    <t>Target Angle (°)</t>
  </si>
  <si>
    <t>2nd Wheel CoF</t>
  </si>
  <si>
    <t>Chain/Belt C-C Calculator</t>
  </si>
  <si>
    <t>Type</t>
  </si>
  <si>
    <t># Teeth 1</t>
  </si>
  <si>
    <t># Teeth 2</t>
  </si>
  <si>
    <t># Links/Teeth</t>
  </si>
  <si>
    <t>Round Type</t>
  </si>
  <si>
    <t>Modulus</t>
  </si>
  <si>
    <t>Nearest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</si>
</sst>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\ \:\ \1"/>
    <numFmt numFmtId="166" formatCode="0.0%"/>
    <numFmt numFmtId="167" formatCode="0.000"/>
    <numFmt numFmtId="168" formatCode="0.00000"/>
    <numFmt numFmtId="169" formatCode="0\°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b/>
      <sz val="14"/>
      <color rgb="FF000000"/>
      <name val="Arial"/>
      <family val="2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theme="0" tint="-0.499984740745262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980000"/>
      </left>
      <right/>
      <top/>
      <bottom/>
      <diagonal/>
    </border>
    <border>
      <left style="medium">
        <color rgb="FF980000"/>
      </left>
      <right/>
      <top style="medium">
        <color rgb="FF980000"/>
      </top>
      <bottom/>
      <diagonal/>
    </border>
    <border>
      <left/>
      <right/>
      <top style="medium">
        <color rgb="FF980000"/>
      </top>
      <bottom/>
      <diagonal/>
    </border>
    <border>
      <left/>
      <right style="medium">
        <color rgb="FF980000"/>
      </right>
      <top style="medium">
        <color rgb="FF980000"/>
      </top>
      <bottom/>
      <diagonal/>
    </border>
    <border>
      <left/>
      <right style="medium">
        <color rgb="FF980000"/>
      </right>
      <top/>
      <bottom/>
      <diagonal/>
    </border>
    <border>
      <left style="medium">
        <color rgb="FF980000"/>
      </left>
      <right/>
      <top/>
      <bottom style="medium">
        <color rgb="FF980000"/>
      </bottom>
      <diagonal/>
    </border>
    <border>
      <left/>
      <right/>
      <top/>
      <bottom style="medium">
        <color rgb="FF980000"/>
      </bottom>
      <diagonal/>
    </border>
    <border>
      <left/>
      <right style="medium">
        <color rgb="FF980000"/>
      </right>
      <top/>
      <bottom style="medium">
        <color rgb="FF98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9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Border="1"/>
    <xf numFmtId="0" fontId="0" fillId="0" borderId="1" xfId="0" applyBorder="1"/>
    <xf numFmtId="0" fontId="1" fillId="0" borderId="2" xfId="0" applyFont="1" applyBorder="1"/>
    <xf numFmtId="0" fontId="1" fillId="0" borderId="4" xfId="0" applyFont="1" applyBorder="1"/>
    <xf numFmtId="0" fontId="0" fillId="0" borderId="6" xfId="0" applyBorder="1"/>
    <xf numFmtId="0" fontId="0" fillId="0" borderId="9" xfId="0" applyBorder="1"/>
    <xf numFmtId="0" fontId="0" fillId="0" borderId="10" xfId="0" applyBorder="1"/>
    <xf numFmtId="0" fontId="0" fillId="0" borderId="3" xfId="0" applyBorder="1"/>
    <xf numFmtId="0" fontId="0" fillId="0" borderId="8" xfId="0" applyBorder="1"/>
    <xf numFmtId="0" fontId="1" fillId="0" borderId="15" xfId="0" applyFont="1" applyBorder="1"/>
    <xf numFmtId="0" fontId="0" fillId="0" borderId="15" xfId="0" applyBorder="1"/>
    <xf numFmtId="0" fontId="0" fillId="0" borderId="7" xfId="0" applyBorder="1"/>
    <xf numFmtId="0" fontId="1" fillId="0" borderId="5" xfId="0" applyFont="1" applyBorder="1"/>
    <xf numFmtId="0" fontId="1" fillId="0" borderId="18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16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/>
    <xf numFmtId="0" fontId="0" fillId="0" borderId="4" xfId="0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5" xfId="0" applyFont="1" applyFill="1" applyBorder="1" applyAlignment="1">
      <alignment horizontal="left"/>
    </xf>
    <xf numFmtId="2" fontId="0" fillId="0" borderId="9" xfId="0" applyNumberFormat="1" applyBorder="1"/>
    <xf numFmtId="164" fontId="0" fillId="0" borderId="17" xfId="0" applyNumberFormat="1" applyBorder="1" applyAlignment="1">
      <alignment horizontal="center"/>
    </xf>
    <xf numFmtId="164" fontId="0" fillId="0" borderId="6" xfId="0" applyNumberFormat="1" applyBorder="1"/>
    <xf numFmtId="164" fontId="0" fillId="0" borderId="10" xfId="0" applyNumberFormat="1" applyBorder="1"/>
    <xf numFmtId="164" fontId="0" fillId="0" borderId="1" xfId="0" applyNumberFormat="1" applyBorder="1"/>
    <xf numFmtId="164" fontId="0" fillId="0" borderId="9" xfId="0" applyNumberFormat="1" applyBorder="1"/>
    <xf numFmtId="1" fontId="0" fillId="0" borderId="1" xfId="0" applyNumberFormat="1" applyBorder="1"/>
    <xf numFmtId="1" fontId="0" fillId="0" borderId="9" xfId="0" applyNumberFormat="1" applyBorder="1"/>
    <xf numFmtId="2" fontId="0" fillId="0" borderId="1" xfId="0" applyNumberFormat="1" applyBorder="1"/>
    <xf numFmtId="1" fontId="0" fillId="0" borderId="3" xfId="0" applyNumberFormat="1" applyBorder="1"/>
    <xf numFmtId="1" fontId="0" fillId="0" borderId="8" xfId="0" applyNumberFormat="1" applyBorder="1"/>
    <xf numFmtId="0" fontId="0" fillId="0" borderId="16" xfId="0" applyBorder="1" applyAlignment="1" applyProtection="1">
      <alignment horizontal="center"/>
      <protection locked="0"/>
    </xf>
    <xf numFmtId="0" fontId="1" fillId="0" borderId="15" xfId="0" applyFont="1" applyBorder="1" applyProtection="1">
      <protection locked="0"/>
    </xf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165" fontId="7" fillId="3" borderId="11" xfId="0" applyNumberFormat="1" applyFont="1" applyFill="1" applyBorder="1"/>
    <xf numFmtId="0" fontId="1" fillId="0" borderId="28" xfId="0" applyFont="1" applyBorder="1"/>
    <xf numFmtId="165" fontId="7" fillId="3" borderId="27" xfId="0" applyNumberFormat="1" applyFont="1" applyFill="1" applyBorder="1"/>
    <xf numFmtId="2" fontId="0" fillId="3" borderId="24" xfId="0" applyNumberFormat="1" applyFill="1" applyBorder="1"/>
    <xf numFmtId="2" fontId="0" fillId="3" borderId="22" xfId="0" applyNumberFormat="1" applyFill="1" applyBorder="1"/>
    <xf numFmtId="164" fontId="0" fillId="3" borderId="22" xfId="0" applyNumberFormat="1" applyFill="1" applyBorder="1"/>
    <xf numFmtId="2" fontId="0" fillId="3" borderId="23" xfId="0" applyNumberFormat="1" applyFill="1" applyBorder="1"/>
    <xf numFmtId="164" fontId="0" fillId="3" borderId="23" xfId="0" applyNumberFormat="1" applyFill="1" applyBorder="1"/>
    <xf numFmtId="1" fontId="0" fillId="3" borderId="22" xfId="0" applyNumberFormat="1" applyFill="1" applyBorder="1"/>
    <xf numFmtId="0" fontId="0" fillId="2" borderId="17" xfId="0" applyFill="1" applyBorder="1" applyProtection="1">
      <protection locked="0"/>
    </xf>
    <xf numFmtId="9" fontId="0" fillId="2" borderId="17" xfId="1" applyFont="1" applyFill="1" applyBorder="1" applyProtection="1">
      <protection locked="0"/>
    </xf>
    <xf numFmtId="0" fontId="0" fillId="2" borderId="25" xfId="0" applyFill="1" applyBorder="1" applyProtection="1">
      <protection locked="0"/>
    </xf>
    <xf numFmtId="0" fontId="0" fillId="2" borderId="26" xfId="0" applyFill="1" applyBorder="1" applyProtection="1">
      <protection locked="0"/>
    </xf>
    <xf numFmtId="2" fontId="0" fillId="2" borderId="22" xfId="0" applyNumberFormat="1" applyFill="1" applyBorder="1" applyProtection="1">
      <protection locked="0"/>
    </xf>
    <xf numFmtId="164" fontId="0" fillId="2" borderId="22" xfId="0" applyNumberFormat="1" applyFill="1" applyBorder="1" applyProtection="1">
      <protection locked="0"/>
    </xf>
    <xf numFmtId="1" fontId="0" fillId="2" borderId="22" xfId="0" applyNumberFormat="1" applyFill="1" applyBorder="1" applyProtection="1">
      <protection locked="0"/>
    </xf>
    <xf numFmtId="164" fontId="0" fillId="2" borderId="23" xfId="0" applyNumberFormat="1" applyFill="1" applyBorder="1" applyProtection="1">
      <protection locked="0"/>
    </xf>
    <xf numFmtId="0" fontId="2" fillId="0" borderId="0" xfId="0" applyFont="1" applyProtection="1">
      <protection locked="0"/>
    </xf>
    <xf numFmtId="0" fontId="0" fillId="0" borderId="25" xfId="0" applyBorder="1"/>
    <xf numFmtId="0" fontId="0" fillId="3" borderId="26" xfId="0" applyFill="1" applyBorder="1"/>
    <xf numFmtId="166" fontId="0" fillId="3" borderId="17" xfId="1" applyNumberFormat="1" applyFont="1" applyFill="1" applyBorder="1"/>
    <xf numFmtId="2" fontId="0" fillId="3" borderId="17" xfId="0" applyNumberFormat="1" applyFill="1" applyBorder="1"/>
    <xf numFmtId="164" fontId="0" fillId="3" borderId="19" xfId="0" applyNumberFormat="1" applyFill="1" applyBorder="1"/>
    <xf numFmtId="1" fontId="0" fillId="3" borderId="19" xfId="0" applyNumberFormat="1" applyFill="1" applyBorder="1"/>
    <xf numFmtId="2" fontId="0" fillId="2" borderId="23" xfId="0" applyNumberFormat="1" applyFill="1" applyBorder="1" applyProtection="1">
      <protection locked="0"/>
    </xf>
    <xf numFmtId="0" fontId="0" fillId="2" borderId="19" xfId="0" applyFill="1" applyBorder="1" applyProtection="1">
      <protection locked="0"/>
    </xf>
    <xf numFmtId="164" fontId="0" fillId="2" borderId="19" xfId="0" applyNumberFormat="1" applyFill="1" applyBorder="1" applyProtection="1">
      <protection locked="0"/>
    </xf>
    <xf numFmtId="2" fontId="0" fillId="2" borderId="17" xfId="0" applyNumberFormat="1" applyFill="1" applyBorder="1" applyProtection="1">
      <protection locked="0"/>
    </xf>
    <xf numFmtId="167" fontId="0" fillId="2" borderId="17" xfId="0" applyNumberForma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164" fontId="0" fillId="2" borderId="17" xfId="0" applyNumberFormat="1" applyFill="1" applyBorder="1" applyProtection="1">
      <protection locked="0"/>
    </xf>
    <xf numFmtId="1" fontId="0" fillId="2" borderId="17" xfId="0" applyNumberFormat="1" applyFill="1" applyBorder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2" fillId="0" borderId="0" xfId="0" applyFont="1" applyProtection="1"/>
    <xf numFmtId="0" fontId="1" fillId="0" borderId="0" xfId="0" applyFont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17" xfId="0" applyBorder="1" applyProtection="1"/>
    <xf numFmtId="0" fontId="0" fillId="0" borderId="4" xfId="0" applyFont="1" applyBorder="1" applyAlignment="1" applyProtection="1">
      <alignment horizontal="left"/>
    </xf>
    <xf numFmtId="1" fontId="0" fillId="0" borderId="3" xfId="0" applyNumberFormat="1" applyBorder="1" applyProtection="1"/>
    <xf numFmtId="1" fontId="0" fillId="0" borderId="8" xfId="0" applyNumberFormat="1" applyBorder="1" applyProtection="1"/>
    <xf numFmtId="0" fontId="0" fillId="3" borderId="17" xfId="0" applyFill="1" applyBorder="1" applyProtection="1"/>
    <xf numFmtId="0" fontId="0" fillId="0" borderId="2" xfId="0" applyFont="1" applyBorder="1" applyAlignment="1" applyProtection="1">
      <alignment horizontal="left"/>
    </xf>
    <xf numFmtId="2" fontId="0" fillId="0" borderId="1" xfId="0" applyNumberFormat="1" applyBorder="1" applyProtection="1"/>
    <xf numFmtId="2" fontId="0" fillId="0" borderId="9" xfId="0" applyNumberFormat="1" applyBorder="1" applyProtection="1"/>
    <xf numFmtId="164" fontId="0" fillId="0" borderId="1" xfId="0" applyNumberFormat="1" applyBorder="1" applyProtection="1"/>
    <xf numFmtId="164" fontId="0" fillId="0" borderId="9" xfId="0" applyNumberFormat="1" applyBorder="1" applyProtection="1"/>
    <xf numFmtId="1" fontId="0" fillId="0" borderId="1" xfId="0" applyNumberFormat="1" applyBorder="1" applyProtection="1"/>
    <xf numFmtId="1" fontId="0" fillId="0" borderId="9" xfId="0" applyNumberFormat="1" applyBorder="1" applyProtection="1"/>
    <xf numFmtId="0" fontId="0" fillId="0" borderId="5" xfId="0" applyFont="1" applyBorder="1" applyAlignment="1" applyProtection="1">
      <alignment horizontal="left"/>
    </xf>
    <xf numFmtId="164" fontId="0" fillId="0" borderId="6" xfId="0" applyNumberFormat="1" applyBorder="1" applyProtection="1"/>
    <xf numFmtId="164" fontId="0" fillId="0" borderId="10" xfId="0" applyNumberFormat="1" applyBorder="1" applyProtection="1"/>
    <xf numFmtId="2" fontId="0" fillId="0" borderId="0" xfId="0" applyNumberFormat="1" applyProtection="1"/>
    <xf numFmtId="0" fontId="0" fillId="0" borderId="15" xfId="0" applyFont="1" applyFill="1" applyBorder="1" applyAlignment="1" applyProtection="1">
      <alignment horizontal="left"/>
    </xf>
    <xf numFmtId="0" fontId="0" fillId="2" borderId="17" xfId="0" applyFill="1" applyBorder="1" applyProtection="1"/>
    <xf numFmtId="0" fontId="0" fillId="0" borderId="4" xfId="0" applyBorder="1" applyProtection="1"/>
    <xf numFmtId="0" fontId="0" fillId="0" borderId="8" xfId="0" applyBorder="1" applyProtection="1"/>
    <xf numFmtId="0" fontId="0" fillId="0" borderId="15" xfId="0" applyBorder="1" applyProtection="1"/>
    <xf numFmtId="165" fontId="0" fillId="3" borderId="17" xfId="0" applyNumberFormat="1" applyFill="1" applyBorder="1" applyProtection="1"/>
    <xf numFmtId="1" fontId="0" fillId="0" borderId="0" xfId="0" applyNumberFormat="1" applyProtection="1"/>
    <xf numFmtId="2" fontId="0" fillId="3" borderId="17" xfId="0" applyNumberFormat="1" applyFill="1" applyBorder="1" applyProtection="1"/>
    <xf numFmtId="0" fontId="0" fillId="0" borderId="2" xfId="0" applyBorder="1" applyProtection="1"/>
    <xf numFmtId="0" fontId="0" fillId="0" borderId="5" xfId="0" applyBorder="1" applyProtection="1"/>
    <xf numFmtId="0" fontId="0" fillId="3" borderId="10" xfId="0" applyFill="1" applyBorder="1" applyProtection="1"/>
    <xf numFmtId="164" fontId="0" fillId="3" borderId="17" xfId="0" applyNumberFormat="1" applyFill="1" applyBorder="1" applyProtection="1"/>
    <xf numFmtId="0" fontId="0" fillId="0" borderId="11" xfId="0" applyFont="1" applyFill="1" applyBorder="1" applyAlignment="1" applyProtection="1">
      <alignment horizontal="left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42" xfId="0" applyFill="1" applyBorder="1" applyProtection="1">
      <protection locked="0"/>
    </xf>
    <xf numFmtId="0" fontId="11" fillId="0" borderId="0" xfId="0" applyFont="1" applyAlignment="1" applyProtection="1"/>
    <xf numFmtId="167" fontId="0" fillId="0" borderId="0" xfId="0" applyNumberFormat="1" applyProtection="1"/>
    <xf numFmtId="164" fontId="0" fillId="0" borderId="0" xfId="0" applyNumberFormat="1" applyProtection="1"/>
    <xf numFmtId="1" fontId="0" fillId="3" borderId="17" xfId="0" applyNumberFormat="1" applyFill="1" applyBorder="1" applyProtection="1"/>
    <xf numFmtId="0" fontId="2" fillId="0" borderId="0" xfId="0" applyFont="1" applyAlignment="1" applyProtection="1">
      <alignment horizontal="right"/>
    </xf>
    <xf numFmtId="1" fontId="2" fillId="0" borderId="0" xfId="0" applyNumberFormat="1" applyFont="1" applyProtection="1"/>
    <xf numFmtId="169" fontId="0" fillId="2" borderId="17" xfId="0" applyNumberFormat="1" applyFill="1" applyBorder="1" applyProtection="1"/>
    <xf numFmtId="169" fontId="0" fillId="3" borderId="17" xfId="0" applyNumberFormat="1" applyFill="1" applyBorder="1" applyProtection="1"/>
    <xf numFmtId="168" fontId="0" fillId="0" borderId="0" xfId="0" applyNumberFormat="1" applyProtection="1"/>
    <xf numFmtId="0" fontId="9" fillId="0" borderId="34" xfId="0" applyFont="1" applyBorder="1" applyAlignment="1">
      <alignment vertical="top" wrapText="1"/>
    </xf>
    <xf numFmtId="0" fontId="9" fillId="0" borderId="35" xfId="0" applyFont="1" applyBorder="1" applyAlignment="1">
      <alignment vertical="top" wrapText="1"/>
    </xf>
    <xf numFmtId="0" fontId="9" fillId="0" borderId="36" xfId="0" applyFont="1" applyBorder="1" applyAlignment="1">
      <alignment vertical="top" wrapText="1"/>
    </xf>
    <xf numFmtId="0" fontId="8" fillId="0" borderId="30" xfId="0" applyFont="1" applyBorder="1" applyAlignment="1">
      <alignment wrapText="1"/>
    </xf>
    <xf numFmtId="0" fontId="8" fillId="0" borderId="31" xfId="0" applyFont="1" applyBorder="1" applyAlignment="1">
      <alignment wrapText="1"/>
    </xf>
    <xf numFmtId="0" fontId="8" fillId="0" borderId="32" xfId="0" applyFont="1" applyBorder="1" applyAlignment="1">
      <alignment wrapText="1"/>
    </xf>
    <xf numFmtId="0" fontId="9" fillId="0" borderId="29" xfId="0" applyFont="1" applyBorder="1" applyAlignment="1">
      <alignment vertical="top" wrapText="1"/>
    </xf>
    <xf numFmtId="0" fontId="9" fillId="0" borderId="0" xfId="0" applyFont="1" applyBorder="1" applyAlignment="1">
      <alignment vertical="top" wrapText="1"/>
    </xf>
    <xf numFmtId="0" fontId="9" fillId="0" borderId="33" xfId="0" applyFont="1" applyBorder="1" applyAlignment="1">
      <alignment vertical="top" wrapText="1"/>
    </xf>
    <xf numFmtId="0" fontId="0" fillId="2" borderId="20" xfId="0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5" fillId="0" borderId="37" xfId="0" applyFont="1" applyBorder="1" applyAlignment="1">
      <alignment vertical="center" wrapText="1"/>
    </xf>
    <xf numFmtId="0" fontId="5" fillId="0" borderId="38" xfId="0" applyFont="1" applyBorder="1" applyAlignment="1">
      <alignment vertical="center" wrapText="1"/>
    </xf>
    <xf numFmtId="0" fontId="5" fillId="0" borderId="39" xfId="0" applyFont="1" applyBorder="1" applyAlignment="1">
      <alignment vertical="center" wrapText="1"/>
    </xf>
    <xf numFmtId="0" fontId="5" fillId="0" borderId="40" xfId="0" applyFont="1" applyBorder="1" applyAlignment="1">
      <alignment vertical="center" wrapText="1"/>
    </xf>
    <xf numFmtId="0" fontId="5" fillId="0" borderId="41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167" fontId="0" fillId="2" borderId="21" xfId="0" applyNumberFormat="1" applyFill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</xf>
    <xf numFmtId="0" fontId="0" fillId="0" borderId="20" xfId="0" applyBorder="1" applyAlignment="1" applyProtection="1"/>
    <xf numFmtId="0" fontId="0" fillId="0" borderId="18" xfId="0" applyBorder="1" applyAlignment="1" applyProtection="1"/>
    <xf numFmtId="0" fontId="0" fillId="0" borderId="20" xfId="0" applyBorder="1" applyAlignment="1" applyProtection="1"/>
    <xf numFmtId="0" fontId="0" fillId="0" borderId="20" xfId="0" applyBorder="1" applyAlignment="1" applyProtection="1">
      <alignment horizontal="left"/>
    </xf>
    <xf numFmtId="0" fontId="0" fillId="0" borderId="18" xfId="0" applyBorder="1" applyAlignment="1" applyProtection="1">
      <alignment horizontal="left"/>
    </xf>
    <xf numFmtId="0" fontId="0" fillId="0" borderId="15" xfId="0" applyBorder="1" applyAlignment="1" applyProtection="1"/>
    <xf numFmtId="0" fontId="0" fillId="0" borderId="16" xfId="0" applyBorder="1" applyAlignment="1" applyProtection="1"/>
    <xf numFmtId="0" fontId="14" fillId="2" borderId="20" xfId="0" applyFont="1" applyFill="1" applyBorder="1" applyAlignment="1" applyProtection="1">
      <alignment horizontal="left"/>
    </xf>
    <xf numFmtId="0" fontId="14" fillId="2" borderId="21" xfId="0" applyFont="1" applyFill="1" applyBorder="1" applyAlignment="1" applyProtection="1">
      <alignment horizontal="left"/>
    </xf>
    <xf numFmtId="164" fontId="0" fillId="2" borderId="17" xfId="0" applyNumberFormat="1" applyFill="1" applyBorder="1" applyProtection="1"/>
    <xf numFmtId="0" fontId="1" fillId="0" borderId="11" xfId="0" applyFont="1" applyBorder="1" applyAlignment="1" applyProtection="1">
      <alignment horizontal="left"/>
    </xf>
    <xf numFmtId="0" fontId="0" fillId="0" borderId="11" xfId="0" applyBorder="1" applyProtection="1"/>
    <xf numFmtId="2" fontId="0" fillId="0" borderId="11" xfId="0" applyNumberFormat="1" applyBorder="1" applyProtection="1"/>
    <xf numFmtId="0" fontId="0" fillId="2" borderId="17" xfId="0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40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663300"/>
      </font>
      <fill>
        <patternFill>
          <bgColor rgb="FFFFCC66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  <dxf>
      <font>
        <color rgb="FF800000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FFCC66"/>
      <color rgb="FF663300"/>
      <color rgb="FF9FC5E8"/>
      <color rgb="FF800000"/>
      <color rgb="FFFF5050"/>
      <color rgb="FFE0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Projectile!$L$35:$L$135</c:f>
              <c:numCache>
                <c:formatCode>General</c:formatCode>
                <c:ptCount val="101"/>
                <c:pt idx="0">
                  <c:v>0</c:v>
                </c:pt>
                <c:pt idx="1">
                  <c:v>1.5239256324291371E-2</c:v>
                </c:pt>
                <c:pt idx="2">
                  <c:v>3.0478512648582742E-2</c:v>
                </c:pt>
                <c:pt idx="3">
                  <c:v>4.5717768972874114E-2</c:v>
                </c:pt>
                <c:pt idx="4">
                  <c:v>6.0957025297165485E-2</c:v>
                </c:pt>
                <c:pt idx="5">
                  <c:v>7.6196281621456863E-2</c:v>
                </c:pt>
                <c:pt idx="6">
                  <c:v>9.1435537945748227E-2</c:v>
                </c:pt>
                <c:pt idx="7">
                  <c:v>0.10667479427003959</c:v>
                </c:pt>
                <c:pt idx="8">
                  <c:v>0.12191405059433097</c:v>
                </c:pt>
                <c:pt idx="9">
                  <c:v>0.13715330691862235</c:v>
                </c:pt>
                <c:pt idx="10">
                  <c:v>0.15239256324291373</c:v>
                </c:pt>
                <c:pt idx="11">
                  <c:v>0.16763181956720508</c:v>
                </c:pt>
                <c:pt idx="12">
                  <c:v>0.18287107589149645</c:v>
                </c:pt>
                <c:pt idx="13">
                  <c:v>0.19811033221578783</c:v>
                </c:pt>
                <c:pt idx="14">
                  <c:v>0.21334958854007918</c:v>
                </c:pt>
                <c:pt idx="15">
                  <c:v>0.22858884486437056</c:v>
                </c:pt>
                <c:pt idx="16">
                  <c:v>0.24382810118866194</c:v>
                </c:pt>
                <c:pt idx="17">
                  <c:v>0.25906735751295329</c:v>
                </c:pt>
                <c:pt idx="18">
                  <c:v>0.27430661383724469</c:v>
                </c:pt>
                <c:pt idx="19">
                  <c:v>0.28954587016153605</c:v>
                </c:pt>
                <c:pt idx="20">
                  <c:v>0.30478512648582745</c:v>
                </c:pt>
                <c:pt idx="21">
                  <c:v>0.3200243828101188</c:v>
                </c:pt>
                <c:pt idx="22">
                  <c:v>0.33526363913441015</c:v>
                </c:pt>
                <c:pt idx="23">
                  <c:v>0.35050289545870156</c:v>
                </c:pt>
                <c:pt idx="24">
                  <c:v>0.36574215178299291</c:v>
                </c:pt>
                <c:pt idx="25">
                  <c:v>0.38098140810728426</c:v>
                </c:pt>
                <c:pt idx="26">
                  <c:v>0.39622066443157566</c:v>
                </c:pt>
                <c:pt idx="27">
                  <c:v>0.41145992075586701</c:v>
                </c:pt>
                <c:pt idx="28">
                  <c:v>0.42669917708015836</c:v>
                </c:pt>
                <c:pt idx="29">
                  <c:v>0.44193843340444977</c:v>
                </c:pt>
                <c:pt idx="30">
                  <c:v>0.45717768972874112</c:v>
                </c:pt>
                <c:pt idx="31">
                  <c:v>0.47241694605303253</c:v>
                </c:pt>
                <c:pt idx="32">
                  <c:v>0.48765620237732388</c:v>
                </c:pt>
                <c:pt idx="33">
                  <c:v>0.50289545870161523</c:v>
                </c:pt>
                <c:pt idx="34">
                  <c:v>0.51813471502590658</c:v>
                </c:pt>
                <c:pt idx="35">
                  <c:v>0.53337397135019804</c:v>
                </c:pt>
                <c:pt idx="36">
                  <c:v>0.54861322767448939</c:v>
                </c:pt>
                <c:pt idx="37">
                  <c:v>0.56385248399878074</c:v>
                </c:pt>
                <c:pt idx="38">
                  <c:v>0.57909174032307209</c:v>
                </c:pt>
                <c:pt idx="39">
                  <c:v>0.59433099664736344</c:v>
                </c:pt>
                <c:pt idx="40">
                  <c:v>0.6095702529716549</c:v>
                </c:pt>
                <c:pt idx="41">
                  <c:v>0.62480950929594625</c:v>
                </c:pt>
                <c:pt idx="42">
                  <c:v>0.6400487656202376</c:v>
                </c:pt>
                <c:pt idx="43">
                  <c:v>0.65528802194452895</c:v>
                </c:pt>
                <c:pt idx="44">
                  <c:v>0.6705272782688203</c:v>
                </c:pt>
                <c:pt idx="45">
                  <c:v>0.68576653459311165</c:v>
                </c:pt>
                <c:pt idx="46">
                  <c:v>0.70100579091740312</c:v>
                </c:pt>
                <c:pt idx="47">
                  <c:v>0.71624504724169447</c:v>
                </c:pt>
                <c:pt idx="48">
                  <c:v>0.73148430356598582</c:v>
                </c:pt>
                <c:pt idx="49">
                  <c:v>0.74672355989027717</c:v>
                </c:pt>
                <c:pt idx="50">
                  <c:v>0.76196281621456852</c:v>
                </c:pt>
                <c:pt idx="51">
                  <c:v>0.77720207253885998</c:v>
                </c:pt>
                <c:pt idx="52">
                  <c:v>0.79244132886315133</c:v>
                </c:pt>
                <c:pt idx="53">
                  <c:v>0.80768058518744268</c:v>
                </c:pt>
                <c:pt idx="54">
                  <c:v>0.82291984151173403</c:v>
                </c:pt>
                <c:pt idx="55">
                  <c:v>0.83815909783602538</c:v>
                </c:pt>
                <c:pt idx="56">
                  <c:v>0.85339835416031673</c:v>
                </c:pt>
                <c:pt idx="57">
                  <c:v>0.86863761048460819</c:v>
                </c:pt>
                <c:pt idx="58">
                  <c:v>0.88387686680889954</c:v>
                </c:pt>
                <c:pt idx="59">
                  <c:v>0.89911612313319089</c:v>
                </c:pt>
                <c:pt idx="60">
                  <c:v>0.91435537945748224</c:v>
                </c:pt>
                <c:pt idx="61">
                  <c:v>0.92959463578177359</c:v>
                </c:pt>
                <c:pt idx="62">
                  <c:v>0.94483389210606505</c:v>
                </c:pt>
                <c:pt idx="63">
                  <c:v>0.9600731484303564</c:v>
                </c:pt>
                <c:pt idx="64">
                  <c:v>0.97531240475464775</c:v>
                </c:pt>
                <c:pt idx="65">
                  <c:v>0.99055166107893911</c:v>
                </c:pt>
                <c:pt idx="66">
                  <c:v>1.0057909174032305</c:v>
                </c:pt>
                <c:pt idx="67">
                  <c:v>1.0210301737275218</c:v>
                </c:pt>
                <c:pt idx="68">
                  <c:v>1.0362694300518132</c:v>
                </c:pt>
                <c:pt idx="69">
                  <c:v>1.0515086863761045</c:v>
                </c:pt>
                <c:pt idx="70">
                  <c:v>1.0667479427003961</c:v>
                </c:pt>
                <c:pt idx="71">
                  <c:v>1.0819871990246874</c:v>
                </c:pt>
                <c:pt idx="72">
                  <c:v>1.0972264553489788</c:v>
                </c:pt>
                <c:pt idx="73">
                  <c:v>1.1124657116732701</c:v>
                </c:pt>
                <c:pt idx="74">
                  <c:v>1.1277049679975615</c:v>
                </c:pt>
                <c:pt idx="75">
                  <c:v>1.1429442243218528</c:v>
                </c:pt>
                <c:pt idx="76">
                  <c:v>1.1581834806461442</c:v>
                </c:pt>
                <c:pt idx="77">
                  <c:v>1.1734227369704355</c:v>
                </c:pt>
                <c:pt idx="78">
                  <c:v>1.1886619932947269</c:v>
                </c:pt>
                <c:pt idx="79">
                  <c:v>1.2039012496190182</c:v>
                </c:pt>
                <c:pt idx="80">
                  <c:v>1.2191405059433098</c:v>
                </c:pt>
                <c:pt idx="81">
                  <c:v>1.2343797622676012</c:v>
                </c:pt>
                <c:pt idx="82">
                  <c:v>1.2496190185918925</c:v>
                </c:pt>
                <c:pt idx="83">
                  <c:v>1.2648582749161839</c:v>
                </c:pt>
                <c:pt idx="84">
                  <c:v>1.2800975312404752</c:v>
                </c:pt>
                <c:pt idx="85">
                  <c:v>1.2953367875647666</c:v>
                </c:pt>
                <c:pt idx="86">
                  <c:v>1.3105760438890579</c:v>
                </c:pt>
                <c:pt idx="87">
                  <c:v>1.3258153002133493</c:v>
                </c:pt>
                <c:pt idx="88">
                  <c:v>1.3410545565376406</c:v>
                </c:pt>
                <c:pt idx="89">
                  <c:v>1.356293812861932</c:v>
                </c:pt>
                <c:pt idx="90">
                  <c:v>1.3715330691862233</c:v>
                </c:pt>
                <c:pt idx="91">
                  <c:v>1.3867723255105149</c:v>
                </c:pt>
                <c:pt idx="92">
                  <c:v>1.4020115818348062</c:v>
                </c:pt>
                <c:pt idx="93">
                  <c:v>1.4172508381590976</c:v>
                </c:pt>
                <c:pt idx="94">
                  <c:v>1.4324900944833889</c:v>
                </c:pt>
                <c:pt idx="95">
                  <c:v>1.4477293508076803</c:v>
                </c:pt>
                <c:pt idx="96">
                  <c:v>1.4629686071319716</c:v>
                </c:pt>
                <c:pt idx="97">
                  <c:v>1.478207863456263</c:v>
                </c:pt>
                <c:pt idx="98">
                  <c:v>1.4934471197805543</c:v>
                </c:pt>
                <c:pt idx="99">
                  <c:v>1.5086863761048457</c:v>
                </c:pt>
                <c:pt idx="100">
                  <c:v>1.523925632429137</c:v>
                </c:pt>
              </c:numCache>
            </c:numRef>
          </c:xVal>
          <c:yVal>
            <c:numRef>
              <c:f>Projectile!$M$35:$M$135</c:f>
              <c:numCache>
                <c:formatCode>General</c:formatCode>
                <c:ptCount val="101"/>
                <c:pt idx="0">
                  <c:v>0.3047851264858274</c:v>
                </c:pt>
                <c:pt idx="1">
                  <c:v>0.34618888115001428</c:v>
                </c:pt>
                <c:pt idx="2">
                  <c:v>0.38666111986203189</c:v>
                </c:pt>
                <c:pt idx="3">
                  <c:v>0.4262018426218801</c:v>
                </c:pt>
                <c:pt idx="4">
                  <c:v>0.46481104942955898</c:v>
                </c:pt>
                <c:pt idx="5">
                  <c:v>0.50248874028506862</c:v>
                </c:pt>
                <c:pt idx="6">
                  <c:v>0.53923491518840883</c:v>
                </c:pt>
                <c:pt idx="7">
                  <c:v>0.57504957413957958</c:v>
                </c:pt>
                <c:pt idx="8">
                  <c:v>0.6099327171385811</c:v>
                </c:pt>
                <c:pt idx="9">
                  <c:v>0.6438843441854134</c:v>
                </c:pt>
                <c:pt idx="10">
                  <c:v>0.67690445528007626</c:v>
                </c:pt>
                <c:pt idx="11">
                  <c:v>0.70899305042256966</c:v>
                </c:pt>
                <c:pt idx="12">
                  <c:v>0.74015012961289406</c:v>
                </c:pt>
                <c:pt idx="13">
                  <c:v>0.77037569285104879</c:v>
                </c:pt>
                <c:pt idx="14">
                  <c:v>0.79966974013703429</c:v>
                </c:pt>
                <c:pt idx="15">
                  <c:v>0.82803227147085057</c:v>
                </c:pt>
                <c:pt idx="16">
                  <c:v>0.85546328685249717</c:v>
                </c:pt>
                <c:pt idx="17">
                  <c:v>0.88196278628197478</c:v>
                </c:pt>
                <c:pt idx="18">
                  <c:v>0.90753076975928293</c:v>
                </c:pt>
                <c:pt idx="19">
                  <c:v>0.93216723728442163</c:v>
                </c:pt>
                <c:pt idx="20">
                  <c:v>0.95587218885739111</c:v>
                </c:pt>
                <c:pt idx="21">
                  <c:v>0.97864562447819137</c:v>
                </c:pt>
                <c:pt idx="22">
                  <c:v>1.0004875441468219</c:v>
                </c:pt>
                <c:pt idx="23">
                  <c:v>1.0213979478632835</c:v>
                </c:pt>
                <c:pt idx="24">
                  <c:v>1.0413768356275757</c:v>
                </c:pt>
                <c:pt idx="25">
                  <c:v>1.0604242074396986</c:v>
                </c:pt>
                <c:pt idx="26">
                  <c:v>1.0785400632996518</c:v>
                </c:pt>
                <c:pt idx="27">
                  <c:v>1.095724403207436</c:v>
                </c:pt>
                <c:pt idx="28">
                  <c:v>1.1119772271630508</c:v>
                </c:pt>
                <c:pt idx="29">
                  <c:v>1.1272985351664959</c:v>
                </c:pt>
                <c:pt idx="30">
                  <c:v>1.1416883272177722</c:v>
                </c:pt>
                <c:pt idx="31">
                  <c:v>1.1551466033168789</c:v>
                </c:pt>
                <c:pt idx="32">
                  <c:v>1.1676733634638161</c:v>
                </c:pt>
                <c:pt idx="33">
                  <c:v>1.1792686076585845</c:v>
                </c:pt>
                <c:pt idx="34">
                  <c:v>1.1899323359011831</c:v>
                </c:pt>
                <c:pt idx="35">
                  <c:v>1.1996645481916124</c:v>
                </c:pt>
                <c:pt idx="36">
                  <c:v>1.2084652445298725</c:v>
                </c:pt>
                <c:pt idx="37">
                  <c:v>1.2163344249159631</c:v>
                </c:pt>
                <c:pt idx="38">
                  <c:v>1.2232720893498843</c:v>
                </c:pt>
                <c:pt idx="39">
                  <c:v>1.2292782378316365</c:v>
                </c:pt>
                <c:pt idx="40">
                  <c:v>1.2343528703612192</c:v>
                </c:pt>
                <c:pt idx="41">
                  <c:v>1.2384959869386325</c:v>
                </c:pt>
                <c:pt idx="42">
                  <c:v>1.2417075875638766</c:v>
                </c:pt>
                <c:pt idx="43">
                  <c:v>1.2439876722369512</c:v>
                </c:pt>
                <c:pt idx="44">
                  <c:v>1.2453362409578566</c:v>
                </c:pt>
                <c:pt idx="45">
                  <c:v>1.2457532937265925</c:v>
                </c:pt>
                <c:pt idx="46">
                  <c:v>1.2452388305431592</c:v>
                </c:pt>
                <c:pt idx="47">
                  <c:v>1.2437928514075565</c:v>
                </c:pt>
                <c:pt idx="48">
                  <c:v>1.2414153563197847</c:v>
                </c:pt>
                <c:pt idx="49">
                  <c:v>1.2381063452798431</c:v>
                </c:pt>
                <c:pt idx="50">
                  <c:v>1.2338658182877327</c:v>
                </c:pt>
                <c:pt idx="51">
                  <c:v>1.2286937753434524</c:v>
                </c:pt>
                <c:pt idx="52">
                  <c:v>1.2225902164470028</c:v>
                </c:pt>
                <c:pt idx="53">
                  <c:v>1.2155551415983843</c:v>
                </c:pt>
                <c:pt idx="54">
                  <c:v>1.2075885507975963</c:v>
                </c:pt>
                <c:pt idx="55">
                  <c:v>1.1986904440446389</c:v>
                </c:pt>
                <c:pt idx="56">
                  <c:v>1.1888608213395122</c:v>
                </c:pt>
                <c:pt idx="57">
                  <c:v>1.1780996826822159</c:v>
                </c:pt>
                <c:pt idx="58">
                  <c:v>1.1664070280727501</c:v>
                </c:pt>
                <c:pt idx="59">
                  <c:v>1.1537828575111155</c:v>
                </c:pt>
                <c:pt idx="60">
                  <c:v>1.1402271709973117</c:v>
                </c:pt>
                <c:pt idx="61">
                  <c:v>1.1257399685313381</c:v>
                </c:pt>
                <c:pt idx="62">
                  <c:v>1.1103212501131952</c:v>
                </c:pt>
                <c:pt idx="63">
                  <c:v>1.0939710157428832</c:v>
                </c:pt>
                <c:pt idx="64">
                  <c:v>1.0766892654204017</c:v>
                </c:pt>
                <c:pt idx="65">
                  <c:v>1.0584759991457511</c:v>
                </c:pt>
                <c:pt idx="66">
                  <c:v>1.0393312169189315</c:v>
                </c:pt>
                <c:pt idx="67">
                  <c:v>1.0192549187399416</c:v>
                </c:pt>
                <c:pt idx="68">
                  <c:v>0.99824710460878308</c:v>
                </c:pt>
                <c:pt idx="69">
                  <c:v>0.9763077745254547</c:v>
                </c:pt>
                <c:pt idx="70">
                  <c:v>0.95343692848995687</c:v>
                </c:pt>
                <c:pt idx="71">
                  <c:v>0.92963456650229004</c:v>
                </c:pt>
                <c:pt idx="72">
                  <c:v>0.90490068856245376</c:v>
                </c:pt>
                <c:pt idx="73">
                  <c:v>0.87923529467044848</c:v>
                </c:pt>
                <c:pt idx="74">
                  <c:v>0.8526383848262733</c:v>
                </c:pt>
                <c:pt idx="75">
                  <c:v>0.82510995902992956</c:v>
                </c:pt>
                <c:pt idx="76">
                  <c:v>0.79665001728141549</c:v>
                </c:pt>
                <c:pt idx="77">
                  <c:v>0.7672585595807333</c:v>
                </c:pt>
                <c:pt idx="78">
                  <c:v>0.73693558592788078</c:v>
                </c:pt>
                <c:pt idx="79">
                  <c:v>0.70568109632285925</c:v>
                </c:pt>
                <c:pt idx="80">
                  <c:v>0.67349509076566827</c:v>
                </c:pt>
                <c:pt idx="81">
                  <c:v>0.64037756925630784</c:v>
                </c:pt>
                <c:pt idx="82">
                  <c:v>0.60632853179477841</c:v>
                </c:pt>
                <c:pt idx="83">
                  <c:v>0.57134797838107954</c:v>
                </c:pt>
                <c:pt idx="84">
                  <c:v>0.53543590901521121</c:v>
                </c:pt>
                <c:pt idx="85">
                  <c:v>0.49859232369717382</c:v>
                </c:pt>
                <c:pt idx="86">
                  <c:v>0.4608172224269666</c:v>
                </c:pt>
                <c:pt idx="87">
                  <c:v>0.42211060520459082</c:v>
                </c:pt>
                <c:pt idx="88">
                  <c:v>0.38247247203004514</c:v>
                </c:pt>
                <c:pt idx="89">
                  <c:v>0.34190282290333002</c:v>
                </c:pt>
                <c:pt idx="90">
                  <c:v>0.30040165782444633</c:v>
                </c:pt>
                <c:pt idx="91">
                  <c:v>0.25796897679339187</c:v>
                </c:pt>
                <c:pt idx="92">
                  <c:v>0.21460477981016884</c:v>
                </c:pt>
                <c:pt idx="93">
                  <c:v>0.17030906687477682</c:v>
                </c:pt>
                <c:pt idx="94">
                  <c:v>0.12508183798721489</c:v>
                </c:pt>
                <c:pt idx="95">
                  <c:v>7.8923093147483525E-2</c:v>
                </c:pt>
                <c:pt idx="96">
                  <c:v>3.1832832355584484E-2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xVal>
          <c:yVal>
            <c:numRef>
              <c:f>Projectile!$Q$33</c:f>
              <c:numCache>
                <c:formatCode>General</c:formatCode>
                <c:ptCount val="1"/>
                <c:pt idx="0">
                  <c:v>1.523925632429137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55392"/>
        <c:axId val="151753856"/>
      </c:scatterChart>
      <c:valAx>
        <c:axId val="1517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753856"/>
        <c:crosses val="autoZero"/>
        <c:crossBetween val="midCat"/>
      </c:valAx>
      <c:valAx>
        <c:axId val="151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175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B$4" lockText="1" noThreeD="1"/>
</file>

<file path=xl/ctrlProps/ctrlProp2.xml><?xml version="1.0" encoding="utf-8"?>
<formControlPr xmlns="http://schemas.microsoft.com/office/spreadsheetml/2009/9/main" objectType="CheckBox" checked="Checked" fmlaLink="$B$4" lockText="1" noThreeD="1"/>
</file>

<file path=xl/ctrlProps/ctrlProp3.xml><?xml version="1.0" encoding="utf-8"?>
<formControlPr xmlns="http://schemas.microsoft.com/office/spreadsheetml/2009/9/main" objectType="CheckBox" fmlaLink="$B$4" lockText="1" noThreeD="1"/>
</file>

<file path=xl/ctrlProps/ctrlProp4.xml><?xml version="1.0" encoding="utf-8"?>
<formControlPr xmlns="http://schemas.microsoft.com/office/spreadsheetml/2009/9/main" objectType="CheckBox" checked="Checked" fmlaLink="$D$23" lockText="1" noThreeD="1"/>
</file>

<file path=xl/ctrlProps/ctrlProp5.xml><?xml version="1.0" encoding="utf-8"?>
<formControlPr xmlns="http://schemas.microsoft.com/office/spreadsheetml/2009/9/main" objectType="CheckBox" fmlaLink="$D$24" lockText="1" noThreeD="1"/>
</file>

<file path=xl/ctrlProps/ctrlProp6.xml><?xml version="1.0" encoding="utf-8"?>
<formControlPr xmlns="http://schemas.microsoft.com/office/spreadsheetml/2009/9/main" objectType="CheckBox" checked="Checked" fmlaLink="$B$4" lockText="1" noThreeD="1"/>
</file>

<file path=xl/ctrlProps/ctrlProp7.xml><?xml version="1.0" encoding="utf-8"?>
<formControlPr xmlns="http://schemas.microsoft.com/office/spreadsheetml/2009/9/main" objectType="CheckBox" checked="Checked" fmlaLink="$B$4" lockText="1" noThreeD="1"/>
</file>

<file path=xl/ctrlProps/ctrlProp8.xml><?xml version="1.0" encoding="utf-8"?>
<formControlPr xmlns="http://schemas.microsoft.com/office/spreadsheetml/2009/9/main" objectType="CheckBox" checked="Checked" fmlaLink="$B$4" lockText="1" noThreeD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2</xdr:col>
          <xdr:colOff>9525</xdr:colOff>
          <xdr:row>4</xdr:row>
          <xdr:rowOff>19050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3073" name="Metric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171450</xdr:rowOff>
        </xdr:from>
        <xdr:to>
          <xdr:col>2</xdr:col>
          <xdr:colOff>9525</xdr:colOff>
          <xdr:row>4</xdr:row>
          <xdr:rowOff>9525</xdr:rowOff>
        </xdr:to>
        <xdr:sp macro="" textlink="">
          <xdr:nvSpPr>
            <xdr:cNvPr id="5121" name="Metric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21</xdr:row>
          <xdr:rowOff>180975</xdr:rowOff>
        </xdr:from>
        <xdr:to>
          <xdr:col>3</xdr:col>
          <xdr:colOff>228600</xdr:colOff>
          <xdr:row>23</xdr:row>
          <xdr:rowOff>9525</xdr:rowOff>
        </xdr:to>
        <xdr:sp macro="" textlink="">
          <xdr:nvSpPr>
            <xdr:cNvPr id="5126" name="Shifting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180975</xdr:rowOff>
        </xdr:from>
        <xdr:to>
          <xdr:col>3</xdr:col>
          <xdr:colOff>228600</xdr:colOff>
          <xdr:row>24</xdr:row>
          <xdr:rowOff>9525</xdr:rowOff>
        </xdr:to>
        <xdr:sp macro="" textlink="">
          <xdr:nvSpPr>
            <xdr:cNvPr id="5127" name="2Wheel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6145" name="Metric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7169" name="Metric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7</xdr:col>
      <xdr:colOff>609598</xdr:colOff>
      <xdr:row>5</xdr:row>
      <xdr:rowOff>238124</xdr:rowOff>
    </xdr:from>
    <xdr:to>
      <xdr:col>16</xdr:col>
      <xdr:colOff>200023</xdr:colOff>
      <xdr:row>29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1</xdr:col>
          <xdr:colOff>209550</xdr:colOff>
          <xdr:row>4</xdr:row>
          <xdr:rowOff>0</xdr:rowOff>
        </xdr:to>
        <xdr:sp macro="" textlink="">
          <xdr:nvSpPr>
            <xdr:cNvPr id="9217" name="Metric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P27"/>
  <sheetViews>
    <sheetView zoomScaleNormal="100" workbookViewId="0">
      <selection activeCell="G10" sqref="G10"/>
    </sheetView>
  </sheetViews>
  <sheetFormatPr defaultRowHeight="15" x14ac:dyDescent="0.25"/>
  <cols>
    <col min="1" max="1" width="7.140625" customWidth="1"/>
    <col min="2" max="2" width="3.28515625" customWidth="1"/>
    <col min="3" max="3" width="19.42578125" customWidth="1"/>
    <col min="4" max="4" width="9.140625" customWidth="1"/>
    <col min="7" max="7" width="22" customWidth="1"/>
    <col min="8" max="15" width="11.42578125" customWidth="1"/>
    <col min="16" max="16" width="12" customWidth="1"/>
  </cols>
  <sheetData>
    <row r="2" spans="2:16" ht="31.5" x14ac:dyDescent="0.5">
      <c r="C2" s="1" t="s">
        <v>0</v>
      </c>
    </row>
    <row r="4" spans="2:16" x14ac:dyDescent="0.25">
      <c r="B4" s="62" t="b">
        <v>0</v>
      </c>
      <c r="C4" t="s">
        <v>1</v>
      </c>
    </row>
    <row r="6" spans="2:16" x14ac:dyDescent="0.25">
      <c r="C6" s="135" t="s">
        <v>10</v>
      </c>
      <c r="D6" s="136"/>
      <c r="E6" s="23" t="s">
        <v>35</v>
      </c>
      <c r="G6" s="14"/>
      <c r="H6" s="46" t="s">
        <v>44</v>
      </c>
      <c r="I6" s="46" t="s">
        <v>45</v>
      </c>
      <c r="J6" s="46" t="s">
        <v>46</v>
      </c>
      <c r="K6" s="46" t="s">
        <v>47</v>
      </c>
      <c r="L6" s="46" t="s">
        <v>48</v>
      </c>
      <c r="M6" s="46" t="s">
        <v>49</v>
      </c>
      <c r="N6" s="46" t="s">
        <v>50</v>
      </c>
      <c r="O6" s="46" t="s">
        <v>51</v>
      </c>
      <c r="P6" s="46" t="s">
        <v>52</v>
      </c>
    </row>
    <row r="7" spans="2:16" x14ac:dyDescent="0.25">
      <c r="C7" s="24" t="s">
        <v>2</v>
      </c>
      <c r="D7" s="37">
        <f>VLOOKUP($C$6, MotorSpecs, 2, FALSE)</f>
        <v>18730</v>
      </c>
      <c r="E7" s="38">
        <f>D7*(D14/12)</f>
        <v>17169.166666666664</v>
      </c>
      <c r="G7" s="44" t="s">
        <v>39</v>
      </c>
      <c r="H7" s="47">
        <f>I17</f>
        <v>20</v>
      </c>
      <c r="I7" s="47">
        <f>$E$17*I13*IF($B$4, 2.205, 1)/$E$8*0.113</f>
        <v>17.362355953905247</v>
      </c>
      <c r="J7" s="47">
        <f>$E$17*$E$18/8.8507/((SQRT($E$9)*$E$8)/(SQRT($E$10)+SQRT($E$9)))</f>
        <v>128.77534742648999</v>
      </c>
      <c r="K7" s="47">
        <f>$E$17*K13*IF($B$4, 2.205, 1)/$E$8*0.113</f>
        <v>8.6811779769526236</v>
      </c>
      <c r="L7" s="47">
        <f>($E$7*$E$8+SQRT(($E$7*$E$8)^2-27.119*$E$18*$E$17*L9*$E$7*$E$8))/(120*L9*$E$8)</f>
        <v>277.19127047626762</v>
      </c>
      <c r="M7" s="47">
        <f>($E$7*$E$8+SQRT(($E$7*$E$8)^2-27.119*$E$18*$E$17*M9*$E$7*$E$8))/(120*M9*$E$8)</f>
        <v>90.28181948411968</v>
      </c>
      <c r="N7" s="47">
        <f>($E$10-$E$9)/$E$8*$E$17*$E$18/$D$13/0.2248/39.37/(N12-$E$9/$D$13)</f>
        <v>36.128396472296053</v>
      </c>
      <c r="O7" s="47">
        <f>$E$17*O13*IF($B$4, 2.205, 1)/$E$8*0.113</f>
        <v>105.04225352112672</v>
      </c>
      <c r="P7" s="47">
        <f>12*0.113*$E$17*$E$18/($D$15*$D$8*$D$13*P14)</f>
        <v>9.5492957746478861</v>
      </c>
    </row>
    <row r="8" spans="2:16" x14ac:dyDescent="0.25">
      <c r="C8" s="25" t="s">
        <v>3</v>
      </c>
      <c r="D8" s="36">
        <f>VLOOKUP($C$6, MotorSpecs, 3, FALSE)</f>
        <v>0.71</v>
      </c>
      <c r="E8" s="28">
        <f>D8*D13*(D14/12)*D15</f>
        <v>1.0413333333333332</v>
      </c>
      <c r="G8" s="42" t="s">
        <v>40</v>
      </c>
      <c r="H8" s="48">
        <f t="shared" ref="H8:P8" si="0">$E$7/H7/60</f>
        <v>14.307638888888887</v>
      </c>
      <c r="I8" s="48">
        <f t="shared" si="0"/>
        <v>16.481218248115372</v>
      </c>
      <c r="J8" s="48">
        <f t="shared" si="0"/>
        <v>2.2221083731971674</v>
      </c>
      <c r="K8" s="48">
        <f t="shared" si="0"/>
        <v>32.962436496230744</v>
      </c>
      <c r="L8" s="48">
        <f t="shared" si="0"/>
        <v>1.0323296880385611</v>
      </c>
      <c r="M8" s="48">
        <f t="shared" si="0"/>
        <v>3.1695504079657058</v>
      </c>
      <c r="N8" s="48">
        <f t="shared" si="0"/>
        <v>7.9204394802632656</v>
      </c>
      <c r="O8" s="48">
        <f t="shared" si="0"/>
        <v>2.7241683054736159</v>
      </c>
      <c r="P8" s="48">
        <f t="shared" si="0"/>
        <v>29.965851360209765</v>
      </c>
    </row>
    <row r="9" spans="2:16" x14ac:dyDescent="0.25">
      <c r="C9" s="25" t="s">
        <v>4</v>
      </c>
      <c r="D9" s="32">
        <f>VLOOKUP($C$6, MotorSpecs, 4, FALSE)</f>
        <v>0.7</v>
      </c>
      <c r="E9" s="33">
        <f>D9*D13*(D14/12)</f>
        <v>1.2833333333333332</v>
      </c>
      <c r="G9" s="42" t="s">
        <v>41</v>
      </c>
      <c r="H9" s="49">
        <f>H8*(1-$D$18/H13)</f>
        <v>8.0978552381385214</v>
      </c>
      <c r="I9" s="49">
        <f t="shared" ref="I9:K9" si="1">I8*(1-$D$18/I13)</f>
        <v>8.240609124057686</v>
      </c>
      <c r="J9" s="49">
        <f t="shared" si="1"/>
        <v>2.0723224500308213</v>
      </c>
      <c r="K9" s="49">
        <f t="shared" si="1"/>
        <v>0</v>
      </c>
      <c r="L9" s="58">
        <v>1</v>
      </c>
      <c r="M9" s="49">
        <f>M11*IF($B$4, 3.281, 1)/$E$17/2/PI()*12</f>
        <v>2.8647889756541165</v>
      </c>
      <c r="N9" s="49">
        <f>N8*(1-$D$18/N13)</f>
        <v>6.0174381647775208</v>
      </c>
      <c r="O9" s="49">
        <f>O8*(1-$D$18/O13)</f>
        <v>2.4990304289881928</v>
      </c>
      <c r="P9" s="49">
        <f>P8*(1-$D$18/P13)</f>
        <v>2.7266876012513523</v>
      </c>
    </row>
    <row r="10" spans="2:16" x14ac:dyDescent="0.25">
      <c r="C10" s="25" t="s">
        <v>5</v>
      </c>
      <c r="D10" s="34">
        <f>VLOOKUP($C$6, MotorSpecs, 5, FALSE)</f>
        <v>134</v>
      </c>
      <c r="E10" s="35">
        <f>D10*D13*(D14/12)</f>
        <v>245.66666666666666</v>
      </c>
      <c r="G10" s="42" t="str">
        <f>"Free Lin. Speed (" &amp; IF($B$4, "m", "ft") &amp; "/s)"</f>
        <v>Free Lin. Speed (ft/s)</v>
      </c>
      <c r="H10" s="49">
        <f>H8*2*PI()*$E$17/12/IF($B$4, 3.281, 1)</f>
        <v>14.982924407849646</v>
      </c>
      <c r="I10" s="49">
        <f t="shared" ref="I10:L10" si="2">I8*2*PI()*$E$17/12/IF($B$4, 3.281, 1)</f>
        <v>17.259091390163093</v>
      </c>
      <c r="J10" s="49">
        <f t="shared" si="2"/>
        <v>2.3269864469055284</v>
      </c>
      <c r="K10" s="49">
        <f t="shared" si="2"/>
        <v>34.518182780326185</v>
      </c>
      <c r="L10" s="49">
        <f t="shared" si="2"/>
        <v>1.0810531213415284</v>
      </c>
      <c r="M10" s="49">
        <f t="shared" ref="M10" si="3">M8*2*PI()*$D$17/12/IF($B$4, 3.281, 1)</f>
        <v>3.3191454256158632</v>
      </c>
      <c r="N10" s="49">
        <f t="shared" ref="N10:P11" si="4">N8*2*PI()*$E$17/12/IF($B$4, 3.281, 1)</f>
        <v>8.2942648281325422</v>
      </c>
      <c r="O10" s="49">
        <f t="shared" si="4"/>
        <v>2.8527423785393542</v>
      </c>
      <c r="P10" s="49">
        <f t="shared" si="4"/>
        <v>31.380166163932895</v>
      </c>
    </row>
    <row r="11" spans="2:16" x14ac:dyDescent="0.25">
      <c r="C11" s="26" t="s">
        <v>6</v>
      </c>
      <c r="D11" s="30">
        <f>VLOOKUP($C$6, MotorSpecs, 6, FALSE)</f>
        <v>348.14867987694288</v>
      </c>
      <c r="E11" s="31">
        <f>(E7/60*2*PI())*E8/4</f>
        <v>468.06655850122308</v>
      </c>
      <c r="G11" s="42" t="str">
        <f>"Loaded Lin. Speed (" &amp; IF($B$4, "m", "ft") &amp; "/s)"</f>
        <v>Loaded Lin. Speed (ft/s)</v>
      </c>
      <c r="H11" s="49">
        <f>H9*2*PI()*$E$17/12/IF($B$4, 3.281, 1)</f>
        <v>8.4800541753231986</v>
      </c>
      <c r="I11" s="49">
        <f t="shared" ref="I11:L11" si="5">I9*2*PI()*$E$17/12/IF($B$4, 3.281, 1)</f>
        <v>8.6295456950815463</v>
      </c>
      <c r="J11" s="49">
        <f t="shared" si="5"/>
        <v>2.1701309949620091</v>
      </c>
      <c r="K11" s="49">
        <f t="shared" si="5"/>
        <v>0</v>
      </c>
      <c r="L11" s="49">
        <f t="shared" si="5"/>
        <v>1.0471975511965974</v>
      </c>
      <c r="M11" s="58">
        <v>2.9999999999999996</v>
      </c>
      <c r="N11" s="49">
        <f t="shared" si="4"/>
        <v>6.3014465106319664</v>
      </c>
      <c r="O11" s="49">
        <f t="shared" si="4"/>
        <v>2.6169785456022177</v>
      </c>
      <c r="P11" s="49">
        <f t="shared" si="4"/>
        <v>2.8553805789085405</v>
      </c>
    </row>
    <row r="12" spans="2:16" x14ac:dyDescent="0.25">
      <c r="G12" s="42" t="s">
        <v>42</v>
      </c>
      <c r="H12" s="50">
        <f t="shared" ref="H12:M12" si="6">($E$10-$E$9)/$E$8*$E$17*$E$18/H7/$D$13/0.2248/39.37 + $E$9/$D$13</f>
        <v>53.675141988291259</v>
      </c>
      <c r="I12" s="50">
        <f t="shared" si="6"/>
        <v>61.731849891133926</v>
      </c>
      <c r="J12" s="50">
        <f t="shared" si="6"/>
        <v>8.8782548617632742</v>
      </c>
      <c r="K12" s="50">
        <f t="shared" si="6"/>
        <v>122.82203311560119</v>
      </c>
      <c r="L12" s="50">
        <f t="shared" si="6"/>
        <v>4.4681562404907575</v>
      </c>
      <c r="M12" s="50">
        <f t="shared" si="6"/>
        <v>12.390095226184794</v>
      </c>
      <c r="N12" s="59">
        <v>30</v>
      </c>
      <c r="O12" s="50">
        <f t="shared" ref="O12:P12" si="7">($E$10-$E$9)/$E$8*$E$17*$E$18/O7/$D$13/0.2248/39.37 + $E$9/$D$13</f>
        <v>10.739217612859605</v>
      </c>
      <c r="P12" s="50">
        <f t="shared" si="7"/>
        <v>111.71472707478897</v>
      </c>
    </row>
    <row r="13" spans="2:16" x14ac:dyDescent="0.25">
      <c r="C13" s="27" t="s">
        <v>36</v>
      </c>
      <c r="D13" s="54">
        <v>2</v>
      </c>
      <c r="G13" s="42" t="str">
        <f>"Stall Load (" &amp; IF($B$4, "kgf", "lbf") &amp; ")"</f>
        <v>Stall Load (lbf)</v>
      </c>
      <c r="H13" s="53">
        <f>$E$8*H7*39.37*0.2248/$E$17/IF($B$4, 2.205, 1)</f>
        <v>92.161915413333347</v>
      </c>
      <c r="I13" s="53">
        <f>2*D18</f>
        <v>80</v>
      </c>
      <c r="J13" s="53">
        <f>$E$8*J7*39.37*0.2248/$E$17/IF($B$4, 2.205, 1)</f>
        <v>593.40913384213923</v>
      </c>
      <c r="K13" s="53">
        <f>D18</f>
        <v>40</v>
      </c>
      <c r="L13" s="53">
        <f>$E$8*L7*39.37*0.2248/$E$17/IF($B$4, 2.205, 1)</f>
        <v>1277.323921147409</v>
      </c>
      <c r="M13" s="53">
        <f>$E$8*M7*39.37*0.2248/$E$17/IF($B$4, 2.205, 1)</f>
        <v>416.02727053286338</v>
      </c>
      <c r="N13" s="53">
        <f>$E$8*N7*39.37*0.2248/$E$17/IF($B$4, 2.205, 1)</f>
        <v>166.48311098495603</v>
      </c>
      <c r="O13" s="60">
        <v>483.99999999999994</v>
      </c>
      <c r="P13" s="53">
        <f>$E$8*P7*39.37*0.2248/$E$17/IF($B$4, 2.205, 1)</f>
        <v>44.004069471999998</v>
      </c>
    </row>
    <row r="14" spans="2:16" x14ac:dyDescent="0.25">
      <c r="C14" s="27" t="s">
        <v>37</v>
      </c>
      <c r="D14" s="54">
        <v>11</v>
      </c>
      <c r="G14" s="43" t="s">
        <v>43</v>
      </c>
      <c r="H14" s="52">
        <f t="shared" ref="H14:O14" si="8">12*0.113*$E$17*$E$18/($D$15*$D$8*$D$13*H7)</f>
        <v>4.7746478873239431</v>
      </c>
      <c r="I14" s="52">
        <f t="shared" si="8"/>
        <v>5.5</v>
      </c>
      <c r="J14" s="52">
        <f t="shared" si="8"/>
        <v>0.74154688498114885</v>
      </c>
      <c r="K14" s="52">
        <f t="shared" si="8"/>
        <v>11</v>
      </c>
      <c r="L14" s="52">
        <f t="shared" si="8"/>
        <v>0.34450203854689831</v>
      </c>
      <c r="M14" s="52">
        <f t="shared" si="8"/>
        <v>1.0577207935344703</v>
      </c>
      <c r="N14" s="52">
        <f t="shared" ref="N14" si="9">12*0.113*$E$17*$E$18/($D$15*$D$8*$D$13*N7)</f>
        <v>2.6431551652093028</v>
      </c>
      <c r="O14" s="52">
        <f t="shared" si="8"/>
        <v>0.90909090909090928</v>
      </c>
      <c r="P14" s="61">
        <v>10</v>
      </c>
    </row>
    <row r="15" spans="2:16" x14ac:dyDescent="0.25">
      <c r="C15" s="27" t="s">
        <v>38</v>
      </c>
      <c r="D15" s="55">
        <v>0.8</v>
      </c>
    </row>
    <row r="17" spans="3:15" x14ac:dyDescent="0.25">
      <c r="C17" s="27" t="str">
        <f>"Radius (" &amp; IF($B$4, "mm", "in") &amp; ")"</f>
        <v>Radius (in)</v>
      </c>
      <c r="D17" s="73">
        <v>1.9999999999999993</v>
      </c>
      <c r="E17" s="2">
        <f>D17/IF($B$4, 25.4, 1)</f>
        <v>1.9999999999999993</v>
      </c>
      <c r="H17" s="23" t="s">
        <v>53</v>
      </c>
      <c r="I17" s="45">
        <f>IF(PRODUCT(I18:I21)&gt;0,PRODUCT(I18:I21),1)/IF(PRODUCT(H18:H21)&gt;0,PRODUCT(H18:H21), 1)</f>
        <v>20</v>
      </c>
    </row>
    <row r="18" spans="3:15" x14ac:dyDescent="0.25">
      <c r="C18" s="27" t="str">
        <f>"Load (" &amp; IF($B$4, "kgf", "lbf") &amp; ")"</f>
        <v>Load (lbf)</v>
      </c>
      <c r="D18" s="72">
        <v>40</v>
      </c>
      <c r="E18" s="2">
        <f>D18*IF($B$4, 2.205, 1)</f>
        <v>40</v>
      </c>
      <c r="H18" s="56"/>
      <c r="I18" s="57">
        <v>6</v>
      </c>
    </row>
    <row r="19" spans="3:15" x14ac:dyDescent="0.25">
      <c r="H19" s="56">
        <v>18</v>
      </c>
      <c r="I19" s="57">
        <v>60</v>
      </c>
    </row>
    <row r="20" spans="3:15" x14ac:dyDescent="0.25">
      <c r="H20" s="56"/>
      <c r="I20" s="57"/>
    </row>
    <row r="21" spans="3:15" x14ac:dyDescent="0.25">
      <c r="H21" s="56"/>
      <c r="I21" s="57"/>
    </row>
    <row r="23" spans="3:15" ht="15.75" thickBot="1" x14ac:dyDescent="0.3"/>
    <row r="24" spans="3:15" ht="18.75" customHeight="1" x14ac:dyDescent="0.25">
      <c r="D24" s="129" t="s">
        <v>54</v>
      </c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1"/>
    </row>
    <row r="25" spans="3:15" ht="75" customHeight="1" x14ac:dyDescent="0.25">
      <c r="D25" s="132" t="s">
        <v>55</v>
      </c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4"/>
    </row>
    <row r="26" spans="3:15" ht="72" customHeight="1" x14ac:dyDescent="0.25">
      <c r="D26" s="132" t="s">
        <v>56</v>
      </c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4"/>
    </row>
    <row r="27" spans="3:15" ht="73.5" customHeight="1" thickBot="1" x14ac:dyDescent="0.3">
      <c r="D27" s="126" t="s">
        <v>57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8"/>
    </row>
  </sheetData>
  <dataConsolidate/>
  <mergeCells count="5">
    <mergeCell ref="D27:O27"/>
    <mergeCell ref="D24:O24"/>
    <mergeCell ref="D25:O25"/>
    <mergeCell ref="D26:O26"/>
    <mergeCell ref="C6:D6"/>
  </mergeCells>
  <conditionalFormatting sqref="H7:H14 I9:K9 I10:L11">
    <cfRule type="expression" dxfId="39" priority="17">
      <formula>$H$9&lt;=0</formula>
    </cfRule>
  </conditionalFormatting>
  <conditionalFormatting sqref="L7:L8 L12:L14">
    <cfRule type="expression" dxfId="38" priority="16">
      <formula>ISERROR($L$7)</formula>
    </cfRule>
  </conditionalFormatting>
  <conditionalFormatting sqref="M7:M10 M12:M14">
    <cfRule type="expression" dxfId="37" priority="15">
      <formula>ISERROR($M$7)</formula>
    </cfRule>
  </conditionalFormatting>
  <conditionalFormatting sqref="N7">
    <cfRule type="expression" dxfId="36" priority="14">
      <formula>$N$9&lt;0</formula>
    </cfRule>
  </conditionalFormatting>
  <conditionalFormatting sqref="P14 O13 N12 M11 L9 D13:D15 D17:D18">
    <cfRule type="containsBlanks" dxfId="35" priority="18">
      <formula>LEN(TRIM(D9))=0</formula>
    </cfRule>
  </conditionalFormatting>
  <conditionalFormatting sqref="O7">
    <cfRule type="expression" dxfId="34" priority="12">
      <formula>ISERROR($O$8)</formula>
    </cfRule>
  </conditionalFormatting>
  <conditionalFormatting sqref="P7">
    <cfRule type="expression" dxfId="33" priority="11">
      <formula>ISERROR($P$7)</formula>
    </cfRule>
  </conditionalFormatting>
  <conditionalFormatting sqref="H18:I21">
    <cfRule type="expression" dxfId="32" priority="10">
      <formula>$I$17=1</formula>
    </cfRule>
  </conditionalFormatting>
  <conditionalFormatting sqref="D14">
    <cfRule type="cellIs" dxfId="31" priority="9" operator="greaterThan">
      <formula>12</formula>
    </cfRule>
  </conditionalFormatting>
  <conditionalFormatting sqref="P14">
    <cfRule type="cellIs" dxfId="30" priority="8" operator="greaterThan">
      <formula>$D$14</formula>
    </cfRule>
  </conditionalFormatting>
  <conditionalFormatting sqref="D15">
    <cfRule type="cellIs" dxfId="29" priority="7" operator="greaterThan">
      <formula>1</formula>
    </cfRule>
  </conditionalFormatting>
  <conditionalFormatting sqref="D13:D15 D17:D18 L9 M11 N12 O13 P14">
    <cfRule type="cellIs" dxfId="28" priority="6" operator="lessThanOrEqual">
      <formula>0</formula>
    </cfRule>
  </conditionalFormatting>
  <conditionalFormatting sqref="N8:N11">
    <cfRule type="expression" dxfId="27" priority="5">
      <formula>$H$9&lt;=0</formula>
    </cfRule>
  </conditionalFormatting>
  <conditionalFormatting sqref="N13:N14">
    <cfRule type="expression" dxfId="26" priority="4">
      <formula>$H$9&lt;=0</formula>
    </cfRule>
  </conditionalFormatting>
  <conditionalFormatting sqref="O8:O12">
    <cfRule type="expression" dxfId="25" priority="3">
      <formula>$H$9&lt;=0</formula>
    </cfRule>
  </conditionalFormatting>
  <conditionalFormatting sqref="O14">
    <cfRule type="expression" dxfId="24" priority="2">
      <formula>$H$9&lt;=0</formula>
    </cfRule>
  </conditionalFormatting>
  <conditionalFormatting sqref="P8:P13">
    <cfRule type="expression" dxfId="23" priority="1">
      <formula>$H$9&lt;=0</formula>
    </cfRule>
  </conditionalFormatting>
  <dataValidations disablePrompts="1"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ignoredErrors>
    <ignoredError sqref="I13 K13 M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MechanismRatio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2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J23"/>
  <sheetViews>
    <sheetView zoomScaleNormal="100" workbookViewId="0">
      <selection activeCell="A12" sqref="A12"/>
    </sheetView>
  </sheetViews>
  <sheetFormatPr defaultRowHeight="15" x14ac:dyDescent="0.25"/>
  <cols>
    <col min="1" max="1" width="7.140625" customWidth="1"/>
    <col min="2" max="2" width="3.28515625" customWidth="1"/>
    <col min="3" max="3" width="19.42578125" customWidth="1"/>
    <col min="4" max="4" width="9.140625" customWidth="1"/>
    <col min="7" max="7" width="22.7109375" customWidth="1"/>
  </cols>
  <sheetData>
    <row r="2" spans="2:10" ht="31.5" x14ac:dyDescent="0.5">
      <c r="C2" s="1" t="s">
        <v>58</v>
      </c>
    </row>
    <row r="4" spans="2:10" x14ac:dyDescent="0.25">
      <c r="B4" s="62" t="b">
        <v>1</v>
      </c>
      <c r="C4" t="s">
        <v>1</v>
      </c>
    </row>
    <row r="6" spans="2:10" x14ac:dyDescent="0.25">
      <c r="C6" s="63" t="str">
        <f>"Diameter (" &amp; IF($B$4,"mm","in") &amp; ")"</f>
        <v>Diameter (mm)</v>
      </c>
      <c r="D6" s="74">
        <v>12</v>
      </c>
      <c r="G6" s="13" t="s">
        <v>67</v>
      </c>
      <c r="H6" s="65">
        <f>(D7*D8/(PI()*(D6-D7/2)))/((PI()*(D6-D7/2)*D14+D7*D8*COS(0.5*RADIANS(D9)))/(PI()*(D6-D7/2)*COS(0.5*RADIANS(D9))-D14*D7*D8))</f>
        <v>0.54940653294461994</v>
      </c>
    </row>
    <row r="7" spans="2:10" x14ac:dyDescent="0.25">
      <c r="C7" s="63" t="str">
        <f>"Pitch (" &amp; IF($B$4, "mm", "in") &amp; "/rev)"</f>
        <v>Pitch (mm/rev)</v>
      </c>
      <c r="D7" s="74">
        <v>19.999999999999993</v>
      </c>
      <c r="G7" s="13" t="str">
        <f>"Equivalent Radius (" &amp; IF($B$4, "mm", "in") &amp; ")"</f>
        <v>Equivalent Radius (mm)</v>
      </c>
      <c r="H7" s="66">
        <f>D7*D8/(2*PI())</f>
        <v>3.1830988618379057</v>
      </c>
    </row>
    <row r="8" spans="2:10" x14ac:dyDescent="0.25">
      <c r="C8" s="63" t="s">
        <v>59</v>
      </c>
      <c r="D8" s="57">
        <v>1</v>
      </c>
    </row>
    <row r="9" spans="2:10" x14ac:dyDescent="0.25">
      <c r="C9" s="63" t="s">
        <v>60</v>
      </c>
      <c r="D9" s="57">
        <v>29</v>
      </c>
      <c r="G9" s="41" t="str">
        <f>"Applied Force (" &amp; IF($B$4, "N", "lbf") &amp; ")"</f>
        <v>Applied Force (N)</v>
      </c>
      <c r="H9" s="71">
        <v>200.00000000000009</v>
      </c>
      <c r="I9" s="67">
        <f>I10/(($D$6-$D$7/2)/2*((PI()*($D$6-$D$7/2)*$D$14+$D$7*$D$8*COS(0.5*RADIANS($D$9)))/(PI()*($D$6-$D$7/2)*COS(0.5*RADIANS($D$9))-$D$14*$D$7*$D$8)))</f>
        <v>34.520230554661154</v>
      </c>
      <c r="J9" s="67">
        <f>J11/(($D$6-$D$7/2)/2*((PI()*$D$14*($D$6-$D$7/2)-$D$7*$D$8*COS(0.5*RADIANS($D$9)))/(PI()*($D$6-$D$7/2)*COS(0.5*RADIANS($D$9))+$D$14*$D$7*$D$8)))</f>
        <v>-14.045593794061416</v>
      </c>
    </row>
    <row r="10" spans="2:10" x14ac:dyDescent="0.25">
      <c r="G10" s="42" t="str">
        <f>"Raise Torque (" &amp; IF($B$4, "Nmm", "in-lb") &amp; ")"</f>
        <v>Raise Torque (Nmm)</v>
      </c>
      <c r="H10" s="50">
        <f>H9*($D$6-$D$7/2)/2*((PI()*($D$6-$D$7/2)*$D$14+$D$7*$D$8*COS(0.5*RADIANS($D$9)))/(PI()*($D$6-$D$7/2)*COS(0.5*RADIANS($D$9))-$D$14*$D$7*$D$8))</f>
        <v>1158.7408124827532</v>
      </c>
      <c r="I10" s="60">
        <v>200.00000000000009</v>
      </c>
      <c r="J10" s="50">
        <f>J9*($D$6-$D$7/2)/2*((PI()*($D$6-$D$7/2)*$D$14+$D$7*$D$8*COS(0.5*RADIANS($D$9)))/(PI()*($D$6-$D$7/2)*COS(0.5*RADIANS($D$9))-$D$14*$D$7*$D$8))</f>
        <v>-81.376013823667165</v>
      </c>
    </row>
    <row r="11" spans="2:10" x14ac:dyDescent="0.25">
      <c r="C11" s="63" t="s">
        <v>61</v>
      </c>
      <c r="D11" s="57" t="s">
        <v>64</v>
      </c>
      <c r="G11" s="42" t="str">
        <f>"Lower Torque (" &amp; IF($B$4, "Nmm", "in-lb") &amp; ")"</f>
        <v>Lower Torque (Nmm)</v>
      </c>
      <c r="H11" s="50">
        <f>MAX(H9*($D$6-$D$7/2)/2*((PI()*$D$14*($D$6-$D$7/2)-$D$7*$D$8*COS(0.5*RADIANS($D$9)))/(PI()*($D$6-$D$7/2)*COS(0.5*RADIANS($D$9))+$D$14*$D$7*$D$8)), 0)</f>
        <v>0</v>
      </c>
      <c r="I11" s="50">
        <f>I9*($D$6-$D$7/2)/2*((PI()*$D$14*($D$6-$D$7/2)-$D$7*$D$8*COS(0.5*RADIANS($D$9)))/(PI()*($D$6-$D$7/2)*COS(0.5*RADIANS($D$9))+$D$14*$D$7*$D$8))</f>
        <v>-73.731800294388208</v>
      </c>
      <c r="J11" s="60">
        <v>30</v>
      </c>
    </row>
    <row r="12" spans="2:10" x14ac:dyDescent="0.25">
      <c r="C12" s="63" t="s">
        <v>62</v>
      </c>
      <c r="D12" s="57" t="s">
        <v>69</v>
      </c>
      <c r="G12" s="42" t="str">
        <f>"Eq. Raise Load (" &amp; IF($B$4, "kgf", "lbf") &amp; ")"</f>
        <v>Eq. Raise Load (kgf)</v>
      </c>
      <c r="H12" s="50">
        <f t="shared" ref="H12:J13" si="0">H10/$H$7/9.8</f>
        <v>37.145832897045779</v>
      </c>
      <c r="I12" s="50">
        <f t="shared" si="0"/>
        <v>6.4114135787546847</v>
      </c>
      <c r="J12" s="50">
        <f t="shared" si="0"/>
        <v>-2.6086764000699416</v>
      </c>
    </row>
    <row r="13" spans="2:10" x14ac:dyDescent="0.25">
      <c r="C13" s="63" t="s">
        <v>63</v>
      </c>
      <c r="D13" s="57" t="s">
        <v>65</v>
      </c>
      <c r="G13" s="43" t="str">
        <f>"Eq. Lower Load (" &amp; IF($B$4, "kgf", "lbf") &amp; ")"</f>
        <v>Eq. Lower Load (kgf)</v>
      </c>
      <c r="H13" s="52">
        <f t="shared" si="0"/>
        <v>0</v>
      </c>
      <c r="I13" s="52">
        <f t="shared" si="0"/>
        <v>-2.3636253279673447</v>
      </c>
      <c r="J13" s="52">
        <f t="shared" si="0"/>
        <v>0.96171203681320228</v>
      </c>
    </row>
    <row r="14" spans="2:10" x14ac:dyDescent="0.25">
      <c r="D14" s="2">
        <f>IF($D$11="Steel", IF($D$13="No",IF($D$12="Steel",0.2,IF($D$12="Bronze",0.19,IF($D$12="Brass",0.17,0.2))), IF($D$12="Steel",0.14,IF($D$12="Bronze",0.13,IF($D$12="Brass",0.13,0.14)))), IF($D$12="Steel",0.1,IF($D$12="Bronze",0.05,IF($D$12="Brass",0.05,0.08))))</f>
        <v>0.13</v>
      </c>
    </row>
    <row r="15" spans="2:10" x14ac:dyDescent="0.25">
      <c r="G15" s="41" t="s">
        <v>68</v>
      </c>
      <c r="H15" s="70">
        <v>5000</v>
      </c>
      <c r="I15" s="68">
        <f>I16*60/$D$7/$D$8*IF($B$4, 1000, 12)</f>
        <v>600.00000000000023</v>
      </c>
    </row>
    <row r="16" spans="2:10" x14ac:dyDescent="0.25">
      <c r="C16" s="63" t="s">
        <v>66</v>
      </c>
      <c r="D16" s="64" t="b">
        <f>((PI()*$D$14*($D$6-$D$7/2)-$D$7*$D$8*COS(0.5*RADIANS($D$9)))/(PI()*($D$6-$D$7/2)*COS(0.5*RADIANS($D$9))+$D$14*$D$7*$D$8))&lt;0</f>
        <v>1</v>
      </c>
      <c r="G16" s="43" t="str">
        <f>"Linear Speed (" &amp; IF($B$4, "m", "ft") &amp; "/s)"</f>
        <v>Linear Speed (m/s)</v>
      </c>
      <c r="H16" s="51">
        <f>H15/60*$D$7*$D$8/IF($B$4, 1000, 12)</f>
        <v>1.6666666666666661</v>
      </c>
      <c r="I16" s="69">
        <v>0.2</v>
      </c>
    </row>
    <row r="19" spans="3:10" ht="43.5" customHeight="1" x14ac:dyDescent="0.25">
      <c r="C19" s="137" t="s">
        <v>70</v>
      </c>
      <c r="D19" s="138"/>
      <c r="E19" s="138"/>
      <c r="F19" s="138"/>
      <c r="G19" s="138"/>
      <c r="H19" s="138"/>
      <c r="I19" s="138"/>
      <c r="J19" s="139"/>
    </row>
    <row r="20" spans="3:10" x14ac:dyDescent="0.25">
      <c r="C20" s="140" t="s">
        <v>71</v>
      </c>
      <c r="D20" s="141"/>
      <c r="E20" s="141"/>
      <c r="F20" s="141"/>
      <c r="G20" s="141"/>
      <c r="H20" s="141"/>
      <c r="I20" s="141"/>
      <c r="J20" s="142"/>
    </row>
    <row r="22" spans="3:10" ht="43.5" customHeight="1" x14ac:dyDescent="0.25">
      <c r="C22" s="137" t="s">
        <v>72</v>
      </c>
      <c r="D22" s="138"/>
      <c r="E22" s="138"/>
      <c r="F22" s="138"/>
      <c r="G22" s="138"/>
      <c r="H22" s="138"/>
      <c r="I22" s="138"/>
      <c r="J22" s="139"/>
    </row>
    <row r="23" spans="3:10" ht="29.25" customHeight="1" x14ac:dyDescent="0.25">
      <c r="C23" s="140" t="s">
        <v>73</v>
      </c>
      <c r="D23" s="141"/>
      <c r="E23" s="141"/>
      <c r="F23" s="141"/>
      <c r="G23" s="141"/>
      <c r="H23" s="141"/>
      <c r="I23" s="141"/>
      <c r="J23" s="142"/>
    </row>
  </sheetData>
  <mergeCells count="4">
    <mergeCell ref="C19:J19"/>
    <mergeCell ref="C20:J20"/>
    <mergeCell ref="C22:J22"/>
    <mergeCell ref="C23:J23"/>
  </mergeCells>
  <conditionalFormatting sqref="J9:J10 J12:J13">
    <cfRule type="expression" dxfId="22" priority="5">
      <formula>$J$9&lt;0</formula>
    </cfRule>
  </conditionalFormatting>
  <conditionalFormatting sqref="I9 I11:I13">
    <cfRule type="expression" dxfId="21" priority="4">
      <formula>$I$9&lt;0</formula>
    </cfRule>
  </conditionalFormatting>
  <conditionalFormatting sqref="H9 I10 J11 I16 H15 D6:D9">
    <cfRule type="cellIs" dxfId="20" priority="3" operator="lessThan">
      <formula>0</formula>
    </cfRule>
  </conditionalFormatting>
  <conditionalFormatting sqref="J11 I10 H9 I16 H15 D6:D9 D11:D13">
    <cfRule type="containsBlanks" dxfId="19" priority="2">
      <formula>LEN(TRIM(D6))=0</formula>
    </cfRule>
  </conditionalFormatting>
  <conditionalFormatting sqref="D9">
    <cfRule type="cellIs" dxfId="18" priority="1" operator="greaterThan">
      <formula>90</formula>
    </cfRule>
  </conditionalFormatting>
  <dataValidations disablePrompts="1" count="4">
    <dataValidation type="list" allowBlank="1" sqref="D9">
      <formula1>"29,30,90"</formula1>
    </dataValidation>
    <dataValidation type="list" allowBlank="1" showInputMessage="1" showErrorMessage="1" sqref="D11">
      <formula1>"Steel,Bronze"</formula1>
    </dataValidation>
    <dataValidation type="list" allowBlank="1" showInputMessage="1" showErrorMessage="1" sqref="D12">
      <formula1>"Steel,Bronze,Brass,Cast Iron"</formula1>
    </dataValidation>
    <dataValidation type="list" allowBlank="1" showInputMessage="1" showErrorMessage="1" sqref="D13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etric">
              <controlPr locked="0" defaultSize="0" autoFill="0" autoLine="0" autoPict="0" macro="[0]!LeadScrew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N27"/>
  <sheetViews>
    <sheetView zoomScaleNormal="100" workbookViewId="0">
      <selection activeCell="M12" sqref="M12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21.5703125" style="77" customWidth="1"/>
    <col min="4" max="4" width="9.140625" style="77" customWidth="1"/>
    <col min="5" max="5" width="9.140625" style="77"/>
    <col min="6" max="6" width="14.28515625" style="77" customWidth="1"/>
    <col min="7" max="8" width="11.42578125" style="77" customWidth="1"/>
    <col min="9" max="9" width="9.140625" style="77" customWidth="1"/>
    <col min="10" max="10" width="11.85546875" style="77" customWidth="1"/>
    <col min="11" max="11" width="9" style="77" customWidth="1"/>
    <col min="12" max="12" width="9.140625" style="77" customWidth="1"/>
    <col min="13" max="16384" width="9.140625" style="77"/>
  </cols>
  <sheetData>
    <row r="2" spans="2:14" ht="31.5" x14ac:dyDescent="0.5">
      <c r="C2" s="78" t="s">
        <v>74</v>
      </c>
    </row>
    <row r="4" spans="2:14" x14ac:dyDescent="0.25">
      <c r="B4" s="79" t="b">
        <v>0</v>
      </c>
      <c r="C4" s="77" t="s">
        <v>1</v>
      </c>
    </row>
    <row r="6" spans="2:14" x14ac:dyDescent="0.25">
      <c r="C6" s="135" t="s">
        <v>7</v>
      </c>
      <c r="D6" s="143"/>
      <c r="E6" s="80" t="s">
        <v>35</v>
      </c>
      <c r="G6" s="81" t="s">
        <v>81</v>
      </c>
      <c r="H6" s="82" t="s">
        <v>82</v>
      </c>
      <c r="I6" s="82" t="s">
        <v>83</v>
      </c>
      <c r="J6" s="83" t="str">
        <f>"C-C dist. (" &amp; IF($B$4, "mm", "in") &amp; ")"</f>
        <v>C-C dist. (in)</v>
      </c>
    </row>
    <row r="7" spans="2:14" x14ac:dyDescent="0.25">
      <c r="C7" s="84" t="s">
        <v>2</v>
      </c>
      <c r="D7" s="85">
        <f>VLOOKUP($C$6, MotorSpecs, 2, FALSE)</f>
        <v>5330</v>
      </c>
      <c r="E7" s="86">
        <f>D7*(D14/12)</f>
        <v>4885.833333333333</v>
      </c>
      <c r="G7" s="112">
        <v>12</v>
      </c>
      <c r="H7" s="113">
        <v>54</v>
      </c>
      <c r="I7" s="113">
        <v>20</v>
      </c>
      <c r="J7" s="87">
        <f>IF(COUNTBLANK(G7:I7)&gt;0, "", ((G7+H7)/(2*I7)+0.003)*IF($B$4, 25.4, 1))</f>
        <v>1.6529999999999998</v>
      </c>
    </row>
    <row r="8" spans="2:14" x14ac:dyDescent="0.25">
      <c r="C8" s="88" t="s">
        <v>3</v>
      </c>
      <c r="D8" s="89">
        <f>VLOOKUP($C$6, MotorSpecs, 3, FALSE)</f>
        <v>2.41</v>
      </c>
      <c r="E8" s="90">
        <f>D8*D13*(D14/12)*D15</f>
        <v>10.604000000000001</v>
      </c>
      <c r="G8" s="112">
        <v>18</v>
      </c>
      <c r="H8" s="113">
        <v>50</v>
      </c>
      <c r="I8" s="113">
        <v>20</v>
      </c>
      <c r="J8" s="87">
        <f t="shared" ref="J8:J10" si="0">IF(COUNTBLANK(G8:I8)&gt;0, "", ((G8+H8)/(2*I8)+0.003)*IF($B$4, 25.4, 1))</f>
        <v>1.7029999999999998</v>
      </c>
    </row>
    <row r="9" spans="2:14" x14ac:dyDescent="0.25">
      <c r="C9" s="88" t="s">
        <v>4</v>
      </c>
      <c r="D9" s="91">
        <f>VLOOKUP($C$6, MotorSpecs, 4, FALSE)</f>
        <v>2.7</v>
      </c>
      <c r="E9" s="92">
        <f>D9*D13*(D14/12)</f>
        <v>14.850000000000001</v>
      </c>
      <c r="G9" s="112"/>
      <c r="H9" s="113"/>
      <c r="I9" s="113"/>
      <c r="J9" s="87" t="str">
        <f t="shared" si="0"/>
        <v/>
      </c>
    </row>
    <row r="10" spans="2:14" x14ac:dyDescent="0.25">
      <c r="C10" s="88" t="s">
        <v>5</v>
      </c>
      <c r="D10" s="93">
        <f>VLOOKUP($C$6, MotorSpecs, 5, FALSE)</f>
        <v>131</v>
      </c>
      <c r="E10" s="94">
        <f>D10*D13*(D14/12)</f>
        <v>720.5</v>
      </c>
      <c r="G10" s="112"/>
      <c r="H10" s="113"/>
      <c r="I10" s="113"/>
      <c r="J10" s="87" t="str">
        <f t="shared" si="0"/>
        <v/>
      </c>
    </row>
    <row r="11" spans="2:14" x14ac:dyDescent="0.25">
      <c r="C11" s="95" t="s">
        <v>6</v>
      </c>
      <c r="D11" s="96">
        <f>VLOOKUP($C$6, MotorSpecs, 6, FALSE)</f>
        <v>336.28916760964142</v>
      </c>
      <c r="E11" s="97">
        <f>(E7/60*2*PI())*E8/4</f>
        <v>1356.3663093588871</v>
      </c>
    </row>
    <row r="12" spans="2:14" x14ac:dyDescent="0.25">
      <c r="G12" s="150" t="s">
        <v>84</v>
      </c>
      <c r="H12" s="151"/>
      <c r="I12" s="104">
        <f>IF(COUNTBLANK($H$7:$H$10)&lt;4, PRODUCT($H$7:$H$10), 1)/IF(COUNTBLANK($G$7:$G$10)&lt;4, PRODUCT($G$7:$G$10), 1)</f>
        <v>12.5</v>
      </c>
    </row>
    <row r="13" spans="2:14" x14ac:dyDescent="0.25">
      <c r="C13" s="99" t="s">
        <v>86</v>
      </c>
      <c r="D13" s="54">
        <v>6</v>
      </c>
      <c r="G13" s="150" t="str">
        <f>"Adjusted Speed (" &amp; IF($B$4, "m", "ft") &amp; "/s)"</f>
        <v>Adjusted Speed (ft/s)</v>
      </c>
      <c r="H13" s="151"/>
      <c r="I13" s="106">
        <f>I14*$D$16</f>
        <v>6.0715001399693662</v>
      </c>
      <c r="N13" s="105"/>
    </row>
    <row r="14" spans="2:14" x14ac:dyDescent="0.25">
      <c r="C14" s="99" t="s">
        <v>37</v>
      </c>
      <c r="D14" s="54">
        <v>11</v>
      </c>
      <c r="G14" s="150" t="str">
        <f>"Free Speed (" &amp; IF($B$4, "m", "ft") &amp; "/s)"</f>
        <v>Free Speed (ft/s)</v>
      </c>
      <c r="H14" s="151"/>
      <c r="I14" s="106">
        <f>($E$7/60)/I12*(D20*PI()/12)/IF($B$4, 3.281, 1)</f>
        <v>6.8219102696285008</v>
      </c>
    </row>
    <row r="15" spans="2:14" x14ac:dyDescent="0.25">
      <c r="C15" s="99" t="s">
        <v>75</v>
      </c>
      <c r="D15" s="55">
        <v>0.8</v>
      </c>
      <c r="G15" s="150" t="s">
        <v>85</v>
      </c>
      <c r="H15" s="151"/>
      <c r="I15" s="110">
        <f>(($E$10-$E$9)/$E$8)*$D$19*$D$17*F14/$D$13*(F13/2)/I12*4.448*0.0254 + $E$9/$D$13</f>
        <v>2.4750000000000001</v>
      </c>
    </row>
    <row r="16" spans="2:14" x14ac:dyDescent="0.25">
      <c r="C16" s="99" t="s">
        <v>76</v>
      </c>
      <c r="D16" s="55">
        <v>0.89</v>
      </c>
    </row>
    <row r="17" spans="3:12" x14ac:dyDescent="0.25">
      <c r="C17" s="99" t="s">
        <v>77</v>
      </c>
      <c r="D17" s="55">
        <v>1</v>
      </c>
      <c r="E17" s="79"/>
      <c r="G17" s="101" t="s">
        <v>81</v>
      </c>
      <c r="H17" s="102" t="s">
        <v>82</v>
      </c>
      <c r="J17" s="148" t="s">
        <v>84</v>
      </c>
      <c r="K17" s="149"/>
      <c r="L17" s="104">
        <f>IF(COUNTBLANK($H$7:$H$10)&lt;4, PRODUCT($H$7:$H$10), 1)*IF(ISBLANK(H18), 1, H18) / (IF(COUNTBLANK($G$7:$G$10)&lt;4, PRODUCT($G$7:$G$10), 1)*IF(ISBLANK(G18), 1, G18))</f>
        <v>15.625</v>
      </c>
    </row>
    <row r="18" spans="3:12" x14ac:dyDescent="0.25">
      <c r="D18" s="98"/>
      <c r="E18" s="79"/>
      <c r="G18" s="114">
        <v>12</v>
      </c>
      <c r="H18" s="115">
        <v>15</v>
      </c>
      <c r="J18" s="148" t="str">
        <f>"Adjusted Speed (" &amp; IF($B$4, "m", "ft") &amp; "/s)"</f>
        <v>Adjusted Speed (ft/s)</v>
      </c>
      <c r="K18" s="149"/>
      <c r="L18" s="106">
        <f>L19*$D$16</f>
        <v>4.8572001119754935</v>
      </c>
    </row>
    <row r="19" spans="3:12" x14ac:dyDescent="0.25">
      <c r="C19" s="99" t="str">
        <f>"Robot Weight  (" &amp; IF($B$4, "kg", "lbs") &amp; ")"</f>
        <v>Robot Weight  (lbs)</v>
      </c>
      <c r="D19" s="76">
        <v>154</v>
      </c>
      <c r="G19" s="107" t="s">
        <v>83</v>
      </c>
      <c r="H19" s="116"/>
      <c r="J19" s="148" t="str">
        <f>"Free Speed (" &amp; IF($B$4, "m", "ft") &amp; "/s)"</f>
        <v>Free Speed (ft/s)</v>
      </c>
      <c r="K19" s="149"/>
      <c r="L19" s="106">
        <f>($E$7/60)/L17*(D20*PI()/12)/IF($B$4, 3.281, 1)</f>
        <v>5.4575282157028013</v>
      </c>
    </row>
    <row r="20" spans="3:12" x14ac:dyDescent="0.25">
      <c r="C20" s="99" t="str">
        <f>"Wheel Diam. (" &amp; IF($B$4, "mm", "in") &amp; ")"</f>
        <v>Wheel Diam. (in)</v>
      </c>
      <c r="D20" s="75">
        <v>3.9999999999999987</v>
      </c>
      <c r="G20" s="108" t="str">
        <f>"C-C (" &amp; IF($B$4, "mm", "in") &amp; ")"</f>
        <v>C-C (in)</v>
      </c>
      <c r="H20" s="109" t="str">
        <f>IF(COUNTBLANK(G18:H19)&gt;0, "", ((G18+H18)/(2*H19)+0.003)*IF($B$4, 25.4, 1))</f>
        <v/>
      </c>
      <c r="J20" s="148" t="s">
        <v>85</v>
      </c>
      <c r="K20" s="149"/>
      <c r="L20" s="110">
        <f>(($E$10-$E$9)/$E$8)*$D$19*$D$17*D21/$D$13*(D20/2)/L17*4.448*0.0254 + $E$9/$D$13</f>
        <v>27.175034627275231</v>
      </c>
    </row>
    <row r="21" spans="3:12" x14ac:dyDescent="0.25">
      <c r="C21" s="99" t="s">
        <v>78</v>
      </c>
      <c r="D21" s="75">
        <v>1</v>
      </c>
    </row>
    <row r="22" spans="3:12" x14ac:dyDescent="0.25">
      <c r="G22" s="101" t="s">
        <v>81</v>
      </c>
      <c r="H22" s="102" t="s">
        <v>82</v>
      </c>
      <c r="J22" s="145" t="s">
        <v>84</v>
      </c>
      <c r="K22" s="146"/>
      <c r="L22" s="104">
        <f>IF(COUNTBLANK($H$7:$H$10)&lt;4, PRODUCT($H$7:$H$10), 1)*IF(ISBLANK(H23), 1, H23) / (IF(COUNTBLANK($G$7:$G$10)&lt;4, PRODUCT($G$7:$G$10), 1)*IF(ISBLANK(G23), 1, G23))</f>
        <v>25</v>
      </c>
    </row>
    <row r="23" spans="3:12" x14ac:dyDescent="0.25">
      <c r="C23" s="111" t="s">
        <v>79</v>
      </c>
      <c r="D23" s="79" t="b">
        <v>1</v>
      </c>
      <c r="G23" s="114"/>
      <c r="H23" s="115">
        <v>2</v>
      </c>
      <c r="J23" s="145" t="str">
        <f>"Adjusted Speed (" &amp; IF($B$4, "m", "ft") &amp; "/s)"</f>
        <v>Adjusted Speed (ft/s)</v>
      </c>
      <c r="K23" s="146"/>
      <c r="L23" s="106">
        <f>L24*$D$16</f>
        <v>3.0357500699846831</v>
      </c>
    </row>
    <row r="24" spans="3:12" x14ac:dyDescent="0.25">
      <c r="C24" s="111" t="s">
        <v>80</v>
      </c>
      <c r="D24" s="79" t="b">
        <v>0</v>
      </c>
      <c r="G24" s="107" t="s">
        <v>83</v>
      </c>
      <c r="H24" s="116"/>
      <c r="J24" s="145" t="str">
        <f>"Free Speed (" &amp; IF($B$4, "m", "ft") &amp; "/s)"</f>
        <v>Free Speed (ft/s)</v>
      </c>
      <c r="K24" s="146"/>
      <c r="L24" s="106">
        <f>($E$7/60)/L22*(IF(D24,D26,D20)*PI()/12)/IF($B$4, 3.281, 1)</f>
        <v>3.4109551348142504</v>
      </c>
    </row>
    <row r="25" spans="3:12" x14ac:dyDescent="0.25">
      <c r="G25" s="108" t="str">
        <f>"C-C (" &amp; IF($B$4, "mm", "in") &amp; ")"</f>
        <v>C-C (in)</v>
      </c>
      <c r="H25" s="109" t="str">
        <f>IF(COUNTBLANK(G23:H24)&gt;0, "", ((G23+H23)/(2*H24)+0.003)*IF($B$4, 25.4, 1))</f>
        <v/>
      </c>
      <c r="J25" s="145" t="s">
        <v>85</v>
      </c>
      <c r="K25" s="146"/>
      <c r="L25" s="110">
        <f>(($E$10-$E$9)/$E$8)*$D$19*$D$17*IF(D24,D27,D21)/$D$13*(IF(D24,D26,D20)/2)/L22*4.448*0.0254 + $E$9/$D$13</f>
        <v>17.912521642047018</v>
      </c>
    </row>
    <row r="26" spans="3:12" x14ac:dyDescent="0.25">
      <c r="C26" s="147" t="str">
        <f>"2nd Wheel Diam. (" &amp; IF($B$4, "mm", "in") &amp; ")"</f>
        <v>2nd Wheel Diam. (in)</v>
      </c>
      <c r="D26" s="54">
        <v>6</v>
      </c>
    </row>
    <row r="27" spans="3:12" x14ac:dyDescent="0.25">
      <c r="C27" s="147" t="s">
        <v>108</v>
      </c>
      <c r="D27" s="54">
        <v>1.2</v>
      </c>
    </row>
  </sheetData>
  <dataConsolidate/>
  <mergeCells count="13">
    <mergeCell ref="G12:H12"/>
    <mergeCell ref="J23:K23"/>
    <mergeCell ref="C6:D6"/>
    <mergeCell ref="J20:K20"/>
    <mergeCell ref="G13:H13"/>
    <mergeCell ref="G14:H14"/>
    <mergeCell ref="G15:H15"/>
    <mergeCell ref="J18:K18"/>
    <mergeCell ref="J17:K17"/>
    <mergeCell ref="J19:K19"/>
    <mergeCell ref="J25:K25"/>
    <mergeCell ref="J22:K22"/>
    <mergeCell ref="J24:K24"/>
  </mergeCells>
  <conditionalFormatting sqref="D14">
    <cfRule type="cellIs" dxfId="17" priority="22" operator="greaterThan">
      <formula>12</formula>
    </cfRule>
  </conditionalFormatting>
  <conditionalFormatting sqref="D13:D17 D19:D21">
    <cfRule type="cellIs" dxfId="16" priority="19" operator="lessThanOrEqual">
      <formula>0</formula>
    </cfRule>
  </conditionalFormatting>
  <conditionalFormatting sqref="D15:D17">
    <cfRule type="cellIs" dxfId="15" priority="12" operator="greaterThan">
      <formula>1</formula>
    </cfRule>
  </conditionalFormatting>
  <conditionalFormatting sqref="D13:D17 D19:D21">
    <cfRule type="containsBlanks" dxfId="14" priority="8">
      <formula>LEN(TRIM(D13))=0</formula>
    </cfRule>
  </conditionalFormatting>
  <conditionalFormatting sqref="G7:I10 G18:H18 H19 D26:D27 G23:H23 H24">
    <cfRule type="cellIs" dxfId="13" priority="6" operator="lessThan">
      <formula>0</formula>
    </cfRule>
  </conditionalFormatting>
  <conditionalFormatting sqref="C26:D27">
    <cfRule type="expression" dxfId="12" priority="23">
      <formula>NOT($D$24)</formula>
    </cfRule>
  </conditionalFormatting>
  <conditionalFormatting sqref="G17:L25">
    <cfRule type="expression" dxfId="11" priority="24">
      <formula>NOT($D$23)</formula>
    </cfRule>
  </conditionalFormatting>
  <conditionalFormatting sqref="G12:I15">
    <cfRule type="expression" dxfId="10" priority="1">
      <formula>$D$23</formula>
    </cfRule>
  </conditionalFormatting>
  <dataValidations count="1">
    <dataValidation type="list" allowBlank="1" showErrorMessage="1" errorTitle="Error" error="Not a valid motor." sqref="C6:D6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Metric">
              <controlPr locked="0" defaultSize="0" autoFill="0" autoLine="0" autoPict="0" macro="[0]!Drivetrain_Metric">
                <anchor moveWithCells="1">
                  <from>
                    <xdr:col>1</xdr:col>
                    <xdr:colOff>0</xdr:colOff>
                    <xdr:row>2</xdr:row>
                    <xdr:rowOff>171450</xdr:rowOff>
                  </from>
                  <to>
                    <xdr:col>2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Shifting">
              <controlPr locked="0" defaultSize="0" autoFill="0" autoLine="0" autoPict="0" macro="[0]!Drivetrain_Shifting">
                <anchor moveWithCells="1">
                  <from>
                    <xdr:col>3</xdr:col>
                    <xdr:colOff>0</xdr:colOff>
                    <xdr:row>21</xdr:row>
                    <xdr:rowOff>180975</xdr:rowOff>
                  </from>
                  <to>
                    <xdr:col>3</xdr:col>
                    <xdr:colOff>228600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2Wheels">
              <controlPr locked="0" defaultSize="0" autoFill="0" autoLine="0" autoPict="0" macro="[0]!Drivetrain_2Wheels">
                <anchor moveWithCells="1">
                  <from>
                    <xdr:col>3</xdr:col>
                    <xdr:colOff>0</xdr:colOff>
                    <xdr:row>22</xdr:row>
                    <xdr:rowOff>180975</xdr:rowOff>
                  </from>
                  <to>
                    <xdr:col>3</xdr:col>
                    <xdr:colOff>228600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18"/>
  <sheetViews>
    <sheetView zoomScaleNormal="100" workbookViewId="0">
      <selection activeCell="F6" sqref="F6:G6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18.85546875" style="77" customWidth="1"/>
    <col min="4" max="4" width="9.28515625" style="77" customWidth="1"/>
    <col min="5" max="5" width="12.85546875" style="77" customWidth="1"/>
    <col min="6" max="6" width="24.28515625" style="77" customWidth="1"/>
    <col min="7" max="7" width="9.140625" style="77"/>
    <col min="8" max="8" width="9.140625" style="77" customWidth="1"/>
    <col min="9" max="9" width="24.28515625" style="77" customWidth="1"/>
    <col min="10" max="10" width="9.140625" style="77"/>
    <col min="11" max="11" width="9.140625" style="77" customWidth="1"/>
    <col min="12" max="12" width="19.140625" style="77" customWidth="1"/>
    <col min="13" max="13" width="9.140625" style="77"/>
    <col min="14" max="14" width="9.140625" style="77" customWidth="1"/>
    <col min="15" max="15" width="24.28515625" style="77" customWidth="1"/>
    <col min="16" max="16384" width="9.140625" style="77"/>
  </cols>
  <sheetData>
    <row r="2" spans="2:16" ht="31.5" x14ac:dyDescent="0.5">
      <c r="C2" s="78" t="s">
        <v>87</v>
      </c>
    </row>
    <row r="4" spans="2:16" x14ac:dyDescent="0.25">
      <c r="B4" s="79" t="b">
        <v>1</v>
      </c>
      <c r="C4" s="77" t="s">
        <v>1</v>
      </c>
    </row>
    <row r="6" spans="2:16" ht="18.75" x14ac:dyDescent="0.3">
      <c r="D6" s="98"/>
      <c r="F6" s="144" t="s">
        <v>92</v>
      </c>
      <c r="G6" s="144"/>
      <c r="I6" s="144" t="s">
        <v>91</v>
      </c>
      <c r="J6" s="144"/>
      <c r="L6" s="144" t="s">
        <v>93</v>
      </c>
      <c r="M6" s="144"/>
      <c r="O6" s="117" t="s">
        <v>95</v>
      </c>
      <c r="P6" s="117"/>
    </row>
    <row r="7" spans="2:16" x14ac:dyDescent="0.25">
      <c r="D7" s="98"/>
    </row>
    <row r="8" spans="2:16" x14ac:dyDescent="0.25">
      <c r="C8" s="81" t="s">
        <v>90</v>
      </c>
      <c r="D8" s="54" t="s">
        <v>97</v>
      </c>
      <c r="F8" s="81" t="str">
        <f>"Load Force (" &amp; IF($B$4, "kgf", "lbf") &amp; ")"</f>
        <v>Load Force (kgf)</v>
      </c>
      <c r="G8" s="75">
        <v>69.999999999999986</v>
      </c>
      <c r="I8" s="81" t="str">
        <f>"Load Force (" &amp; IF($B$4, "kgf", "lbf") &amp; ")"</f>
        <v>Load Force (kgf)</v>
      </c>
      <c r="J8" s="75">
        <v>69.999999999999986</v>
      </c>
      <c r="L8" s="81" t="str">
        <f>"Length (" &amp; IF($B$4, "mm", "in") &amp; ")"</f>
        <v>Length (mm)</v>
      </c>
      <c r="M8" s="76">
        <v>550</v>
      </c>
      <c r="O8" s="81" t="str">
        <f>"Torque (" &amp; IF($B$4, "Nmm", "in-lbs") &amp; ")"</f>
        <v>Torque (Nmm)</v>
      </c>
      <c r="P8" s="76">
        <v>150000</v>
      </c>
    </row>
    <row r="9" spans="2:16" x14ac:dyDescent="0.25">
      <c r="D9" s="118"/>
      <c r="F9" s="81" t="str">
        <f>"Distance To Support (" &amp; IF($B$4, "mm", "in") &amp; ")"</f>
        <v>Distance To Support (mm)</v>
      </c>
      <c r="G9" s="76">
        <v>200</v>
      </c>
      <c r="H9" s="119"/>
      <c r="I9" s="81" t="str">
        <f>"Distance To Support (" &amp; IF($B$4, "mm", "in") &amp; ")"</f>
        <v>Distance To Support (mm)</v>
      </c>
      <c r="J9" s="76">
        <v>300</v>
      </c>
      <c r="K9" s="119"/>
      <c r="L9" s="81" t="s">
        <v>94</v>
      </c>
      <c r="M9" s="72">
        <v>0.8</v>
      </c>
      <c r="N9" s="119"/>
      <c r="O9" s="81" t="str">
        <f>"Distance To Support (" &amp; IF($B$4, "mm", "in") &amp; ")"</f>
        <v>Distance To Support (mm)</v>
      </c>
      <c r="P9" s="76">
        <v>114.99999999999997</v>
      </c>
    </row>
    <row r="10" spans="2:16" x14ac:dyDescent="0.25">
      <c r="C10" s="81" t="s">
        <v>88</v>
      </c>
      <c r="D10" s="54" t="s">
        <v>89</v>
      </c>
      <c r="F10" s="81" t="str">
        <f>"Dist. Btwn. Supports (" &amp; IF($B$4, "mm", "in") &amp; ")"</f>
        <v>Dist. Btwn. Supports (mm)</v>
      </c>
      <c r="G10" s="76">
        <v>600</v>
      </c>
      <c r="I10" s="81" t="str">
        <f>"Length (" &amp; IF($B$4, "mm", "in") &amp; ")"</f>
        <v>Length (mm)</v>
      </c>
      <c r="J10" s="76">
        <v>600</v>
      </c>
    </row>
    <row r="11" spans="2:16" x14ac:dyDescent="0.25">
      <c r="C11" s="81" t="str">
        <f>CHOOSE(MATCH($D$10,{"Hex","Round","Round Tube","Square","Rect. Tube"},0), "Size","Diameter","Outside Diam.","Size","║ Size") &amp; " (" &amp; IF($B$4,"mm","in") &amp; ")"</f>
        <v>Size (mm)</v>
      </c>
      <c r="D11" s="72">
        <v>12.699999999999996</v>
      </c>
    </row>
    <row r="12" spans="2:16" x14ac:dyDescent="0.25">
      <c r="C12" s="81" t="str">
        <f>CHOOSE(MATCH($D$10,{"Hex","Round","Round Tube","Square","Rect. Tube"},0), "","","Wall Thick. ("&amp;IF($B$4,"in","mm")&amp;")","","┴ Size ("&amp;IF($B$4,"mm","in")&amp;")")</f>
        <v/>
      </c>
      <c r="D12" s="72">
        <v>3</v>
      </c>
    </row>
    <row r="13" spans="2:16" x14ac:dyDescent="0.25">
      <c r="C13" s="81" t="str">
        <f>CHOOSE(MATCH($D$10,{"Hex","Round","Round Tube","Square","Rect. Tube"},0), "","","","","Wall Thick. ("&amp;IF($B$4,"mm","in")&amp;")")</f>
        <v/>
      </c>
      <c r="D13" s="72">
        <v>0</v>
      </c>
      <c r="F13" s="81" t="str">
        <f>"Displacement (" &amp; IF($B$4, "mm", "in") &amp; ")"</f>
        <v>Displacement (mm)</v>
      </c>
      <c r="G13" s="106">
        <f>4*G8*IF($B$4, 9.8, 1)*(MAX(G9,G10-G9))^3*(MIN(G9,G10-G9))^2 / (3*D15*D17*(3*MAX(G9,G10-G9)+MIN(G9,G10-G9))^2)</f>
        <v>10.657080217110135</v>
      </c>
      <c r="I13" s="81" t="str">
        <f>"Displacement (" &amp; IF($B$4, "mm", "in") &amp; ")"</f>
        <v>Displacement (mm)</v>
      </c>
      <c r="J13" s="106">
        <f>(J8*IF($B$4, 9.8, 1))*J9^2/(6*D17*D15)*(3*J10-J9)</f>
        <v>137.68864382067096</v>
      </c>
      <c r="L13" s="81" t="str">
        <f>"Max. Force (" &amp; IF($B$4, "kgf", "lbf") &amp; ")"</f>
        <v>Max. Force (kgf)</v>
      </c>
      <c r="M13" s="120">
        <f>PI()^2*D17*D15/(M8*M9)^2 / IF($B$4, 9.8, 1)</f>
        <v>583.14536518042598</v>
      </c>
      <c r="O13" s="81" t="s">
        <v>96</v>
      </c>
      <c r="P13" s="106">
        <f>DEGREES(P8*P9/(D18*D16))</f>
        <v>12.238797783310503</v>
      </c>
    </row>
    <row r="14" spans="2:16" x14ac:dyDescent="0.25">
      <c r="G14" s="98"/>
    </row>
    <row r="15" spans="2:16" x14ac:dyDescent="0.25">
      <c r="C15" s="121" t="s">
        <v>98</v>
      </c>
      <c r="D15" s="122">
        <f>CHOOSE(MATCH($D$10,{"Hex","Round","Round Tube","Square","Rect. Tube"},0), 0.0601*$D$11^4, PI()/64*$D$11^4, PI()*$D$11^3*$D$12, $D$11^4/12, $D$11^2*$D$12*$D$13/3)</f>
        <v>1563.4692924099977</v>
      </c>
    </row>
    <row r="16" spans="2:16" x14ac:dyDescent="0.25">
      <c r="C16" s="121" t="s">
        <v>99</v>
      </c>
      <c r="D16" s="122">
        <f>CHOOSE(MATCH($D$10,{"Hex","Round","Round Tube","Square","Rect. Tube"},0), 0.1154*$D$11^4, PI()/32*$D$11^4, PI()/4*$D$11^3*$D$12, 9/64*$D$11^4, (2*$D$13^2*($D$12-$D$13)^2*($D$11-$D$13)^2)/($D$11*$D$13+$D$12*$D$13-2*$D$13^2))</f>
        <v>3002.0691571399957</v>
      </c>
    </row>
    <row r="17" spans="3:4" x14ac:dyDescent="0.25">
      <c r="C17" s="121" t="s">
        <v>100</v>
      </c>
      <c r="D17" s="79">
        <f>CHOOSE(MATCH($D$8,{"6061 Al","7075 Al","Steel","Stainless"},0), 68900, 71700, 206000, 193000) * IF($B$4, 1, 145)</f>
        <v>71700</v>
      </c>
    </row>
    <row r="18" spans="3:4" x14ac:dyDescent="0.25">
      <c r="C18" s="121" t="s">
        <v>101</v>
      </c>
      <c r="D18" s="79">
        <f>CHOOSE(MATCH($D$8,{"6061 Al","7075 Al","Steel","Stainless"},0), 26000, 26900, 80000, 77000) * IF($B$4, 1, 145)</f>
        <v>26900</v>
      </c>
    </row>
  </sheetData>
  <mergeCells count="3">
    <mergeCell ref="L6:M6"/>
    <mergeCell ref="F6:G6"/>
    <mergeCell ref="I6:J6"/>
  </mergeCells>
  <conditionalFormatting sqref="C13:D13">
    <cfRule type="expression" dxfId="9" priority="2">
      <formula>NOT($D$10="Rect. Tube")</formula>
    </cfRule>
  </conditionalFormatting>
  <conditionalFormatting sqref="C12:D13">
    <cfRule type="expression" dxfId="8" priority="5">
      <formula>NOT(OR($D$10="Round Tube", $D$10="Rect. Tube"))</formula>
    </cfRule>
  </conditionalFormatting>
  <conditionalFormatting sqref="D11:D13 G8:G10 J8:J10 M8:M9 P8:P9">
    <cfRule type="cellIs" dxfId="7" priority="6" operator="lessThanOrEqual">
      <formula>0</formula>
    </cfRule>
  </conditionalFormatting>
  <conditionalFormatting sqref="G9">
    <cfRule type="cellIs" dxfId="6" priority="1" operator="greaterThanOrEqual">
      <formula>$G$10</formula>
    </cfRule>
  </conditionalFormatting>
  <dataValidations count="3">
    <dataValidation type="list" allowBlank="1" showInputMessage="1" showErrorMessage="1" sqref="D10">
      <formula1>"Hex,Round,Round Tube,Square,Rect. Tube"</formula1>
    </dataValidation>
    <dataValidation type="list" allowBlank="1" showInputMessage="1" showErrorMessage="1" sqref="D8">
      <formula1>"6061 Al,7075 Al,Steel,Stainless"</formula1>
    </dataValidation>
    <dataValidation type="list" allowBlank="1" showInputMessage="1" showErrorMessage="1" sqref="M9">
      <formula1>"0.65,0.80,1.20,1.00,2.10,2.00"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etric">
              <controlPr locked="0" defaultSize="0" autoFill="0" autoLine="0" autoPict="0" macro="[0]!BeamBend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Q135"/>
  <sheetViews>
    <sheetView zoomScaleNormal="100" workbookViewId="0">
      <selection activeCell="C6" sqref="C6:D6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21.140625" style="77" customWidth="1"/>
    <col min="4" max="4" width="9.28515625" style="77" customWidth="1"/>
    <col min="5" max="5" width="9.140625" style="77" customWidth="1"/>
    <col min="6" max="6" width="21.140625" style="77" customWidth="1"/>
    <col min="7" max="8" width="9.140625" style="77"/>
    <col min="9" max="9" width="9.140625" style="77" customWidth="1"/>
    <col min="10" max="10" width="1.5703125" style="77" customWidth="1"/>
    <col min="11" max="16384" width="9.140625" style="77"/>
  </cols>
  <sheetData>
    <row r="2" spans="2:16" ht="31.5" x14ac:dyDescent="0.5">
      <c r="C2" s="78" t="s">
        <v>102</v>
      </c>
    </row>
    <row r="4" spans="2:16" x14ac:dyDescent="0.25">
      <c r="B4" s="79" t="b">
        <v>1</v>
      </c>
      <c r="C4" s="77" t="s">
        <v>1</v>
      </c>
    </row>
    <row r="6" spans="2:16" ht="18.75" x14ac:dyDescent="0.3">
      <c r="C6" s="144" t="s">
        <v>103</v>
      </c>
      <c r="D6" s="144"/>
      <c r="F6" s="144" t="s">
        <v>106</v>
      </c>
      <c r="G6" s="144"/>
      <c r="I6" s="152" t="s">
        <v>103</v>
      </c>
      <c r="J6" s="153"/>
    </row>
    <row r="7" spans="2:16" x14ac:dyDescent="0.25">
      <c r="C7" s="81" t="str">
        <f>"Distance to Target (" &amp; IF($B$4, "m", "ft") &amp; ")"</f>
        <v>Distance to Target (m)</v>
      </c>
      <c r="D7" s="154">
        <v>1.523925632429137</v>
      </c>
      <c r="F7" s="81" t="str">
        <f>"Distance to Target (" &amp; IF($B$4, "m", "ft") &amp; ")"</f>
        <v>Distance to Target (m)</v>
      </c>
      <c r="G7" s="154">
        <v>1.523925632429137</v>
      </c>
    </row>
    <row r="8" spans="2:16" x14ac:dyDescent="0.25">
      <c r="C8" s="81" t="str">
        <f>"Release Height (" &amp; IF($B$4, "m", "ft") &amp; ")"</f>
        <v>Release Height (m)</v>
      </c>
      <c r="D8" s="154">
        <v>0.3047851264858274</v>
      </c>
      <c r="F8" s="81" t="str">
        <f>"Release Height (" &amp; IF($B$4, "m", "ft") &amp; ")"</f>
        <v>Release Height (m)</v>
      </c>
      <c r="G8" s="154">
        <v>0.3047851264858274</v>
      </c>
      <c r="I8" s="119"/>
      <c r="J8" s="119">
        <v>0</v>
      </c>
      <c r="L8" s="119"/>
      <c r="M8" s="119">
        <v>0</v>
      </c>
      <c r="O8" s="119"/>
      <c r="P8" s="119">
        <v>0</v>
      </c>
    </row>
    <row r="9" spans="2:16" x14ac:dyDescent="0.25">
      <c r="C9" s="81" t="str">
        <f>"Release Velocity (" &amp; IF($B$4, "m", "ft") &amp; "/s)"</f>
        <v>Release Velocity (m/s)</v>
      </c>
      <c r="D9" s="154">
        <v>4.5717768972874122</v>
      </c>
      <c r="F9" s="81" t="str">
        <f>"Target Height (" &amp; IF($B$4, "m", "ft") &amp; ")"</f>
        <v>Target Height (m)</v>
      </c>
      <c r="G9" s="154">
        <v>1.2191405059433096</v>
      </c>
      <c r="I9" s="119"/>
      <c r="J9" s="119">
        <v>0</v>
      </c>
      <c r="O9" s="119"/>
      <c r="P9" s="119">
        <v>0</v>
      </c>
    </row>
    <row r="10" spans="2:16" x14ac:dyDescent="0.25">
      <c r="C10" s="81" t="s">
        <v>104</v>
      </c>
      <c r="D10" s="123">
        <v>70</v>
      </c>
      <c r="F10" s="81" t="s">
        <v>107</v>
      </c>
      <c r="G10" s="123">
        <v>-60</v>
      </c>
      <c r="I10" s="125"/>
      <c r="J10" s="119">
        <v>0</v>
      </c>
    </row>
    <row r="11" spans="2:16" x14ac:dyDescent="0.25">
      <c r="D11" s="118"/>
      <c r="G11" s="118"/>
    </row>
    <row r="12" spans="2:16" x14ac:dyDescent="0.25">
      <c r="D12" s="118"/>
      <c r="G12" s="118"/>
    </row>
    <row r="13" spans="2:16" x14ac:dyDescent="0.25">
      <c r="C13" s="81" t="str">
        <f>"Final Height (" &amp; IF($B$4, "m", "ft") &amp; ")"</f>
        <v>Final Height (m)</v>
      </c>
      <c r="D13" s="110">
        <v>10.079807336426413</v>
      </c>
      <c r="F13" s="81" t="str">
        <f>"Release Velocity (" &amp; IF($B$4, "m", "ft") &amp; "/s)"</f>
        <v>Release Velocity (m/s)</v>
      </c>
      <c r="G13" s="110">
        <f>SQRT((IF($B$4, 9.807, 32.174)*G7)/(ABS(TAN(RADIANS(G14))-TAN(RADIANS(G10)))))/COS(RADIANS(G14))</f>
        <v>5.5453881994838294</v>
      </c>
    </row>
    <row r="14" spans="2:16" x14ac:dyDescent="0.25">
      <c r="C14" s="81" t="s">
        <v>105</v>
      </c>
      <c r="D14" s="124">
        <f>DEGREES(ATAN(2*(D13-D8)/D7-TAN(RADIANS(D10))))</f>
        <v>84.335137472670056</v>
      </c>
      <c r="F14" s="81" t="s">
        <v>104</v>
      </c>
      <c r="G14" s="124">
        <f>DEGREES(ATAN(2*(G9-G8)/G7-TAN(RADIANS(G10))))</f>
        <v>71.167636014035594</v>
      </c>
    </row>
    <row r="33" spans="11:17" x14ac:dyDescent="0.25">
      <c r="K33" s="79">
        <f>IF($I$6="Forward", D8, G8)</f>
        <v>0.3047851264858274</v>
      </c>
      <c r="L33" s="79">
        <f>IF($I$6="Forward", D7, G7)</f>
        <v>1.523925632429137</v>
      </c>
      <c r="M33" s="79">
        <f>IF($I$6="Forward", D9, G13)</f>
        <v>4.5717768972874122</v>
      </c>
      <c r="N33" s="79">
        <f>RADIANS(IF($I$6="Forward", D10, G14))</f>
        <v>1.2217304763960306</v>
      </c>
      <c r="O33" s="79">
        <f>IF($B$4, 9.807, 32.174)</f>
        <v>9.8070000000000004</v>
      </c>
      <c r="P33" s="79"/>
      <c r="Q33" s="79">
        <f>MAX(L35:L135, M35:M135)</f>
        <v>1.523925632429137</v>
      </c>
    </row>
    <row r="34" spans="11:17" x14ac:dyDescent="0.25">
      <c r="K34" s="79"/>
      <c r="L34" s="79"/>
      <c r="M34" s="79"/>
      <c r="N34" s="79"/>
      <c r="O34" s="79"/>
      <c r="P34" s="79"/>
      <c r="Q34" s="79"/>
    </row>
    <row r="35" spans="11:17" x14ac:dyDescent="0.25">
      <c r="K35" s="79">
        <v>0</v>
      </c>
      <c r="L35" s="79">
        <f>$L$33/100*K35</f>
        <v>0</v>
      </c>
      <c r="M35" s="79">
        <f>MAX(TAN($N$33)*L35 - $O$33*L35^2 / (2*($M$33*COS($N$33))^2) + $K$33, 0)</f>
        <v>0.3047851264858274</v>
      </c>
      <c r="N35" s="79"/>
      <c r="O35" s="79"/>
      <c r="P35" s="79"/>
      <c r="Q35" s="79"/>
    </row>
    <row r="36" spans="11:17" x14ac:dyDescent="0.25">
      <c r="K36" s="79">
        <v>1</v>
      </c>
      <c r="L36" s="79">
        <f>$L$33/100*K36</f>
        <v>1.5239256324291371E-2</v>
      </c>
      <c r="M36" s="79">
        <f t="shared" ref="M36:M99" si="0">MAX(TAN($N$33)*L36 - $O$33*L36^2 / (2*($M$33*COS($N$33))^2) + $K$33, 0)</f>
        <v>0.34618888115001428</v>
      </c>
      <c r="N36" s="79"/>
      <c r="O36" s="79"/>
      <c r="P36" s="79"/>
      <c r="Q36" s="79"/>
    </row>
    <row r="37" spans="11:17" x14ac:dyDescent="0.25">
      <c r="K37" s="79">
        <v>2</v>
      </c>
      <c r="L37" s="79">
        <f>$L$33/100*K37</f>
        <v>3.0478512648582742E-2</v>
      </c>
      <c r="M37" s="79">
        <f t="shared" si="0"/>
        <v>0.38666111986203189</v>
      </c>
      <c r="N37" s="79"/>
      <c r="O37" s="79"/>
      <c r="P37" s="79"/>
      <c r="Q37" s="79"/>
    </row>
    <row r="38" spans="11:17" x14ac:dyDescent="0.25">
      <c r="K38" s="79">
        <v>3</v>
      </c>
      <c r="L38" s="79">
        <f>$L$33/100*K38</f>
        <v>4.5717768972874114E-2</v>
      </c>
      <c r="M38" s="79">
        <f t="shared" si="0"/>
        <v>0.4262018426218801</v>
      </c>
      <c r="N38" s="79"/>
      <c r="O38" s="79"/>
      <c r="P38" s="79"/>
      <c r="Q38" s="79"/>
    </row>
    <row r="39" spans="11:17" x14ac:dyDescent="0.25">
      <c r="K39" s="79">
        <v>4</v>
      </c>
      <c r="L39" s="79">
        <f>$L$33/100*K39</f>
        <v>6.0957025297165485E-2</v>
      </c>
      <c r="M39" s="79">
        <f t="shared" si="0"/>
        <v>0.46481104942955898</v>
      </c>
      <c r="N39" s="79"/>
      <c r="O39" s="79"/>
      <c r="P39" s="79"/>
      <c r="Q39" s="79"/>
    </row>
    <row r="40" spans="11:17" x14ac:dyDescent="0.25">
      <c r="K40" s="79">
        <v>5</v>
      </c>
      <c r="L40" s="79">
        <f>$L$33/100*K40</f>
        <v>7.6196281621456863E-2</v>
      </c>
      <c r="M40" s="79">
        <f t="shared" si="0"/>
        <v>0.50248874028506862</v>
      </c>
      <c r="N40" s="79"/>
      <c r="O40" s="79"/>
      <c r="P40" s="79"/>
      <c r="Q40" s="79"/>
    </row>
    <row r="41" spans="11:17" x14ac:dyDescent="0.25">
      <c r="K41" s="79">
        <v>6</v>
      </c>
      <c r="L41" s="79">
        <f>$L$33/100*K41</f>
        <v>9.1435537945748227E-2</v>
      </c>
      <c r="M41" s="79">
        <f t="shared" si="0"/>
        <v>0.53923491518840883</v>
      </c>
      <c r="N41" s="79"/>
      <c r="O41" s="79"/>
      <c r="P41" s="79"/>
      <c r="Q41" s="79"/>
    </row>
    <row r="42" spans="11:17" x14ac:dyDescent="0.25">
      <c r="K42" s="79">
        <v>7</v>
      </c>
      <c r="L42" s="79">
        <f>$L$33/100*K42</f>
        <v>0.10667479427003959</v>
      </c>
      <c r="M42" s="79">
        <f t="shared" si="0"/>
        <v>0.57504957413957958</v>
      </c>
      <c r="N42" s="79"/>
      <c r="O42" s="79"/>
      <c r="P42" s="79"/>
      <c r="Q42" s="79"/>
    </row>
    <row r="43" spans="11:17" x14ac:dyDescent="0.25">
      <c r="K43" s="79">
        <v>8</v>
      </c>
      <c r="L43" s="79">
        <f>$L$33/100*K43</f>
        <v>0.12191405059433097</v>
      </c>
      <c r="M43" s="79">
        <f t="shared" si="0"/>
        <v>0.6099327171385811</v>
      </c>
      <c r="N43" s="79"/>
      <c r="O43" s="79"/>
      <c r="P43" s="79"/>
      <c r="Q43" s="79"/>
    </row>
    <row r="44" spans="11:17" x14ac:dyDescent="0.25">
      <c r="K44" s="79">
        <v>9</v>
      </c>
      <c r="L44" s="79">
        <f>$L$33/100*K44</f>
        <v>0.13715330691862235</v>
      </c>
      <c r="M44" s="79">
        <f t="shared" si="0"/>
        <v>0.6438843441854134</v>
      </c>
      <c r="N44" s="79"/>
      <c r="O44" s="79"/>
      <c r="P44" s="79"/>
      <c r="Q44" s="79"/>
    </row>
    <row r="45" spans="11:17" x14ac:dyDescent="0.25">
      <c r="K45" s="79">
        <v>10</v>
      </c>
      <c r="L45" s="79">
        <f>$L$33/100*K45</f>
        <v>0.15239256324291373</v>
      </c>
      <c r="M45" s="79">
        <f t="shared" si="0"/>
        <v>0.67690445528007626</v>
      </c>
      <c r="N45" s="79"/>
      <c r="O45" s="79"/>
      <c r="P45" s="79"/>
      <c r="Q45" s="79"/>
    </row>
    <row r="46" spans="11:17" x14ac:dyDescent="0.25">
      <c r="K46" s="79">
        <v>11</v>
      </c>
      <c r="L46" s="79">
        <f>$L$33/100*K46</f>
        <v>0.16763181956720508</v>
      </c>
      <c r="M46" s="79">
        <f t="shared" si="0"/>
        <v>0.70899305042256966</v>
      </c>
      <c r="N46" s="79"/>
      <c r="O46" s="79"/>
      <c r="P46" s="79"/>
      <c r="Q46" s="79"/>
    </row>
    <row r="47" spans="11:17" x14ac:dyDescent="0.25">
      <c r="K47" s="79">
        <v>12</v>
      </c>
      <c r="L47" s="79">
        <f>$L$33/100*K47</f>
        <v>0.18287107589149645</v>
      </c>
      <c r="M47" s="79">
        <f t="shared" si="0"/>
        <v>0.74015012961289406</v>
      </c>
      <c r="N47" s="79"/>
      <c r="O47" s="79"/>
      <c r="P47" s="79"/>
      <c r="Q47" s="79"/>
    </row>
    <row r="48" spans="11:17" x14ac:dyDescent="0.25">
      <c r="K48" s="79">
        <v>13</v>
      </c>
      <c r="L48" s="79">
        <f>$L$33/100*K48</f>
        <v>0.19811033221578783</v>
      </c>
      <c r="M48" s="79">
        <f t="shared" si="0"/>
        <v>0.77037569285104879</v>
      </c>
      <c r="N48" s="79"/>
      <c r="O48" s="79"/>
      <c r="P48" s="79"/>
      <c r="Q48" s="79"/>
    </row>
    <row r="49" spans="11:17" x14ac:dyDescent="0.25">
      <c r="K49" s="79">
        <v>14</v>
      </c>
      <c r="L49" s="79">
        <f>$L$33/100*K49</f>
        <v>0.21334958854007918</v>
      </c>
      <c r="M49" s="79">
        <f t="shared" si="0"/>
        <v>0.79966974013703429</v>
      </c>
      <c r="N49" s="79"/>
      <c r="O49" s="79"/>
      <c r="P49" s="79"/>
      <c r="Q49" s="79"/>
    </row>
    <row r="50" spans="11:17" x14ac:dyDescent="0.25">
      <c r="K50" s="79">
        <v>15</v>
      </c>
      <c r="L50" s="79">
        <f>$L$33/100*K50</f>
        <v>0.22858884486437056</v>
      </c>
      <c r="M50" s="79">
        <f t="shared" si="0"/>
        <v>0.82803227147085057</v>
      </c>
      <c r="N50" s="79"/>
      <c r="O50" s="79"/>
      <c r="P50" s="79"/>
      <c r="Q50" s="79"/>
    </row>
    <row r="51" spans="11:17" x14ac:dyDescent="0.25">
      <c r="K51" s="79">
        <v>16</v>
      </c>
      <c r="L51" s="79">
        <f>$L$33/100*K51</f>
        <v>0.24382810118866194</v>
      </c>
      <c r="M51" s="79">
        <f t="shared" si="0"/>
        <v>0.85546328685249717</v>
      </c>
      <c r="N51" s="79"/>
      <c r="O51" s="79"/>
      <c r="P51" s="79"/>
      <c r="Q51" s="79"/>
    </row>
    <row r="52" spans="11:17" x14ac:dyDescent="0.25">
      <c r="K52" s="79">
        <v>17</v>
      </c>
      <c r="L52" s="79">
        <f>$L$33/100*K52</f>
        <v>0.25906735751295329</v>
      </c>
      <c r="M52" s="79">
        <f t="shared" si="0"/>
        <v>0.88196278628197478</v>
      </c>
      <c r="N52" s="79"/>
      <c r="O52" s="79"/>
      <c r="P52" s="79"/>
      <c r="Q52" s="79"/>
    </row>
    <row r="53" spans="11:17" x14ac:dyDescent="0.25">
      <c r="K53" s="79">
        <v>18</v>
      </c>
      <c r="L53" s="79">
        <f>$L$33/100*K53</f>
        <v>0.27430661383724469</v>
      </c>
      <c r="M53" s="79">
        <f t="shared" si="0"/>
        <v>0.90753076975928293</v>
      </c>
      <c r="N53" s="79"/>
      <c r="O53" s="79"/>
      <c r="P53" s="79"/>
      <c r="Q53" s="79"/>
    </row>
    <row r="54" spans="11:17" x14ac:dyDescent="0.25">
      <c r="K54" s="79">
        <v>19</v>
      </c>
      <c r="L54" s="79">
        <f>$L$33/100*K54</f>
        <v>0.28954587016153605</v>
      </c>
      <c r="M54" s="79">
        <f t="shared" si="0"/>
        <v>0.93216723728442163</v>
      </c>
      <c r="N54" s="79"/>
      <c r="O54" s="79"/>
      <c r="P54" s="79"/>
      <c r="Q54" s="79"/>
    </row>
    <row r="55" spans="11:17" x14ac:dyDescent="0.25">
      <c r="K55" s="79">
        <v>20</v>
      </c>
      <c r="L55" s="79">
        <f>$L$33/100*K55</f>
        <v>0.30478512648582745</v>
      </c>
      <c r="M55" s="79">
        <f t="shared" si="0"/>
        <v>0.95587218885739111</v>
      </c>
      <c r="N55" s="79"/>
      <c r="O55" s="79"/>
      <c r="P55" s="79"/>
      <c r="Q55" s="79"/>
    </row>
    <row r="56" spans="11:17" x14ac:dyDescent="0.25">
      <c r="K56" s="79">
        <v>21</v>
      </c>
      <c r="L56" s="79">
        <f>$L$33/100*K56</f>
        <v>0.3200243828101188</v>
      </c>
      <c r="M56" s="79">
        <f t="shared" si="0"/>
        <v>0.97864562447819137</v>
      </c>
      <c r="N56" s="79"/>
      <c r="O56" s="79"/>
      <c r="P56" s="79"/>
      <c r="Q56" s="79"/>
    </row>
    <row r="57" spans="11:17" x14ac:dyDescent="0.25">
      <c r="K57" s="79">
        <v>22</v>
      </c>
      <c r="L57" s="79">
        <f>$L$33/100*K57</f>
        <v>0.33526363913441015</v>
      </c>
      <c r="M57" s="79">
        <f t="shared" si="0"/>
        <v>1.0004875441468219</v>
      </c>
      <c r="N57" s="79"/>
      <c r="O57" s="79"/>
      <c r="P57" s="79"/>
      <c r="Q57" s="79"/>
    </row>
    <row r="58" spans="11:17" x14ac:dyDescent="0.25">
      <c r="K58" s="79">
        <v>23</v>
      </c>
      <c r="L58" s="79">
        <f>$L$33/100*K58</f>
        <v>0.35050289545870156</v>
      </c>
      <c r="M58" s="79">
        <f t="shared" si="0"/>
        <v>1.0213979478632835</v>
      </c>
      <c r="N58" s="79"/>
      <c r="O58" s="79"/>
      <c r="P58" s="79"/>
      <c r="Q58" s="79"/>
    </row>
    <row r="59" spans="11:17" x14ac:dyDescent="0.25">
      <c r="K59" s="79">
        <v>24</v>
      </c>
      <c r="L59" s="79">
        <f>$L$33/100*K59</f>
        <v>0.36574215178299291</v>
      </c>
      <c r="M59" s="79">
        <f t="shared" si="0"/>
        <v>1.0413768356275757</v>
      </c>
      <c r="N59" s="79"/>
      <c r="O59" s="79"/>
      <c r="P59" s="79"/>
      <c r="Q59" s="79"/>
    </row>
    <row r="60" spans="11:17" x14ac:dyDescent="0.25">
      <c r="K60" s="79">
        <v>25</v>
      </c>
      <c r="L60" s="79">
        <f>$L$33/100*K60</f>
        <v>0.38098140810728426</v>
      </c>
      <c r="M60" s="79">
        <f t="shared" si="0"/>
        <v>1.0604242074396986</v>
      </c>
      <c r="N60" s="79"/>
      <c r="O60" s="79"/>
      <c r="P60" s="79"/>
      <c r="Q60" s="79"/>
    </row>
    <row r="61" spans="11:17" x14ac:dyDescent="0.25">
      <c r="K61" s="79">
        <v>26</v>
      </c>
      <c r="L61" s="79">
        <f>$L$33/100*K61</f>
        <v>0.39622066443157566</v>
      </c>
      <c r="M61" s="79">
        <f t="shared" si="0"/>
        <v>1.0785400632996518</v>
      </c>
      <c r="N61" s="79"/>
      <c r="O61" s="79"/>
      <c r="P61" s="79"/>
      <c r="Q61" s="79"/>
    </row>
    <row r="62" spans="11:17" x14ac:dyDescent="0.25">
      <c r="K62" s="79">
        <v>27</v>
      </c>
      <c r="L62" s="79">
        <f>$L$33/100*K62</f>
        <v>0.41145992075586701</v>
      </c>
      <c r="M62" s="79">
        <f t="shared" si="0"/>
        <v>1.095724403207436</v>
      </c>
      <c r="N62" s="79"/>
      <c r="O62" s="79"/>
      <c r="P62" s="79"/>
      <c r="Q62" s="79"/>
    </row>
    <row r="63" spans="11:17" x14ac:dyDescent="0.25">
      <c r="K63" s="79">
        <v>28</v>
      </c>
      <c r="L63" s="79">
        <f>$L$33/100*K63</f>
        <v>0.42669917708015836</v>
      </c>
      <c r="M63" s="79">
        <f t="shared" si="0"/>
        <v>1.1119772271630508</v>
      </c>
      <c r="N63" s="79"/>
      <c r="O63" s="79"/>
      <c r="P63" s="79"/>
      <c r="Q63" s="79"/>
    </row>
    <row r="64" spans="11:17" x14ac:dyDescent="0.25">
      <c r="K64" s="79">
        <v>29</v>
      </c>
      <c r="L64" s="79">
        <f>$L$33/100*K64</f>
        <v>0.44193843340444977</v>
      </c>
      <c r="M64" s="79">
        <f t="shared" si="0"/>
        <v>1.1272985351664959</v>
      </c>
      <c r="N64" s="79"/>
      <c r="O64" s="79"/>
      <c r="P64" s="79"/>
      <c r="Q64" s="79"/>
    </row>
    <row r="65" spans="11:17" x14ac:dyDescent="0.25">
      <c r="K65" s="79">
        <v>30</v>
      </c>
      <c r="L65" s="79">
        <f>$L$33/100*K65</f>
        <v>0.45717768972874112</v>
      </c>
      <c r="M65" s="79">
        <f t="shared" si="0"/>
        <v>1.1416883272177722</v>
      </c>
      <c r="N65" s="79"/>
      <c r="O65" s="79"/>
      <c r="P65" s="79"/>
      <c r="Q65" s="79"/>
    </row>
    <row r="66" spans="11:17" x14ac:dyDescent="0.25">
      <c r="K66" s="79">
        <v>31</v>
      </c>
      <c r="L66" s="79">
        <f>$L$33/100*K66</f>
        <v>0.47241694605303253</v>
      </c>
      <c r="M66" s="79">
        <f t="shared" si="0"/>
        <v>1.1551466033168789</v>
      </c>
      <c r="N66" s="79"/>
      <c r="O66" s="79"/>
      <c r="P66" s="79"/>
      <c r="Q66" s="79"/>
    </row>
    <row r="67" spans="11:17" x14ac:dyDescent="0.25">
      <c r="K67" s="79">
        <v>32</v>
      </c>
      <c r="L67" s="79">
        <f>$L$33/100*K67</f>
        <v>0.48765620237732388</v>
      </c>
      <c r="M67" s="79">
        <f t="shared" si="0"/>
        <v>1.1676733634638161</v>
      </c>
      <c r="N67" s="79"/>
      <c r="O67" s="79"/>
      <c r="P67" s="79"/>
      <c r="Q67" s="79"/>
    </row>
    <row r="68" spans="11:17" x14ac:dyDescent="0.25">
      <c r="K68" s="79">
        <v>33</v>
      </c>
      <c r="L68" s="79">
        <f>$L$33/100*K68</f>
        <v>0.50289545870161523</v>
      </c>
      <c r="M68" s="79">
        <f t="shared" si="0"/>
        <v>1.1792686076585845</v>
      </c>
      <c r="N68" s="79"/>
      <c r="O68" s="79"/>
      <c r="P68" s="79"/>
      <c r="Q68" s="79"/>
    </row>
    <row r="69" spans="11:17" x14ac:dyDescent="0.25">
      <c r="K69" s="79">
        <v>34</v>
      </c>
      <c r="L69" s="79">
        <f>$L$33/100*K69</f>
        <v>0.51813471502590658</v>
      </c>
      <c r="M69" s="79">
        <f t="shared" si="0"/>
        <v>1.1899323359011831</v>
      </c>
      <c r="N69" s="79"/>
      <c r="O69" s="79"/>
      <c r="P69" s="79"/>
      <c r="Q69" s="79"/>
    </row>
    <row r="70" spans="11:17" x14ac:dyDescent="0.25">
      <c r="K70" s="79">
        <v>35</v>
      </c>
      <c r="L70" s="79">
        <f>$L$33/100*K70</f>
        <v>0.53337397135019804</v>
      </c>
      <c r="M70" s="79">
        <f t="shared" si="0"/>
        <v>1.1996645481916124</v>
      </c>
      <c r="N70" s="79"/>
      <c r="O70" s="79"/>
      <c r="P70" s="79"/>
      <c r="Q70" s="79"/>
    </row>
    <row r="71" spans="11:17" x14ac:dyDescent="0.25">
      <c r="K71" s="79">
        <v>36</v>
      </c>
      <c r="L71" s="79">
        <f>$L$33/100*K71</f>
        <v>0.54861322767448939</v>
      </c>
      <c r="M71" s="79">
        <f t="shared" si="0"/>
        <v>1.2084652445298725</v>
      </c>
      <c r="N71" s="79"/>
      <c r="O71" s="79"/>
      <c r="P71" s="79"/>
      <c r="Q71" s="79"/>
    </row>
    <row r="72" spans="11:17" x14ac:dyDescent="0.25">
      <c r="K72" s="79">
        <v>37</v>
      </c>
      <c r="L72" s="79">
        <f>$L$33/100*K72</f>
        <v>0.56385248399878074</v>
      </c>
      <c r="M72" s="79">
        <f t="shared" si="0"/>
        <v>1.2163344249159631</v>
      </c>
      <c r="N72" s="79"/>
      <c r="O72" s="79"/>
      <c r="P72" s="79"/>
      <c r="Q72" s="79"/>
    </row>
    <row r="73" spans="11:17" x14ac:dyDescent="0.25">
      <c r="K73" s="79">
        <v>38</v>
      </c>
      <c r="L73" s="79">
        <f>$L$33/100*K73</f>
        <v>0.57909174032307209</v>
      </c>
      <c r="M73" s="79">
        <f t="shared" si="0"/>
        <v>1.2232720893498843</v>
      </c>
      <c r="N73" s="79"/>
      <c r="O73" s="79"/>
      <c r="P73" s="79"/>
      <c r="Q73" s="79"/>
    </row>
    <row r="74" spans="11:17" x14ac:dyDescent="0.25">
      <c r="K74" s="79">
        <v>39</v>
      </c>
      <c r="L74" s="79">
        <f>$L$33/100*K74</f>
        <v>0.59433099664736344</v>
      </c>
      <c r="M74" s="79">
        <f t="shared" si="0"/>
        <v>1.2292782378316365</v>
      </c>
      <c r="N74" s="79"/>
      <c r="O74" s="79"/>
      <c r="P74" s="79"/>
      <c r="Q74" s="79"/>
    </row>
    <row r="75" spans="11:17" x14ac:dyDescent="0.25">
      <c r="K75" s="79">
        <v>40</v>
      </c>
      <c r="L75" s="79">
        <f>$L$33/100*K75</f>
        <v>0.6095702529716549</v>
      </c>
      <c r="M75" s="79">
        <f t="shared" si="0"/>
        <v>1.2343528703612192</v>
      </c>
      <c r="N75" s="79"/>
      <c r="O75" s="79"/>
      <c r="P75" s="79"/>
      <c r="Q75" s="79"/>
    </row>
    <row r="76" spans="11:17" x14ac:dyDescent="0.25">
      <c r="K76" s="79">
        <v>41</v>
      </c>
      <c r="L76" s="79">
        <f>$L$33/100*K76</f>
        <v>0.62480950929594625</v>
      </c>
      <c r="M76" s="79">
        <f t="shared" si="0"/>
        <v>1.2384959869386325</v>
      </c>
      <c r="N76" s="79"/>
      <c r="O76" s="79"/>
      <c r="P76" s="79"/>
      <c r="Q76" s="79"/>
    </row>
    <row r="77" spans="11:17" x14ac:dyDescent="0.25">
      <c r="K77" s="79">
        <v>42</v>
      </c>
      <c r="L77" s="79">
        <f>$L$33/100*K77</f>
        <v>0.6400487656202376</v>
      </c>
      <c r="M77" s="79">
        <f t="shared" si="0"/>
        <v>1.2417075875638766</v>
      </c>
      <c r="N77" s="79"/>
      <c r="O77" s="79"/>
      <c r="P77" s="79"/>
      <c r="Q77" s="79"/>
    </row>
    <row r="78" spans="11:17" x14ac:dyDescent="0.25">
      <c r="K78" s="79">
        <v>43</v>
      </c>
      <c r="L78" s="79">
        <f>$L$33/100*K78</f>
        <v>0.65528802194452895</v>
      </c>
      <c r="M78" s="79">
        <f t="shared" si="0"/>
        <v>1.2439876722369512</v>
      </c>
      <c r="N78" s="79"/>
      <c r="O78" s="79"/>
      <c r="P78" s="79"/>
      <c r="Q78" s="79"/>
    </row>
    <row r="79" spans="11:17" x14ac:dyDescent="0.25">
      <c r="K79" s="79">
        <v>44</v>
      </c>
      <c r="L79" s="79">
        <f>$L$33/100*K79</f>
        <v>0.6705272782688203</v>
      </c>
      <c r="M79" s="79">
        <f t="shared" si="0"/>
        <v>1.2453362409578566</v>
      </c>
      <c r="N79" s="79"/>
      <c r="O79" s="79"/>
      <c r="P79" s="79"/>
      <c r="Q79" s="79"/>
    </row>
    <row r="80" spans="11:17" x14ac:dyDescent="0.25">
      <c r="K80" s="79">
        <v>45</v>
      </c>
      <c r="L80" s="79">
        <f>$L$33/100*K80</f>
        <v>0.68576653459311165</v>
      </c>
      <c r="M80" s="79">
        <f t="shared" si="0"/>
        <v>1.2457532937265925</v>
      </c>
      <c r="N80" s="79"/>
      <c r="O80" s="79"/>
      <c r="P80" s="79"/>
      <c r="Q80" s="79"/>
    </row>
    <row r="81" spans="11:17" x14ac:dyDescent="0.25">
      <c r="K81" s="79">
        <v>46</v>
      </c>
      <c r="L81" s="79">
        <f>$L$33/100*K81</f>
        <v>0.70100579091740312</v>
      </c>
      <c r="M81" s="79">
        <f t="shared" si="0"/>
        <v>1.2452388305431592</v>
      </c>
      <c r="N81" s="79"/>
      <c r="O81" s="79"/>
      <c r="P81" s="79"/>
      <c r="Q81" s="79"/>
    </row>
    <row r="82" spans="11:17" x14ac:dyDescent="0.25">
      <c r="K82" s="79">
        <v>47</v>
      </c>
      <c r="L82" s="79">
        <f>$L$33/100*K82</f>
        <v>0.71624504724169447</v>
      </c>
      <c r="M82" s="79">
        <f t="shared" si="0"/>
        <v>1.2437928514075565</v>
      </c>
      <c r="N82" s="79"/>
      <c r="O82" s="79"/>
      <c r="P82" s="79"/>
      <c r="Q82" s="79"/>
    </row>
    <row r="83" spans="11:17" x14ac:dyDescent="0.25">
      <c r="K83" s="79">
        <v>48</v>
      </c>
      <c r="L83" s="79">
        <f>$L$33/100*K83</f>
        <v>0.73148430356598582</v>
      </c>
      <c r="M83" s="79">
        <f t="shared" si="0"/>
        <v>1.2414153563197847</v>
      </c>
      <c r="N83" s="79"/>
      <c r="O83" s="79"/>
      <c r="P83" s="79"/>
      <c r="Q83" s="79"/>
    </row>
    <row r="84" spans="11:17" x14ac:dyDescent="0.25">
      <c r="K84" s="79">
        <v>49</v>
      </c>
      <c r="L84" s="79">
        <f>$L$33/100*K84</f>
        <v>0.74672355989027717</v>
      </c>
      <c r="M84" s="79">
        <f t="shared" si="0"/>
        <v>1.2381063452798431</v>
      </c>
      <c r="N84" s="79"/>
      <c r="O84" s="79"/>
      <c r="P84" s="79"/>
      <c r="Q84" s="79"/>
    </row>
    <row r="85" spans="11:17" x14ac:dyDescent="0.25">
      <c r="K85" s="79">
        <v>50</v>
      </c>
      <c r="L85" s="79">
        <f>$L$33/100*K85</f>
        <v>0.76196281621456852</v>
      </c>
      <c r="M85" s="79">
        <f t="shared" si="0"/>
        <v>1.2338658182877327</v>
      </c>
      <c r="N85" s="79"/>
      <c r="O85" s="79"/>
      <c r="P85" s="79"/>
      <c r="Q85" s="79"/>
    </row>
    <row r="86" spans="11:17" x14ac:dyDescent="0.25">
      <c r="K86" s="79">
        <v>51</v>
      </c>
      <c r="L86" s="79">
        <f>$L$33/100*K86</f>
        <v>0.77720207253885998</v>
      </c>
      <c r="M86" s="79">
        <f t="shared" si="0"/>
        <v>1.2286937753434524</v>
      </c>
      <c r="N86" s="79"/>
      <c r="O86" s="79"/>
      <c r="P86" s="79"/>
      <c r="Q86" s="79"/>
    </row>
    <row r="87" spans="11:17" x14ac:dyDescent="0.25">
      <c r="K87" s="79">
        <v>52</v>
      </c>
      <c r="L87" s="79">
        <f>$L$33/100*K87</f>
        <v>0.79244132886315133</v>
      </c>
      <c r="M87" s="79">
        <f t="shared" si="0"/>
        <v>1.2225902164470028</v>
      </c>
      <c r="N87" s="79"/>
      <c r="O87" s="79"/>
      <c r="P87" s="79"/>
      <c r="Q87" s="79"/>
    </row>
    <row r="88" spans="11:17" x14ac:dyDescent="0.25">
      <c r="K88" s="79">
        <v>53</v>
      </c>
      <c r="L88" s="79">
        <f>$L$33/100*K88</f>
        <v>0.80768058518744268</v>
      </c>
      <c r="M88" s="79">
        <f t="shared" si="0"/>
        <v>1.2155551415983843</v>
      </c>
      <c r="N88" s="79"/>
      <c r="O88" s="79"/>
      <c r="P88" s="79"/>
      <c r="Q88" s="79"/>
    </row>
    <row r="89" spans="11:17" x14ac:dyDescent="0.25">
      <c r="K89" s="79">
        <v>54</v>
      </c>
      <c r="L89" s="79">
        <f>$L$33/100*K89</f>
        <v>0.82291984151173403</v>
      </c>
      <c r="M89" s="79">
        <f t="shared" si="0"/>
        <v>1.2075885507975963</v>
      </c>
      <c r="N89" s="79"/>
      <c r="O89" s="79"/>
      <c r="P89" s="79"/>
      <c r="Q89" s="79"/>
    </row>
    <row r="90" spans="11:17" x14ac:dyDescent="0.25">
      <c r="K90" s="79">
        <v>55</v>
      </c>
      <c r="L90" s="79">
        <f>$L$33/100*K90</f>
        <v>0.83815909783602538</v>
      </c>
      <c r="M90" s="79">
        <f t="shared" si="0"/>
        <v>1.1986904440446389</v>
      </c>
      <c r="N90" s="79"/>
      <c r="O90" s="79"/>
      <c r="P90" s="79"/>
      <c r="Q90" s="79"/>
    </row>
    <row r="91" spans="11:17" x14ac:dyDescent="0.25">
      <c r="K91" s="79">
        <v>56</v>
      </c>
      <c r="L91" s="79">
        <f>$L$33/100*K91</f>
        <v>0.85339835416031673</v>
      </c>
      <c r="M91" s="79">
        <f t="shared" si="0"/>
        <v>1.1888608213395122</v>
      </c>
      <c r="N91" s="79"/>
      <c r="O91" s="79"/>
      <c r="P91" s="79"/>
      <c r="Q91" s="79"/>
    </row>
    <row r="92" spans="11:17" x14ac:dyDescent="0.25">
      <c r="K92" s="79">
        <v>57</v>
      </c>
      <c r="L92" s="79">
        <f>$L$33/100*K92</f>
        <v>0.86863761048460819</v>
      </c>
      <c r="M92" s="79">
        <f t="shared" si="0"/>
        <v>1.1780996826822159</v>
      </c>
      <c r="N92" s="79"/>
      <c r="O92" s="79"/>
      <c r="P92" s="79"/>
      <c r="Q92" s="79"/>
    </row>
    <row r="93" spans="11:17" x14ac:dyDescent="0.25">
      <c r="K93" s="79">
        <v>58</v>
      </c>
      <c r="L93" s="79">
        <f>$L$33/100*K93</f>
        <v>0.88387686680889954</v>
      </c>
      <c r="M93" s="79">
        <f t="shared" si="0"/>
        <v>1.1664070280727501</v>
      </c>
      <c r="N93" s="79"/>
      <c r="O93" s="79"/>
      <c r="P93" s="79"/>
      <c r="Q93" s="79"/>
    </row>
    <row r="94" spans="11:17" x14ac:dyDescent="0.25">
      <c r="K94" s="79">
        <v>59</v>
      </c>
      <c r="L94" s="79">
        <f>$L$33/100*K94</f>
        <v>0.89911612313319089</v>
      </c>
      <c r="M94" s="79">
        <f t="shared" si="0"/>
        <v>1.1537828575111155</v>
      </c>
      <c r="N94" s="79"/>
      <c r="O94" s="79"/>
      <c r="P94" s="79"/>
      <c r="Q94" s="79"/>
    </row>
    <row r="95" spans="11:17" x14ac:dyDescent="0.25">
      <c r="K95" s="79">
        <v>60</v>
      </c>
      <c r="L95" s="79">
        <f>$L$33/100*K95</f>
        <v>0.91435537945748224</v>
      </c>
      <c r="M95" s="79">
        <f t="shared" si="0"/>
        <v>1.1402271709973117</v>
      </c>
      <c r="N95" s="79"/>
      <c r="O95" s="79"/>
      <c r="P95" s="79"/>
      <c r="Q95" s="79"/>
    </row>
    <row r="96" spans="11:17" x14ac:dyDescent="0.25">
      <c r="K96" s="79">
        <v>61</v>
      </c>
      <c r="L96" s="79">
        <f>$L$33/100*K96</f>
        <v>0.92959463578177359</v>
      </c>
      <c r="M96" s="79">
        <f t="shared" si="0"/>
        <v>1.1257399685313381</v>
      </c>
      <c r="N96" s="79"/>
      <c r="O96" s="79"/>
      <c r="P96" s="79"/>
      <c r="Q96" s="79"/>
    </row>
    <row r="97" spans="11:17" x14ac:dyDescent="0.25">
      <c r="K97" s="79">
        <v>62</v>
      </c>
      <c r="L97" s="79">
        <f>$L$33/100*K97</f>
        <v>0.94483389210606505</v>
      </c>
      <c r="M97" s="79">
        <f t="shared" si="0"/>
        <v>1.1103212501131952</v>
      </c>
      <c r="N97" s="79"/>
      <c r="O97" s="79"/>
      <c r="P97" s="79"/>
      <c r="Q97" s="79"/>
    </row>
    <row r="98" spans="11:17" x14ac:dyDescent="0.25">
      <c r="K98" s="79">
        <v>63</v>
      </c>
      <c r="L98" s="79">
        <f>$L$33/100*K98</f>
        <v>0.9600731484303564</v>
      </c>
      <c r="M98" s="79">
        <f t="shared" si="0"/>
        <v>1.0939710157428832</v>
      </c>
      <c r="N98" s="79"/>
      <c r="O98" s="79"/>
      <c r="P98" s="79"/>
      <c r="Q98" s="79"/>
    </row>
    <row r="99" spans="11:17" x14ac:dyDescent="0.25">
      <c r="K99" s="79">
        <v>64</v>
      </c>
      <c r="L99" s="79">
        <f>$L$33/100*K99</f>
        <v>0.97531240475464775</v>
      </c>
      <c r="M99" s="79">
        <f t="shared" si="0"/>
        <v>1.0766892654204017</v>
      </c>
      <c r="N99" s="79"/>
      <c r="O99" s="79"/>
      <c r="P99" s="79"/>
      <c r="Q99" s="79"/>
    </row>
    <row r="100" spans="11:17" x14ac:dyDescent="0.25">
      <c r="K100" s="79">
        <v>65</v>
      </c>
      <c r="L100" s="79">
        <f>$L$33/100*K100</f>
        <v>0.99055166107893911</v>
      </c>
      <c r="M100" s="79">
        <f t="shared" ref="M100:M135" si="1">MAX(TAN($N$33)*L100 - $O$33*L100^2 / (2*($M$33*COS($N$33))^2) + $K$33, 0)</f>
        <v>1.0584759991457511</v>
      </c>
      <c r="N100" s="79"/>
      <c r="O100" s="79"/>
      <c r="P100" s="79"/>
      <c r="Q100" s="79"/>
    </row>
    <row r="101" spans="11:17" x14ac:dyDescent="0.25">
      <c r="K101" s="79">
        <v>66</v>
      </c>
      <c r="L101" s="79">
        <f>$L$33/100*K101</f>
        <v>1.0057909174032305</v>
      </c>
      <c r="M101" s="79">
        <f t="shared" si="1"/>
        <v>1.0393312169189315</v>
      </c>
      <c r="N101" s="79"/>
      <c r="O101" s="79"/>
      <c r="P101" s="79"/>
      <c r="Q101" s="79"/>
    </row>
    <row r="102" spans="11:17" x14ac:dyDescent="0.25">
      <c r="K102" s="79">
        <v>67</v>
      </c>
      <c r="L102" s="79">
        <f>$L$33/100*K102</f>
        <v>1.0210301737275218</v>
      </c>
      <c r="M102" s="79">
        <f t="shared" si="1"/>
        <v>1.0192549187399416</v>
      </c>
      <c r="N102" s="79"/>
      <c r="O102" s="79"/>
      <c r="P102" s="79"/>
      <c r="Q102" s="79"/>
    </row>
    <row r="103" spans="11:17" x14ac:dyDescent="0.25">
      <c r="K103" s="79">
        <v>68</v>
      </c>
      <c r="L103" s="79">
        <f>$L$33/100*K103</f>
        <v>1.0362694300518132</v>
      </c>
      <c r="M103" s="79">
        <f t="shared" si="1"/>
        <v>0.99824710460878308</v>
      </c>
      <c r="N103" s="79"/>
      <c r="O103" s="79"/>
      <c r="P103" s="79"/>
      <c r="Q103" s="79"/>
    </row>
    <row r="104" spans="11:17" x14ac:dyDescent="0.25">
      <c r="K104" s="79">
        <v>69</v>
      </c>
      <c r="L104" s="79">
        <f>$L$33/100*K104</f>
        <v>1.0515086863761045</v>
      </c>
      <c r="M104" s="79">
        <f t="shared" si="1"/>
        <v>0.9763077745254547</v>
      </c>
      <c r="N104" s="79"/>
      <c r="O104" s="79"/>
      <c r="P104" s="79"/>
      <c r="Q104" s="79"/>
    </row>
    <row r="105" spans="11:17" x14ac:dyDescent="0.25">
      <c r="K105" s="79">
        <v>70</v>
      </c>
      <c r="L105" s="79">
        <f>$L$33/100*K105</f>
        <v>1.0667479427003961</v>
      </c>
      <c r="M105" s="79">
        <f t="shared" si="1"/>
        <v>0.95343692848995687</v>
      </c>
      <c r="N105" s="79"/>
      <c r="O105" s="79"/>
      <c r="P105" s="79"/>
      <c r="Q105" s="79"/>
    </row>
    <row r="106" spans="11:17" x14ac:dyDescent="0.25">
      <c r="K106" s="79">
        <v>71</v>
      </c>
      <c r="L106" s="79">
        <f>$L$33/100*K106</f>
        <v>1.0819871990246874</v>
      </c>
      <c r="M106" s="79">
        <f t="shared" si="1"/>
        <v>0.92963456650229004</v>
      </c>
      <c r="N106" s="79"/>
      <c r="O106" s="79"/>
      <c r="P106" s="79"/>
      <c r="Q106" s="79"/>
    </row>
    <row r="107" spans="11:17" x14ac:dyDescent="0.25">
      <c r="K107" s="79">
        <v>72</v>
      </c>
      <c r="L107" s="79">
        <f>$L$33/100*K107</f>
        <v>1.0972264553489788</v>
      </c>
      <c r="M107" s="79">
        <f t="shared" si="1"/>
        <v>0.90490068856245376</v>
      </c>
      <c r="N107" s="79"/>
      <c r="O107" s="79"/>
      <c r="P107" s="79"/>
      <c r="Q107" s="79"/>
    </row>
    <row r="108" spans="11:17" x14ac:dyDescent="0.25">
      <c r="K108" s="79">
        <v>73</v>
      </c>
      <c r="L108" s="79">
        <f>$L$33/100*K108</f>
        <v>1.1124657116732701</v>
      </c>
      <c r="M108" s="79">
        <f t="shared" si="1"/>
        <v>0.87923529467044848</v>
      </c>
      <c r="N108" s="79"/>
      <c r="O108" s="79"/>
      <c r="P108" s="79"/>
      <c r="Q108" s="79"/>
    </row>
    <row r="109" spans="11:17" x14ac:dyDescent="0.25">
      <c r="K109" s="79">
        <v>74</v>
      </c>
      <c r="L109" s="79">
        <f>$L$33/100*K109</f>
        <v>1.1277049679975615</v>
      </c>
      <c r="M109" s="79">
        <f t="shared" si="1"/>
        <v>0.8526383848262733</v>
      </c>
      <c r="N109" s="79"/>
      <c r="O109" s="79"/>
      <c r="P109" s="79"/>
      <c r="Q109" s="79"/>
    </row>
    <row r="110" spans="11:17" x14ac:dyDescent="0.25">
      <c r="K110" s="79">
        <v>75</v>
      </c>
      <c r="L110" s="79">
        <f>$L$33/100*K110</f>
        <v>1.1429442243218528</v>
      </c>
      <c r="M110" s="79">
        <f t="shared" si="1"/>
        <v>0.82510995902992956</v>
      </c>
      <c r="N110" s="79"/>
      <c r="O110" s="79"/>
      <c r="P110" s="79"/>
      <c r="Q110" s="79"/>
    </row>
    <row r="111" spans="11:17" x14ac:dyDescent="0.25">
      <c r="K111" s="79">
        <v>76</v>
      </c>
      <c r="L111" s="79">
        <f>$L$33/100*K111</f>
        <v>1.1581834806461442</v>
      </c>
      <c r="M111" s="79">
        <f t="shared" si="1"/>
        <v>0.79665001728141549</v>
      </c>
      <c r="N111" s="79"/>
      <c r="O111" s="79"/>
      <c r="P111" s="79"/>
      <c r="Q111" s="79"/>
    </row>
    <row r="112" spans="11:17" x14ac:dyDescent="0.25">
      <c r="K112" s="79">
        <v>77</v>
      </c>
      <c r="L112" s="79">
        <f>$L$33/100*K112</f>
        <v>1.1734227369704355</v>
      </c>
      <c r="M112" s="79">
        <f t="shared" si="1"/>
        <v>0.7672585595807333</v>
      </c>
      <c r="N112" s="79"/>
      <c r="O112" s="79"/>
      <c r="P112" s="79"/>
      <c r="Q112" s="79"/>
    </row>
    <row r="113" spans="11:17" x14ac:dyDescent="0.25">
      <c r="K113" s="79">
        <v>78</v>
      </c>
      <c r="L113" s="79">
        <f>$L$33/100*K113</f>
        <v>1.1886619932947269</v>
      </c>
      <c r="M113" s="79">
        <f t="shared" si="1"/>
        <v>0.73693558592788078</v>
      </c>
      <c r="N113" s="79"/>
      <c r="O113" s="79"/>
      <c r="P113" s="79"/>
      <c r="Q113" s="79"/>
    </row>
    <row r="114" spans="11:17" x14ac:dyDescent="0.25">
      <c r="K114" s="79">
        <v>79</v>
      </c>
      <c r="L114" s="79">
        <f>$L$33/100*K114</f>
        <v>1.2039012496190182</v>
      </c>
      <c r="M114" s="79">
        <f t="shared" si="1"/>
        <v>0.70568109632285925</v>
      </c>
      <c r="N114" s="79"/>
      <c r="O114" s="79"/>
      <c r="P114" s="79"/>
      <c r="Q114" s="79"/>
    </row>
    <row r="115" spans="11:17" x14ac:dyDescent="0.25">
      <c r="K115" s="79">
        <v>80</v>
      </c>
      <c r="L115" s="79">
        <f>$L$33/100*K115</f>
        <v>1.2191405059433098</v>
      </c>
      <c r="M115" s="79">
        <f t="shared" si="1"/>
        <v>0.67349509076566827</v>
      </c>
      <c r="N115" s="79"/>
      <c r="O115" s="79"/>
      <c r="P115" s="79"/>
      <c r="Q115" s="79"/>
    </row>
    <row r="116" spans="11:17" x14ac:dyDescent="0.25">
      <c r="K116" s="79">
        <v>81</v>
      </c>
      <c r="L116" s="79">
        <f>$L$33/100*K116</f>
        <v>1.2343797622676012</v>
      </c>
      <c r="M116" s="79">
        <f t="shared" si="1"/>
        <v>0.64037756925630784</v>
      </c>
      <c r="N116" s="79"/>
      <c r="O116" s="79"/>
      <c r="P116" s="79"/>
      <c r="Q116" s="79"/>
    </row>
    <row r="117" spans="11:17" x14ac:dyDescent="0.25">
      <c r="K117" s="79">
        <v>82</v>
      </c>
      <c r="L117" s="79">
        <f>$L$33/100*K117</f>
        <v>1.2496190185918925</v>
      </c>
      <c r="M117" s="79">
        <f t="shared" si="1"/>
        <v>0.60632853179477841</v>
      </c>
      <c r="N117" s="79"/>
      <c r="O117" s="79"/>
      <c r="P117" s="79"/>
      <c r="Q117" s="79"/>
    </row>
    <row r="118" spans="11:17" x14ac:dyDescent="0.25">
      <c r="K118" s="79">
        <v>83</v>
      </c>
      <c r="L118" s="79">
        <f>$L$33/100*K118</f>
        <v>1.2648582749161839</v>
      </c>
      <c r="M118" s="79">
        <f t="shared" si="1"/>
        <v>0.57134797838107954</v>
      </c>
      <c r="N118" s="79"/>
      <c r="O118" s="79"/>
      <c r="P118" s="79"/>
      <c r="Q118" s="79"/>
    </row>
    <row r="119" spans="11:17" x14ac:dyDescent="0.25">
      <c r="K119" s="79">
        <v>84</v>
      </c>
      <c r="L119" s="79">
        <f>$L$33/100*K119</f>
        <v>1.2800975312404752</v>
      </c>
      <c r="M119" s="79">
        <f t="shared" si="1"/>
        <v>0.53543590901521121</v>
      </c>
      <c r="N119" s="79"/>
      <c r="O119" s="79"/>
      <c r="P119" s="79"/>
      <c r="Q119" s="79"/>
    </row>
    <row r="120" spans="11:17" x14ac:dyDescent="0.25">
      <c r="K120" s="79">
        <v>85</v>
      </c>
      <c r="L120" s="79">
        <f>$L$33/100*K120</f>
        <v>1.2953367875647666</v>
      </c>
      <c r="M120" s="79">
        <f t="shared" si="1"/>
        <v>0.49859232369717382</v>
      </c>
      <c r="N120" s="79"/>
      <c r="O120" s="79"/>
      <c r="P120" s="79"/>
      <c r="Q120" s="79"/>
    </row>
    <row r="121" spans="11:17" x14ac:dyDescent="0.25">
      <c r="K121" s="79">
        <v>86</v>
      </c>
      <c r="L121" s="79">
        <f>$L$33/100*K121</f>
        <v>1.3105760438890579</v>
      </c>
      <c r="M121" s="79">
        <f t="shared" si="1"/>
        <v>0.4608172224269666</v>
      </c>
      <c r="N121" s="79"/>
      <c r="O121" s="79"/>
      <c r="P121" s="79"/>
      <c r="Q121" s="79"/>
    </row>
    <row r="122" spans="11:17" x14ac:dyDescent="0.25">
      <c r="K122" s="79">
        <v>87</v>
      </c>
      <c r="L122" s="79">
        <f>$L$33/100*K122</f>
        <v>1.3258153002133493</v>
      </c>
      <c r="M122" s="79">
        <f t="shared" si="1"/>
        <v>0.42211060520459082</v>
      </c>
      <c r="N122" s="79"/>
      <c r="O122" s="79"/>
      <c r="P122" s="79"/>
      <c r="Q122" s="79"/>
    </row>
    <row r="123" spans="11:17" x14ac:dyDescent="0.25">
      <c r="K123" s="79">
        <v>88</v>
      </c>
      <c r="L123" s="79">
        <f>$L$33/100*K123</f>
        <v>1.3410545565376406</v>
      </c>
      <c r="M123" s="79">
        <f t="shared" si="1"/>
        <v>0.38247247203004514</v>
      </c>
      <c r="N123" s="79"/>
      <c r="O123" s="79"/>
      <c r="P123" s="79"/>
      <c r="Q123" s="79"/>
    </row>
    <row r="124" spans="11:17" x14ac:dyDescent="0.25">
      <c r="K124" s="79">
        <v>89</v>
      </c>
      <c r="L124" s="79">
        <f>$L$33/100*K124</f>
        <v>1.356293812861932</v>
      </c>
      <c r="M124" s="79">
        <f t="shared" si="1"/>
        <v>0.34190282290333002</v>
      </c>
      <c r="N124" s="79"/>
      <c r="O124" s="79"/>
      <c r="P124" s="79"/>
      <c r="Q124" s="79"/>
    </row>
    <row r="125" spans="11:17" x14ac:dyDescent="0.25">
      <c r="K125" s="79">
        <v>90</v>
      </c>
      <c r="L125" s="79">
        <f>$L$33/100*K125</f>
        <v>1.3715330691862233</v>
      </c>
      <c r="M125" s="79">
        <f t="shared" si="1"/>
        <v>0.30040165782444633</v>
      </c>
      <c r="N125" s="79"/>
      <c r="O125" s="79"/>
      <c r="P125" s="79"/>
      <c r="Q125" s="79"/>
    </row>
    <row r="126" spans="11:17" x14ac:dyDescent="0.25">
      <c r="K126" s="79">
        <v>91</v>
      </c>
      <c r="L126" s="79">
        <f>$L$33/100*K126</f>
        <v>1.3867723255105149</v>
      </c>
      <c r="M126" s="79">
        <f t="shared" si="1"/>
        <v>0.25796897679339187</v>
      </c>
      <c r="N126" s="79"/>
      <c r="O126" s="79"/>
      <c r="P126" s="79"/>
      <c r="Q126" s="79"/>
    </row>
    <row r="127" spans="11:17" x14ac:dyDescent="0.25">
      <c r="K127" s="79">
        <v>92</v>
      </c>
      <c r="L127" s="79">
        <f>$L$33/100*K127</f>
        <v>1.4020115818348062</v>
      </c>
      <c r="M127" s="79">
        <f t="shared" si="1"/>
        <v>0.21460477981016884</v>
      </c>
      <c r="N127" s="79"/>
      <c r="O127" s="79"/>
      <c r="P127" s="79"/>
      <c r="Q127" s="79"/>
    </row>
    <row r="128" spans="11:17" x14ac:dyDescent="0.25">
      <c r="K128" s="79">
        <v>93</v>
      </c>
      <c r="L128" s="79">
        <f>$L$33/100*K128</f>
        <v>1.4172508381590976</v>
      </c>
      <c r="M128" s="79">
        <f t="shared" si="1"/>
        <v>0.17030906687477682</v>
      </c>
      <c r="N128" s="79"/>
      <c r="O128" s="79"/>
      <c r="P128" s="79"/>
      <c r="Q128" s="79"/>
    </row>
    <row r="129" spans="11:17" x14ac:dyDescent="0.25">
      <c r="K129" s="79">
        <v>94</v>
      </c>
      <c r="L129" s="79">
        <f>$L$33/100*K129</f>
        <v>1.4324900944833889</v>
      </c>
      <c r="M129" s="79">
        <f t="shared" si="1"/>
        <v>0.12508183798721489</v>
      </c>
      <c r="N129" s="79"/>
      <c r="O129" s="79"/>
      <c r="P129" s="79"/>
      <c r="Q129" s="79"/>
    </row>
    <row r="130" spans="11:17" x14ac:dyDescent="0.25">
      <c r="K130" s="79">
        <v>95</v>
      </c>
      <c r="L130" s="79">
        <f>$L$33/100*K130</f>
        <v>1.4477293508076803</v>
      </c>
      <c r="M130" s="79">
        <f t="shared" si="1"/>
        <v>7.8923093147483525E-2</v>
      </c>
      <c r="N130" s="79"/>
      <c r="O130" s="79"/>
      <c r="P130" s="79"/>
      <c r="Q130" s="79"/>
    </row>
    <row r="131" spans="11:17" x14ac:dyDescent="0.25">
      <c r="K131" s="79">
        <v>96</v>
      </c>
      <c r="L131" s="79">
        <f>$L$33/100*K131</f>
        <v>1.4629686071319716</v>
      </c>
      <c r="M131" s="79">
        <f t="shared" si="1"/>
        <v>3.1832832355584484E-2</v>
      </c>
      <c r="N131" s="79"/>
      <c r="O131" s="79"/>
      <c r="P131" s="79"/>
      <c r="Q131" s="79"/>
    </row>
    <row r="132" spans="11:17" x14ac:dyDescent="0.25">
      <c r="K132" s="79">
        <v>97</v>
      </c>
      <c r="L132" s="79">
        <f>$L$33/100*K132</f>
        <v>1.478207863456263</v>
      </c>
      <c r="M132" s="79">
        <f t="shared" si="1"/>
        <v>0</v>
      </c>
      <c r="N132" s="79"/>
      <c r="O132" s="79"/>
      <c r="P132" s="79"/>
      <c r="Q132" s="79"/>
    </row>
    <row r="133" spans="11:17" x14ac:dyDescent="0.25">
      <c r="K133" s="79">
        <v>98</v>
      </c>
      <c r="L133" s="79">
        <f>$L$33/100*K133</f>
        <v>1.4934471197805543</v>
      </c>
      <c r="M133" s="79">
        <f t="shared" si="1"/>
        <v>0</v>
      </c>
      <c r="N133" s="79"/>
      <c r="O133" s="79"/>
      <c r="P133" s="79"/>
      <c r="Q133" s="79"/>
    </row>
    <row r="134" spans="11:17" x14ac:dyDescent="0.25">
      <c r="K134" s="79">
        <v>99</v>
      </c>
      <c r="L134" s="79">
        <f>$L$33/100*K134</f>
        <v>1.5086863761048457</v>
      </c>
      <c r="M134" s="79">
        <f t="shared" si="1"/>
        <v>0</v>
      </c>
      <c r="N134" s="79"/>
      <c r="O134" s="79"/>
      <c r="P134" s="79"/>
      <c r="Q134" s="79"/>
    </row>
    <row r="135" spans="11:17" x14ac:dyDescent="0.25">
      <c r="K135" s="79">
        <v>100</v>
      </c>
      <c r="L135" s="79">
        <f>$L$33/100*K135</f>
        <v>1.523925632429137</v>
      </c>
      <c r="M135" s="79">
        <f t="shared" si="1"/>
        <v>0</v>
      </c>
      <c r="N135" s="79"/>
      <c r="O135" s="79"/>
      <c r="P135" s="79"/>
      <c r="Q135" s="79"/>
    </row>
  </sheetData>
  <mergeCells count="3">
    <mergeCell ref="C6:D6"/>
    <mergeCell ref="F6:G6"/>
    <mergeCell ref="I6:J6"/>
  </mergeCells>
  <conditionalFormatting sqref="D7 D9 G7">
    <cfRule type="cellIs" dxfId="5" priority="4" operator="lessThanOrEqual">
      <formula>0</formula>
    </cfRule>
  </conditionalFormatting>
  <conditionalFormatting sqref="D8 G8">
    <cfRule type="cellIs" dxfId="4" priority="3" operator="lessThan">
      <formula>0</formula>
    </cfRule>
  </conditionalFormatting>
  <conditionalFormatting sqref="D10 G10">
    <cfRule type="cellIs" dxfId="3" priority="1" operator="lessThanOrEqual">
      <formula>-90</formula>
    </cfRule>
    <cfRule type="cellIs" dxfId="2" priority="2" operator="greaterThanOrEqual">
      <formula>90</formula>
    </cfRule>
  </conditionalFormatting>
  <dataValidations count="1">
    <dataValidation type="list" allowBlank="1" showInputMessage="1" showErrorMessage="1" sqref="I6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Metric">
              <controlPr locked="0" defaultSize="0" autoFill="0" autoLine="0" autoPict="0" macro="[0]!Projectile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J20"/>
  <sheetViews>
    <sheetView tabSelected="1" zoomScaleNormal="100" workbookViewId="0">
      <selection activeCell="D7" sqref="D7"/>
    </sheetView>
  </sheetViews>
  <sheetFormatPr defaultRowHeight="15" x14ac:dyDescent="0.25"/>
  <cols>
    <col min="1" max="1" width="7.140625" style="77" customWidth="1"/>
    <col min="2" max="2" width="3.28515625" style="77" customWidth="1"/>
    <col min="3" max="3" width="18.85546875" style="77" customWidth="1"/>
    <col min="4" max="4" width="9.42578125" style="77" customWidth="1"/>
    <col min="5" max="5" width="13" style="77" customWidth="1"/>
    <col min="6" max="6" width="17.85546875" style="77" customWidth="1"/>
    <col min="7" max="7" width="9.140625" style="77"/>
    <col min="8" max="8" width="12.5703125" style="77" customWidth="1"/>
    <col min="9" max="9" width="19.42578125" style="77" customWidth="1"/>
    <col min="10" max="16384" width="9.140625" style="77"/>
  </cols>
  <sheetData>
    <row r="2" spans="2:10" ht="31.5" x14ac:dyDescent="0.5">
      <c r="C2" s="78" t="s">
        <v>109</v>
      </c>
    </row>
    <row r="4" spans="2:10" x14ac:dyDescent="0.25">
      <c r="B4" s="79" t="b">
        <v>1</v>
      </c>
      <c r="C4" s="77" t="s">
        <v>1</v>
      </c>
    </row>
    <row r="6" spans="2:10" ht="18.75" x14ac:dyDescent="0.3">
      <c r="F6" s="144" t="s">
        <v>103</v>
      </c>
      <c r="G6" s="144"/>
      <c r="I6" s="144" t="s">
        <v>106</v>
      </c>
      <c r="J6" s="144"/>
    </row>
    <row r="7" spans="2:10" x14ac:dyDescent="0.25">
      <c r="C7" s="103" t="s">
        <v>110</v>
      </c>
      <c r="D7" s="100" t="s">
        <v>31</v>
      </c>
      <c r="F7" s="103" t="s">
        <v>113</v>
      </c>
      <c r="G7" s="100">
        <v>100</v>
      </c>
      <c r="I7" s="103" t="str">
        <f>"Estimated Dist. (" &amp; IF($B$4, "mm", "in") &amp; ")"</f>
        <v>Estimated Dist. (mm)</v>
      </c>
      <c r="J7" s="154">
        <v>350</v>
      </c>
    </row>
    <row r="8" spans="2:10" x14ac:dyDescent="0.25">
      <c r="I8" s="103" t="s">
        <v>114</v>
      </c>
      <c r="J8" s="158" t="s">
        <v>116</v>
      </c>
    </row>
    <row r="9" spans="2:10" x14ac:dyDescent="0.25">
      <c r="C9" s="103" t="s">
        <v>111</v>
      </c>
      <c r="D9" s="100">
        <v>12</v>
      </c>
      <c r="I9" s="103" t="s">
        <v>115</v>
      </c>
      <c r="J9" s="100">
        <v>2</v>
      </c>
    </row>
    <row r="10" spans="2:10" x14ac:dyDescent="0.25">
      <c r="C10" s="103" t="str">
        <f>"Pitch Diam. 1 (" &amp; IF($B$4, "mm", "in") &amp; ")"</f>
        <v>Pitch Diam. 1 (mm)</v>
      </c>
      <c r="D10" s="106">
        <f>$D$17*D9/PI()</f>
        <v>36.401918583978301</v>
      </c>
    </row>
    <row r="11" spans="2:10" x14ac:dyDescent="0.25">
      <c r="F11" s="103" t="str">
        <f>"C-C Dist. (" &amp; IF($B$4, "mm", "in") &amp; ")"</f>
        <v>C-C Dist. (mm)</v>
      </c>
      <c r="G11" s="106">
        <f>G12/4 - PI()/8*($D$10+$D$13) + SQRT((G12/4 - PI()/8*($D$10+$D$13))^2 - ($D$10-$D$13)^2/8) + $D$20</f>
        <v>400.48599333645143</v>
      </c>
      <c r="I11" s="103" t="str">
        <f>"Actual Dist. (" &amp; IF($B$4, "mm", "in") &amp; ")"</f>
        <v>Actual Dist. (mm)</v>
      </c>
      <c r="J11" s="106">
        <f ca="1">J12/4 - PI()/8*($D$10+$D$13) + SQRT((J12/4 - PI()/8*($D$10+$D$13))^2 - ($D$10-$D$13)^2/8) + $D$20</f>
        <v>352.81109983273421</v>
      </c>
    </row>
    <row r="12" spans="2:10" x14ac:dyDescent="0.25">
      <c r="C12" s="103" t="s">
        <v>112</v>
      </c>
      <c r="D12" s="100">
        <v>20</v>
      </c>
      <c r="F12" s="103" t="str">
        <f>"Chain Length (" &amp; IF($B$4, "mm", "in") &amp; ")"</f>
        <v>Chain Length (mm)</v>
      </c>
      <c r="G12" s="106">
        <f>G7*$D$17</f>
        <v>952.99999999999989</v>
      </c>
      <c r="I12" s="103" t="str">
        <f>"Chain Length (" &amp; IF($B$4, "mm", "in") &amp; ")"</f>
        <v>Chain Length (mm)</v>
      </c>
      <c r="J12" s="106">
        <f ca="1">J13*D17</f>
        <v>857.69999999999993</v>
      </c>
    </row>
    <row r="13" spans="2:10" x14ac:dyDescent="0.25">
      <c r="C13" s="103" t="str">
        <f>"Pitch Diam. 2 (" &amp; IF($B$4, "mm", "in") &amp; ")"</f>
        <v>Pitch Diam. 2 (mm)</v>
      </c>
      <c r="D13" s="106">
        <f>$D$17*D12/PI()</f>
        <v>60.669864306630501</v>
      </c>
      <c r="F13" s="103" t="str">
        <f>"Clearance (" &amp; IF($B$4, "mm", "in") &amp; ")"</f>
        <v>Clearance (mm)</v>
      </c>
      <c r="G13" s="106">
        <f>G11 - ($D$10+$D$13)/2</f>
        <v>351.95010189114703</v>
      </c>
      <c r="I13" s="103" t="s">
        <v>113</v>
      </c>
      <c r="J13" s="120">
        <f ca="1">Eval(CHOOSE(MATCH(J8, {"Nearest","Up","Down"}, 0), "MROUND", "CEILING", "FLOOR") &amp; "(" &amp; 2/D17*SQRT((J7-D20)^2-(D10/2-D13/2)^2)+(D9-D12)*ACOS((D13-D10)/(2*(J7-D20)))/PI()+D12 &amp; "," &amp; J9 &amp; ")")</f>
        <v>90</v>
      </c>
    </row>
    <row r="14" spans="2:10" x14ac:dyDescent="0.25">
      <c r="I14" s="103" t="str">
        <f>"Clearance (" &amp; IF($B$4, "mm", "in") &amp; ")"</f>
        <v>Clearance (mm)</v>
      </c>
      <c r="J14" s="106">
        <f ca="1">J11 - ($D$10+$D$13)/2</f>
        <v>304.27520838742981</v>
      </c>
    </row>
    <row r="16" spans="2:10" x14ac:dyDescent="0.25">
      <c r="C16" s="155" t="s">
        <v>25</v>
      </c>
      <c r="D16" s="155"/>
    </row>
    <row r="17" spans="3:4" x14ac:dyDescent="0.25">
      <c r="C17" s="156" t="str">
        <f>"Pitch (" &amp; IF($B$4, "mm", "in") &amp; ")"</f>
        <v>Pitch (mm)</v>
      </c>
      <c r="D17" s="157">
        <f>VLOOKUP($D$7, ChainBeltSpecs, 2, FALSE) / IF($B$4, 1, 25.4)</f>
        <v>9.5299999999999994</v>
      </c>
    </row>
    <row r="18" spans="3:4" x14ac:dyDescent="0.25">
      <c r="C18" s="156" t="str">
        <f>"Width (" &amp; IF($B$4, "mm", "in") &amp; ")"</f>
        <v>Width (mm)</v>
      </c>
      <c r="D18" s="157">
        <f>VLOOKUP($D$7, ChainBeltSpecs, 3, FALSE) / IF($B$4, 1, 25.4)</f>
        <v>11.76</v>
      </c>
    </row>
    <row r="19" spans="3:4" x14ac:dyDescent="0.25">
      <c r="C19" s="156" t="str">
        <f>"Thickness (" &amp; IF($B$4, "mm", "in") &amp; ")"</f>
        <v>Thickness (mm)</v>
      </c>
      <c r="D19" s="157">
        <f>VLOOKUP($D$7, ChainBeltSpecs, 4, FALSE) / IF($B$4, 1, 25.4)</f>
        <v>8.94</v>
      </c>
    </row>
    <row r="20" spans="3:4" x14ac:dyDescent="0.25">
      <c r="C20" s="156" t="str">
        <f>"C-C Addition (" &amp; IF($B$4, "mm", "in") &amp; ")"</f>
        <v>C-C Addition (mm)</v>
      </c>
      <c r="D20" s="157">
        <f>VLOOKUP($D$7, ChainBeltSpecs, 5, FALSE) / IF($B$4, 1, 25.4)</f>
        <v>0.41</v>
      </c>
    </row>
  </sheetData>
  <mergeCells count="3">
    <mergeCell ref="F6:G6"/>
    <mergeCell ref="I6:J6"/>
    <mergeCell ref="C16:D16"/>
  </mergeCells>
  <conditionalFormatting sqref="D9 D12 G7 J7 J9">
    <cfRule type="cellIs" dxfId="1" priority="2" operator="lessThanOrEqual">
      <formula>0</formula>
    </cfRule>
  </conditionalFormatting>
  <conditionalFormatting sqref="D7 D9 D12 G7 J7:J9">
    <cfRule type="containsBlanks" dxfId="0" priority="1">
      <formula>LEN(TRIM(D7))=0</formula>
    </cfRule>
  </conditionalFormatting>
  <dataValidations count="2">
    <dataValidation type="list" allowBlank="1" showInputMessage="1" showErrorMessage="1" errorTitle="Error" error="Invalid chain/belt type" sqref="D7">
      <formula1>ChainBelts</formula1>
    </dataValidation>
    <dataValidation type="list" allowBlank="1" showInputMessage="1" showErrorMessage="1" sqref="J8">
      <formula1>"Nearest,Up,Down"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Metric">
              <controlPr locked="0" defaultSize="0" autoFill="0" autoLine="0" autoPict="0" macro="[0]!ChainBelt_Metric">
                <anchor moveWithCells="1">
                  <from>
                    <xdr:col>1</xdr:col>
                    <xdr:colOff>0</xdr:colOff>
                    <xdr:row>2</xdr:row>
                    <xdr:rowOff>180975</xdr:rowOff>
                  </from>
                  <to>
                    <xdr:col>1</xdr:col>
                    <xdr:colOff>209550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24"/>
  <sheetViews>
    <sheetView topLeftCell="B1" workbookViewId="0">
      <selection activeCell="K15" sqref="K15"/>
    </sheetView>
  </sheetViews>
  <sheetFormatPr defaultRowHeight="15" x14ac:dyDescent="0.25"/>
  <cols>
    <col min="2" max="2" width="18.7109375" customWidth="1"/>
    <col min="3" max="3" width="16.85546875" customWidth="1"/>
    <col min="4" max="4" width="17" customWidth="1"/>
    <col min="5" max="5" width="15.140625" customWidth="1"/>
    <col min="6" max="6" width="15" customWidth="1"/>
    <col min="7" max="7" width="12.28515625" customWidth="1"/>
    <col min="10" max="10" width="9.85546875" customWidth="1"/>
  </cols>
  <sheetData>
    <row r="2" spans="1:14" ht="31.5" x14ac:dyDescent="0.5">
      <c r="B2" s="1" t="s">
        <v>0</v>
      </c>
      <c r="J2" s="1" t="s">
        <v>25</v>
      </c>
    </row>
    <row r="3" spans="1:14" x14ac:dyDescent="0.25">
      <c r="B3" s="3"/>
    </row>
    <row r="4" spans="1:14" x14ac:dyDescent="0.25">
      <c r="A4" s="3"/>
      <c r="B4" s="3"/>
      <c r="C4" s="20" t="s">
        <v>2</v>
      </c>
      <c r="D4" s="21" t="s">
        <v>3</v>
      </c>
      <c r="E4" s="21" t="s">
        <v>4</v>
      </c>
      <c r="F4" s="21" t="s">
        <v>5</v>
      </c>
      <c r="G4" s="22" t="s">
        <v>6</v>
      </c>
      <c r="J4" s="14"/>
      <c r="K4" s="16" t="s">
        <v>26</v>
      </c>
      <c r="L4" s="17" t="s">
        <v>27</v>
      </c>
      <c r="M4" s="17" t="s">
        <v>28</v>
      </c>
      <c r="N4" s="18" t="s">
        <v>29</v>
      </c>
    </row>
    <row r="5" spans="1:14" x14ac:dyDescent="0.25">
      <c r="B5" s="12" t="s">
        <v>7</v>
      </c>
      <c r="C5" s="19">
        <v>5330</v>
      </c>
      <c r="D5" s="19">
        <v>2.41</v>
      </c>
      <c r="E5" s="19">
        <v>2.7</v>
      </c>
      <c r="F5" s="19">
        <v>131</v>
      </c>
      <c r="G5" s="29">
        <f>(C5/60*2*PI())*D5/4</f>
        <v>336.28916760964142</v>
      </c>
      <c r="J5" s="6" t="s">
        <v>30</v>
      </c>
      <c r="K5" s="10">
        <v>6.35</v>
      </c>
      <c r="L5" s="10">
        <v>9</v>
      </c>
      <c r="M5" s="10">
        <v>5.9</v>
      </c>
      <c r="N5" s="11">
        <v>0.31</v>
      </c>
    </row>
    <row r="6" spans="1:14" x14ac:dyDescent="0.25">
      <c r="B6" s="12" t="s">
        <v>8</v>
      </c>
      <c r="C6" s="19">
        <v>5840</v>
      </c>
      <c r="D6" s="19">
        <v>1.41</v>
      </c>
      <c r="E6" s="19">
        <v>3</v>
      </c>
      <c r="F6" s="19">
        <v>89</v>
      </c>
      <c r="G6" s="29">
        <f t="shared" ref="G6:G24" si="0">(C6/60*2*PI())*D6/4</f>
        <v>215.57608788933157</v>
      </c>
      <c r="J6" s="5" t="s">
        <v>31</v>
      </c>
      <c r="K6" s="4">
        <v>9.5299999999999994</v>
      </c>
      <c r="L6" s="4">
        <v>11.76</v>
      </c>
      <c r="M6" s="4">
        <v>8.94</v>
      </c>
      <c r="N6" s="8">
        <v>0.41</v>
      </c>
    </row>
    <row r="7" spans="1:14" x14ac:dyDescent="0.25">
      <c r="B7" s="12" t="s">
        <v>9</v>
      </c>
      <c r="C7" s="19">
        <v>13180</v>
      </c>
      <c r="D7" s="19">
        <v>0.43</v>
      </c>
      <c r="E7" s="19">
        <v>1.8</v>
      </c>
      <c r="F7" s="19">
        <v>53</v>
      </c>
      <c r="G7" s="29">
        <f t="shared" si="0"/>
        <v>148.37218504128995</v>
      </c>
      <c r="J7" s="5" t="s">
        <v>32</v>
      </c>
      <c r="K7" s="4">
        <v>5</v>
      </c>
      <c r="L7" s="4">
        <v>15</v>
      </c>
      <c r="M7" s="4">
        <v>3</v>
      </c>
      <c r="N7" s="8">
        <v>0</v>
      </c>
    </row>
    <row r="8" spans="1:14" x14ac:dyDescent="0.25">
      <c r="B8" s="12" t="s">
        <v>10</v>
      </c>
      <c r="C8" s="19">
        <v>18730</v>
      </c>
      <c r="D8" s="19">
        <v>0.71</v>
      </c>
      <c r="E8" s="19">
        <v>0.7</v>
      </c>
      <c r="F8" s="19">
        <v>134</v>
      </c>
      <c r="G8" s="29">
        <f t="shared" si="0"/>
        <v>348.14867987694288</v>
      </c>
      <c r="J8" s="5" t="s">
        <v>33</v>
      </c>
      <c r="K8" s="4">
        <v>3</v>
      </c>
      <c r="L8" s="4">
        <v>9</v>
      </c>
      <c r="M8" s="4">
        <v>3</v>
      </c>
      <c r="N8" s="8">
        <v>0</v>
      </c>
    </row>
    <row r="9" spans="1:14" x14ac:dyDescent="0.25">
      <c r="B9" s="12" t="s">
        <v>11</v>
      </c>
      <c r="C9" s="19">
        <v>5676</v>
      </c>
      <c r="D9" s="19">
        <v>2.6</v>
      </c>
      <c r="E9" s="19">
        <v>1.8</v>
      </c>
      <c r="F9" s="19">
        <v>105</v>
      </c>
      <c r="G9" s="29">
        <f t="shared" si="0"/>
        <v>386.35306453847278</v>
      </c>
      <c r="J9" s="5"/>
      <c r="K9" s="4"/>
      <c r="L9" s="4"/>
      <c r="M9" s="4"/>
      <c r="N9" s="8"/>
    </row>
    <row r="10" spans="1:14" x14ac:dyDescent="0.25">
      <c r="B10" s="12" t="s">
        <v>12</v>
      </c>
      <c r="C10" s="19">
        <v>5800</v>
      </c>
      <c r="D10" s="19">
        <v>0.28000000000000003</v>
      </c>
      <c r="E10" s="19">
        <v>1.6</v>
      </c>
      <c r="F10" s="19">
        <v>18</v>
      </c>
      <c r="G10" s="29">
        <f t="shared" si="0"/>
        <v>42.516220578581873</v>
      </c>
      <c r="J10" s="15"/>
      <c r="K10" s="7"/>
      <c r="L10" s="7"/>
      <c r="M10" s="7"/>
      <c r="N10" s="9"/>
    </row>
    <row r="11" spans="1:14" x14ac:dyDescent="0.25">
      <c r="B11" s="12" t="s">
        <v>13</v>
      </c>
      <c r="C11" s="19">
        <v>14270</v>
      </c>
      <c r="D11" s="19">
        <v>0.36</v>
      </c>
      <c r="E11" s="19">
        <v>3.7</v>
      </c>
      <c r="F11" s="19">
        <v>71</v>
      </c>
      <c r="G11" s="29">
        <f t="shared" si="0"/>
        <v>134.49158150017905</v>
      </c>
    </row>
    <row r="12" spans="1:14" x14ac:dyDescent="0.25">
      <c r="B12" s="12" t="s">
        <v>14</v>
      </c>
      <c r="C12" s="19">
        <v>5508</v>
      </c>
      <c r="D12" s="19">
        <v>3.82</v>
      </c>
      <c r="E12" s="19">
        <v>8.16</v>
      </c>
      <c r="F12" s="19">
        <v>220</v>
      </c>
      <c r="G12" s="29">
        <f t="shared" si="0"/>
        <v>550.84057269512709</v>
      </c>
      <c r="J12" t="s">
        <v>34</v>
      </c>
    </row>
    <row r="13" spans="1:14" x14ac:dyDescent="0.25">
      <c r="B13" s="12" t="s">
        <v>15</v>
      </c>
      <c r="C13" s="19">
        <v>5593</v>
      </c>
      <c r="D13" s="19">
        <v>5.23</v>
      </c>
      <c r="E13" s="19">
        <v>9.6199999999999992</v>
      </c>
      <c r="F13" s="19">
        <v>309</v>
      </c>
      <c r="G13" s="29">
        <f t="shared" si="0"/>
        <v>765.79959942741618</v>
      </c>
    </row>
    <row r="14" spans="1:14" x14ac:dyDescent="0.25">
      <c r="B14" s="12" t="s">
        <v>16</v>
      </c>
      <c r="C14" s="19">
        <v>5437</v>
      </c>
      <c r="D14" s="19">
        <v>6.23</v>
      </c>
      <c r="E14" s="19">
        <v>9.15</v>
      </c>
      <c r="F14" s="19">
        <v>351</v>
      </c>
      <c r="G14" s="29">
        <f t="shared" si="0"/>
        <v>886.78023812205663</v>
      </c>
    </row>
    <row r="15" spans="1:14" x14ac:dyDescent="0.25">
      <c r="B15" s="12" t="s">
        <v>17</v>
      </c>
      <c r="C15" s="19">
        <v>13050</v>
      </c>
      <c r="D15" s="19">
        <v>0.72</v>
      </c>
      <c r="E15" s="19">
        <v>2.7</v>
      </c>
      <c r="F15" s="19">
        <v>97</v>
      </c>
      <c r="G15" s="29">
        <f t="shared" si="0"/>
        <v>245.98670477608078</v>
      </c>
    </row>
    <row r="16" spans="1:14" x14ac:dyDescent="0.25">
      <c r="B16" s="12" t="s">
        <v>18</v>
      </c>
      <c r="C16" s="19">
        <v>19000</v>
      </c>
      <c r="D16" s="19">
        <v>0.38</v>
      </c>
      <c r="E16" s="19">
        <v>0.4</v>
      </c>
      <c r="F16" s="19">
        <v>84</v>
      </c>
      <c r="G16" s="29">
        <f t="shared" si="0"/>
        <v>189.01915799098592</v>
      </c>
    </row>
    <row r="17" spans="2:7" x14ac:dyDescent="0.25">
      <c r="B17" s="12" t="s">
        <v>19</v>
      </c>
      <c r="C17" s="19">
        <v>100</v>
      </c>
      <c r="D17" s="19">
        <v>7.91</v>
      </c>
      <c r="E17" s="19">
        <v>5</v>
      </c>
      <c r="F17" s="19">
        <v>24</v>
      </c>
      <c r="G17" s="29">
        <f t="shared" si="0"/>
        <v>20.708331574912719</v>
      </c>
    </row>
    <row r="18" spans="2:7" x14ac:dyDescent="0.25">
      <c r="B18" s="12" t="s">
        <v>20</v>
      </c>
      <c r="C18" s="19">
        <v>6600</v>
      </c>
      <c r="D18" s="19">
        <v>6.1800000000000001E-2</v>
      </c>
      <c r="E18" s="19">
        <v>2</v>
      </c>
      <c r="F18" s="19">
        <v>11.5</v>
      </c>
      <c r="G18" s="29">
        <f t="shared" si="0"/>
        <v>10.678273429551707</v>
      </c>
    </row>
    <row r="19" spans="2:7" x14ac:dyDescent="0.25">
      <c r="B19" s="12" t="s">
        <v>21</v>
      </c>
      <c r="C19" s="19">
        <v>5300</v>
      </c>
      <c r="D19" s="19">
        <v>0.13</v>
      </c>
      <c r="E19" s="19">
        <v>1</v>
      </c>
      <c r="F19" s="19">
        <v>7</v>
      </c>
      <c r="G19" s="29">
        <f t="shared" si="0"/>
        <v>18.037977819361398</v>
      </c>
    </row>
    <row r="20" spans="2:7" x14ac:dyDescent="0.25">
      <c r="B20" s="12" t="s">
        <v>22</v>
      </c>
      <c r="C20" s="19">
        <v>24</v>
      </c>
      <c r="D20" s="19">
        <v>22</v>
      </c>
      <c r="E20" s="19">
        <v>3</v>
      </c>
      <c r="F20" s="19">
        <v>12</v>
      </c>
      <c r="G20" s="29">
        <f t="shared" si="0"/>
        <v>13.82300767579509</v>
      </c>
    </row>
    <row r="21" spans="2:7" x14ac:dyDescent="0.25">
      <c r="B21" s="12" t="s">
        <v>23</v>
      </c>
      <c r="C21" s="19">
        <v>3084</v>
      </c>
      <c r="D21" s="19">
        <v>0.32</v>
      </c>
      <c r="E21" s="19">
        <v>0.28000000000000003</v>
      </c>
      <c r="F21" s="19">
        <v>6.5</v>
      </c>
      <c r="G21" s="29">
        <f t="shared" si="0"/>
        <v>25.836457983122461</v>
      </c>
    </row>
    <row r="22" spans="2:7" x14ac:dyDescent="0.25">
      <c r="B22" s="12" t="s">
        <v>24</v>
      </c>
      <c r="C22" s="19">
        <v>90</v>
      </c>
      <c r="D22" s="19">
        <v>9.24</v>
      </c>
      <c r="E22" s="19">
        <v>1.5</v>
      </c>
      <c r="F22" s="19">
        <v>16.25</v>
      </c>
      <c r="G22" s="29">
        <f t="shared" si="0"/>
        <v>21.771237089377266</v>
      </c>
    </row>
    <row r="23" spans="2:7" x14ac:dyDescent="0.25">
      <c r="B23" s="40"/>
      <c r="C23" s="39"/>
      <c r="D23" s="39"/>
      <c r="E23" s="39"/>
      <c r="F23" s="39"/>
      <c r="G23" s="29">
        <f t="shared" si="0"/>
        <v>0</v>
      </c>
    </row>
    <row r="24" spans="2:7" x14ac:dyDescent="0.25">
      <c r="B24" s="40"/>
      <c r="C24" s="39"/>
      <c r="D24" s="39"/>
      <c r="E24" s="39"/>
      <c r="F24" s="39"/>
      <c r="G24" s="29">
        <f t="shared" si="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MechanismRatio</vt:lpstr>
      <vt:lpstr>LeadScrew</vt:lpstr>
      <vt:lpstr>Drivetrain</vt:lpstr>
      <vt:lpstr>BeamBend</vt:lpstr>
      <vt:lpstr>Projectile</vt:lpstr>
      <vt:lpstr>ChainBelt</vt:lpstr>
      <vt:lpstr>UsefulValues</vt:lpstr>
      <vt:lpstr>ChainBelts</vt:lpstr>
      <vt:lpstr>ChainBeltSpecs</vt:lpstr>
      <vt:lpstr>Motors</vt:lpstr>
      <vt:lpstr>MotorSpecs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2019-06-08T20:43:41Z</dcterms:created>
  <dcterms:modified xsi:type="dcterms:W3CDTF">2019-06-11T23:36:52Z</dcterms:modified>
</cp:coreProperties>
</file>