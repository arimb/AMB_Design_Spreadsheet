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drawings/drawing3.xml" ContentType="application/vnd.openxmlformats-officedocument.drawing+xml"/>
  <Override PartName="/xl/ctrlProps/ctrlProp13.xml" ContentType="application/vnd.ms-excel.controlproperties+xml"/>
  <Override PartName="/xl/drawings/drawing4.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5.xml" ContentType="application/vnd.openxmlformats-officedocument.drawing+xml"/>
  <Override PartName="/xl/ctrlProps/ctrlProp17.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18.xml" ContentType="application/vnd.ms-excel.controlproperties+xml"/>
  <Override PartName="/xl/charts/chart1.xml" ContentType="application/vnd.openxmlformats-officedocument.drawingml.chart+xml"/>
  <Override PartName="/xl/drawings/drawing7.xml" ContentType="application/vnd.openxmlformats-officedocument.drawing+xml"/>
  <Override PartName="/xl/ctrlProps/ctrlProp19.xml" ContentType="application/vnd.ms-excel.controlproperties+xml"/>
  <Override PartName="/xl/drawings/drawing8.xml" ContentType="application/vnd.openxmlformats-officedocument.drawing+xml"/>
  <Override PartName="/xl/ctrlProps/ctrlProp20.xml" ContentType="application/vnd.ms-excel.controlproperties+xml"/>
  <Override PartName="/xl/drawings/drawing9.xml" ContentType="application/vnd.openxmlformats-officedocument.drawing+xml"/>
  <Override PartName="/xl/ctrlProps/ctrlProp21.xml" ContentType="application/vnd.ms-excel.controlproperties+xml"/>
  <Override PartName="/xl/drawings/drawing10.xml" ContentType="application/vnd.openxmlformats-officedocument.drawing+xml"/>
  <Override PartName="/xl/ctrlProps/ctrlProp22.xml" ContentType="application/vnd.ms-excel.controlproperties+xml"/>
  <Override PartName="/xl/charts/chart2.xml" ContentType="application/vnd.openxmlformats-officedocument.drawingml.chart+xml"/>
  <Override PartName="/xl/drawings/drawing11.xml" ContentType="application/vnd.openxmlformats-officedocument.drawing+xml"/>
  <Override PartName="/xl/ctrlProps/ctrlProp23.xml" ContentType="application/vnd.ms-excel.controlproperties+xml"/>
  <Override PartName="/xl/ctrlProps/ctrlProp24.xml" ContentType="application/vnd.ms-excel.controlproperties+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workbookProtection lockStructure="1"/>
  <bookViews>
    <workbookView xWindow="-90" yWindow="-90" windowWidth="19440" windowHeight="13155"/>
  </bookViews>
  <sheets>
    <sheet name="HOME" sheetId="15" r:id="rId1"/>
    <sheet name="±ÉÇÌÅÒÍ×Ñ¶ÅØÍÓ" sheetId="1" state="hidden" r:id="rId2"/>
    <sheet name="°ÉÅÈ·ÇÖÉÛ" sheetId="5" state="hidden" r:id="rId3"/>
    <sheet name="¨ÖÍÚÉØÖÅÍÒ" sheetId="7" state="hidden" r:id="rId4"/>
    <sheet name="¦ÉÅÑ¦ÉÒÈ" sheetId="8" state="hidden" r:id="rId5"/>
    <sheet name="´ÖÓÎÉÇØÍÐÉ" sheetId="9" state="hidden" r:id="rId6"/>
    <sheet name="§ÌÅÍÒ¦ÉÐØ" sheetId="10" state="hidden" r:id="rId7"/>
    <sheet name="«ÉÅÖ§ÐÉÅÖ" sheetId="11" state="hidden" r:id="rId8"/>
    <sheet name="¶ÅØÍÓ¨Í×Ø" sheetId="12" state="hidden" r:id="rId9"/>
    <sheet name="´ÒÉÙÑÅØÍÇ×" sheetId="13" state="hidden" r:id="rId10"/>
    <sheet name="´ÒÉÙ°ÍÒÏÅËÉ" sheetId="14" state="hidden" r:id="rId11"/>
    <sheet name="Specs" sheetId="3" r:id="rId12"/>
  </sheets>
  <externalReferences>
    <externalReference r:id="rId13"/>
  </externalReferences>
  <definedNames>
    <definedName name="ChainBelts">Specs!$J$5:$J$11</definedName>
    <definedName name="ChainBeltSpecs">Specs!$J$5:$N$11</definedName>
    <definedName name="Eval_Links_Teeth" localSheetId="10">EVALUATE(CHOOSE(MATCH(´ÒÉÙ°ÍÒÏÅËÉ!A1048572, {"Nearest","Up","Down"}, 0), "MROUND", "CEILING", "FLOOR") &amp; "(" &amp; 2/´ÒÉÙ°ÍÒÏÅËÉ!XEY5*SQRT((´ÒÉÙ°ÍÒÏÅËÉ!A1048571-´ÒÉÙ°ÍÒÏÅËÉ!XEY8)^2-(´ÒÉÙ°ÍÒÏÅËÉ!XEY1048574/2-´ÒÉÙ°ÍÒÏÅËÉ!XEY1/2)^2)+(´ÒÉÙ°ÍÒÏÅËÉ!XEY1048573-´ÒÉÙ°ÍÒÏÅËÉ!XEY1048576)*ACOS((´ÒÉÙ°ÍÒÏÅËÉ!XEY1-´ÒÉÙ°ÍÒÏÅËÉ!XEY1048574)/(2*(´ÒÉÙ°ÍÒÏÅËÉ!A1048571-´ÒÉÙ°ÍÒÏÅËÉ!XEY8)))/PI()+´ÒÉÙ°ÍÒÏÅËÉ!XEY1048576 &amp; "," &amp; ´ÒÉÙ°ÍÒÏÅËÉ!A1048573 &amp; ")")</definedName>
    <definedName name="Eval_Links_Teeth" localSheetId="9">EVALUATE(CHOOSE(MATCH(´ÒÉÙÑÅØÍÇ×!A1048572, {"Nearest","Up","Down"}, 0), "MROUND", "CEILING", "FLOOR") &amp; "(" &amp; 2/´ÒÉÙÑÅØÍÇ×!XEY5*SQRT((´ÒÉÙÑÅØÍÇ×!A1048571-´ÒÉÙÑÅØÍÇ×!XEY8)^2-(´ÒÉÙÑÅØÍÇ×!XEY1048574/2-´ÒÉÙÑÅØÍÇ×!XEY1/2)^2)+(´ÒÉÙÑÅØÍÇ×!XEY1048573-´ÒÉÙÑÅØÍÇ×!XEY1048576)*ACOS((´ÒÉÙÑÅØÍÇ×!XEY1-´ÒÉÙÑÅØÍÇ×!XEY1048574)/(2*(´ÒÉÙÑÅØÍÇ×!A1048571-´ÒÉÙÑÅØÍÇ×!XEY8)))/PI()+´ÒÉÙÑÅØÍÇ×!XEY1048576 &amp; "," &amp; ´ÒÉÙÑÅØÍÇ×!A1048573 &amp; ")")</definedName>
    <definedName name="Eval_Links_Teeth" localSheetId="7">EVALUATE(CHOOSE(MATCH('«ÉÅÖ§ÐÉÅÖ'!A1048572, {"Nearest","Up","Down"}, 0), "MROUND", "CEILING", "FLOOR") &amp; "(" &amp; 2/'«ÉÅÖ§ÐÉÅÖ'!XEY5*SQRT(('«ÉÅÖ§ÐÉÅÖ'!A1048571-'«ÉÅÖ§ÐÉÅÖ'!XEY8)^2-('«ÉÅÖ§ÐÉÅÖ'!XEY1048574/2-'«ÉÅÖ§ÐÉÅÖ'!XEY1/2)^2)+('«ÉÅÖ§ÐÉÅÖ'!XEY1048573-'«ÉÅÖ§ÐÉÅÖ'!XEY1048576)*ACOS(('«ÉÅÖ§ÐÉÅÖ'!XEY1-'«ÉÅÖ§ÐÉÅÖ'!XEY1048574)/(2*('«ÉÅÖ§ÐÉÅÖ'!A1048571-'«ÉÅÖ§ÐÉÅÖ'!XEY8)))/PI()+'«ÉÅÖ§ÐÉÅÖ'!XEY1048576 &amp; "," &amp; '«ÉÅÖ§ÐÉÅÖ'!A1048573 &amp; ")")</definedName>
    <definedName name="Eval_Links_Teeth" localSheetId="8">EVALUATE(CHOOSE(MATCH(¶ÅØÍÓ¨Í×Ø!A1048572, {"Nearest","Up","Down"}, 0), "MROUND", "CEILING", "FLOOR") &amp; "(" &amp; 2/¶ÅØÍÓ¨Í×Ø!XEY5*SQRT((¶ÅØÍÓ¨Í×Ø!A1048571-¶ÅØÍÓ¨Í×Ø!XEY8)^2-(¶ÅØÍÓ¨Í×Ø!XEY1048574/2-¶ÅØÍÓ¨Í×Ø!XEY1/2)^2)+(¶ÅØÍÓ¨Í×Ø!XEY1048573-¶ÅØÍÓ¨Í×Ø!XEY1048576)*ACOS((¶ÅØÍÓ¨Í×Ø!XEY1-¶ÅØÍÓ¨Í×Ø!XEY1048574)/(2*(¶ÅØÍÓ¨Í×Ø!A1048571-¶ÅØÍÓ¨Í×Ø!XEY8)))/PI()+¶ÅØÍÓ¨Í×Ø!XEY1048576 &amp; "," &amp; ¶ÅØÍÓ¨Í×Ø!A1048573 &amp; ")")</definedName>
    <definedName name="Eval_Links_Teeth">EVALUATE(CHOOSE(MATCH('§ÌÅÍÒ¦ÉÐØ'!A1048572, {"Nearest","Up","Down"}, 0), "MROUND", "CEILING", "FLOOR") &amp; "(" &amp; 2/'§ÌÅÍÒ¦ÉÐØ'!XEY5*SQRT(('§ÌÅÍÒ¦ÉÐØ'!A1048571-'§ÌÅÍÒ¦ÉÐØ'!XEY8)^2-('§ÌÅÍÒ¦ÉÐØ'!XEY1048574/2-'§ÌÅÍÒ¦ÉÐØ'!XEY1/2)^2)+('§ÌÅÍÒ¦ÉÐØ'!XEY1048573-'§ÌÅÍÒ¦ÉÐØ'!XEY1048576)*ACOS(('§ÌÅÍÒ¦ÉÐØ'!XEY1-'§ÌÅÍÒ¦ÉÐØ'!XEY1048574)/(2*('§ÌÅÍÒ¦ÉÐØ'!A1048571-'§ÌÅÍÒ¦ÉÐØ'!XEY8)))/PI()+'§ÌÅÍÒ¦ÉÐØ'!XEY1048576 &amp; "," &amp; '§ÌÅÍÒ¦ÉÐØ'!A1048573 &amp; ")")</definedName>
    <definedName name="Materials">Specs!$Q$5:$Q$11</definedName>
    <definedName name="MaterialSpecs">Specs!$Q$5:$S$11</definedName>
    <definedName name="Motors" localSheetId="0">[1]UsefulValues!$H$4:$H$24</definedName>
    <definedName name="Motors">Specs!$B$5:$B$27</definedName>
    <definedName name="MotorSpecs">Specs!$B$5:$G$27</definedName>
  </definedNames>
  <calcPr calcId="1456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Q8" i="10" l="1"/>
  <c r="Q9" i="10" s="1"/>
  <c r="Q10" i="10" s="1"/>
  <c r="Q11" i="10" s="1"/>
  <c r="Q12" i="10" s="1"/>
  <c r="Q13" i="10" s="1"/>
  <c r="Q14" i="10" s="1"/>
  <c r="N40" i="14" l="1"/>
  <c r="M40" i="14"/>
  <c r="Q37" i="14" l="1"/>
  <c r="P37" i="14"/>
  <c r="L40" i="14"/>
  <c r="K40" i="14"/>
  <c r="L39" i="14"/>
  <c r="N39" i="14" s="1"/>
  <c r="K39" i="14"/>
  <c r="M39" i="14" s="1"/>
  <c r="N38" i="14"/>
  <c r="M38" i="14"/>
  <c r="L37" i="14"/>
  <c r="K37" i="14"/>
  <c r="L36" i="14"/>
  <c r="N36" i="14" s="1"/>
  <c r="K36" i="14"/>
  <c r="M36" i="14" s="1"/>
  <c r="N35" i="14"/>
  <c r="M35" i="14"/>
  <c r="Q34" i="14"/>
  <c r="D22" i="8"/>
  <c r="D23" i="8"/>
  <c r="M37" i="14" l="1"/>
  <c r="N37" i="14"/>
  <c r="R34" i="14"/>
  <c r="H11" i="5"/>
  <c r="G27" i="3" l="1"/>
  <c r="G25" i="3"/>
  <c r="G26" i="3"/>
  <c r="N34" i="14" l="1"/>
  <c r="P34" i="14"/>
  <c r="O34" i="14"/>
  <c r="M34" i="14"/>
  <c r="H10" i="14"/>
  <c r="H9" i="14"/>
  <c r="D13" i="14"/>
  <c r="D12" i="14"/>
  <c r="G12" i="14" l="1"/>
  <c r="G13" i="14" l="1"/>
  <c r="L34" i="14" s="1"/>
  <c r="K34" i="14"/>
  <c r="I40" i="13" l="1"/>
  <c r="F44" i="13"/>
  <c r="G44" i="13"/>
  <c r="H44" i="13"/>
  <c r="I44" i="13"/>
  <c r="J44" i="13"/>
  <c r="K44" i="13"/>
  <c r="L44" i="13"/>
  <c r="M44" i="13"/>
  <c r="F45" i="13"/>
  <c r="G45" i="13"/>
  <c r="H45" i="13"/>
  <c r="I45" i="13"/>
  <c r="J45" i="13"/>
  <c r="K45" i="13"/>
  <c r="L45" i="13"/>
  <c r="M45" i="13"/>
  <c r="F46" i="13"/>
  <c r="G46" i="13"/>
  <c r="H46" i="13"/>
  <c r="I46" i="13"/>
  <c r="J46" i="13"/>
  <c r="K46" i="13"/>
  <c r="L46" i="13"/>
  <c r="M46" i="13"/>
  <c r="F47" i="13"/>
  <c r="G47" i="13"/>
  <c r="H47" i="13"/>
  <c r="I47" i="13"/>
  <c r="J47" i="13"/>
  <c r="K47" i="13"/>
  <c r="L47" i="13"/>
  <c r="M47" i="13"/>
  <c r="F48" i="13"/>
  <c r="G48" i="13"/>
  <c r="H48" i="13"/>
  <c r="I48" i="13"/>
  <c r="J48" i="13"/>
  <c r="K48" i="13"/>
  <c r="L48" i="13"/>
  <c r="M48" i="13"/>
  <c r="F49" i="13"/>
  <c r="G49" i="13"/>
  <c r="H49" i="13"/>
  <c r="I49" i="13"/>
  <c r="J49" i="13"/>
  <c r="K49" i="13"/>
  <c r="L49" i="13"/>
  <c r="M49" i="13"/>
  <c r="G50" i="13"/>
  <c r="H50" i="13"/>
  <c r="I50" i="13"/>
  <c r="J50" i="13"/>
  <c r="K50" i="13"/>
  <c r="L50" i="13"/>
  <c r="M50" i="13"/>
  <c r="G51" i="13"/>
  <c r="H51" i="13"/>
  <c r="I51" i="13"/>
  <c r="J51" i="13"/>
  <c r="K51" i="13"/>
  <c r="L51" i="13"/>
  <c r="M51" i="13"/>
  <c r="G52" i="13"/>
  <c r="H52" i="13"/>
  <c r="I52" i="13"/>
  <c r="J52" i="13"/>
  <c r="K52" i="13"/>
  <c r="L52" i="13"/>
  <c r="M52" i="13"/>
  <c r="G53" i="13"/>
  <c r="H53" i="13"/>
  <c r="I53" i="13"/>
  <c r="J53" i="13"/>
  <c r="K53" i="13"/>
  <c r="L53" i="13"/>
  <c r="M53" i="13"/>
  <c r="G54" i="13"/>
  <c r="H54" i="13"/>
  <c r="I54" i="13"/>
  <c r="J54" i="13"/>
  <c r="K54" i="13"/>
  <c r="L54" i="13"/>
  <c r="M54" i="13"/>
  <c r="G55" i="13"/>
  <c r="H55" i="13"/>
  <c r="I55" i="13"/>
  <c r="J55" i="13"/>
  <c r="K55" i="13"/>
  <c r="L55" i="13"/>
  <c r="M55" i="13"/>
  <c r="G56" i="13"/>
  <c r="H56" i="13"/>
  <c r="I56" i="13"/>
  <c r="J56" i="13"/>
  <c r="K56" i="13"/>
  <c r="L56" i="13"/>
  <c r="M56" i="13"/>
  <c r="G57" i="13"/>
  <c r="H57" i="13"/>
  <c r="I57" i="13"/>
  <c r="J57" i="13"/>
  <c r="K57" i="13"/>
  <c r="L57" i="13"/>
  <c r="M57" i="13"/>
  <c r="G58" i="13"/>
  <c r="H58" i="13"/>
  <c r="I58" i="13"/>
  <c r="J58" i="13"/>
  <c r="K58" i="13"/>
  <c r="L58" i="13"/>
  <c r="M58" i="13"/>
  <c r="G59" i="13"/>
  <c r="H59" i="13"/>
  <c r="I59" i="13"/>
  <c r="J59" i="13"/>
  <c r="K59" i="13"/>
  <c r="L59" i="13"/>
  <c r="M59" i="13"/>
  <c r="G60" i="13"/>
  <c r="H60" i="13"/>
  <c r="I60" i="13"/>
  <c r="J60" i="13"/>
  <c r="K60" i="13"/>
  <c r="L60" i="13"/>
  <c r="M60" i="13"/>
  <c r="G61" i="13"/>
  <c r="H61" i="13"/>
  <c r="I61" i="13"/>
  <c r="J61" i="13"/>
  <c r="K61" i="13"/>
  <c r="L61" i="13"/>
  <c r="M61" i="13"/>
  <c r="G62" i="13"/>
  <c r="H62" i="13"/>
  <c r="I62" i="13"/>
  <c r="J62" i="13"/>
  <c r="K62" i="13"/>
  <c r="L62" i="13"/>
  <c r="M62" i="13"/>
  <c r="G63" i="13"/>
  <c r="H63" i="13"/>
  <c r="I63" i="13"/>
  <c r="J63" i="13"/>
  <c r="K63" i="13"/>
  <c r="L63" i="13"/>
  <c r="M63" i="13"/>
  <c r="G64" i="13"/>
  <c r="H64" i="13"/>
  <c r="I64" i="13"/>
  <c r="J64" i="13"/>
  <c r="K64" i="13"/>
  <c r="L64" i="13"/>
  <c r="M64" i="13"/>
  <c r="G65" i="13"/>
  <c r="H65" i="13"/>
  <c r="I65" i="13"/>
  <c r="J65" i="13"/>
  <c r="K65" i="13"/>
  <c r="L65" i="13"/>
  <c r="M65" i="13"/>
  <c r="G66" i="13"/>
  <c r="H66" i="13"/>
  <c r="I66" i="13"/>
  <c r="J66" i="13"/>
  <c r="K66" i="13"/>
  <c r="L66" i="13"/>
  <c r="M66" i="13"/>
  <c r="G67" i="13"/>
  <c r="H67" i="13"/>
  <c r="I67" i="13"/>
  <c r="J67" i="13"/>
  <c r="K67" i="13"/>
  <c r="L67" i="13"/>
  <c r="M67" i="13"/>
  <c r="G68" i="13"/>
  <c r="H68" i="13"/>
  <c r="I68" i="13"/>
  <c r="J68" i="13"/>
  <c r="K68" i="13"/>
  <c r="L68" i="13"/>
  <c r="M68" i="13"/>
  <c r="G69" i="13"/>
  <c r="H69" i="13"/>
  <c r="I69" i="13"/>
  <c r="J69" i="13"/>
  <c r="K69" i="13"/>
  <c r="L69" i="13"/>
  <c r="M69" i="13"/>
  <c r="G70" i="13"/>
  <c r="H70" i="13"/>
  <c r="I70" i="13"/>
  <c r="J70" i="13"/>
  <c r="K70" i="13"/>
  <c r="L70" i="13"/>
  <c r="M70" i="13"/>
  <c r="G71" i="13"/>
  <c r="H71" i="13"/>
  <c r="I71" i="13"/>
  <c r="J71" i="13"/>
  <c r="K71" i="13"/>
  <c r="L71" i="13"/>
  <c r="M71" i="13"/>
  <c r="G72" i="13"/>
  <c r="H72" i="13"/>
  <c r="I72" i="13"/>
  <c r="J72" i="13"/>
  <c r="K72" i="13"/>
  <c r="L72" i="13"/>
  <c r="M72" i="13"/>
  <c r="G73" i="13"/>
  <c r="H73" i="13"/>
  <c r="I73" i="13"/>
  <c r="J73" i="13"/>
  <c r="K73" i="13"/>
  <c r="L73" i="13"/>
  <c r="M73" i="13"/>
  <c r="G74" i="13"/>
  <c r="H74" i="13"/>
  <c r="I74" i="13"/>
  <c r="J74" i="13"/>
  <c r="K74" i="13"/>
  <c r="L74" i="13"/>
  <c r="M74" i="13"/>
  <c r="G75" i="13"/>
  <c r="H75" i="13"/>
  <c r="I75" i="13"/>
  <c r="J75" i="13"/>
  <c r="K75" i="13"/>
  <c r="L75" i="13"/>
  <c r="M75" i="13"/>
  <c r="G76" i="13"/>
  <c r="H76" i="13"/>
  <c r="I76" i="13"/>
  <c r="J76" i="13"/>
  <c r="K76" i="13"/>
  <c r="L76" i="13"/>
  <c r="M76" i="13"/>
  <c r="G77" i="13"/>
  <c r="H77" i="13"/>
  <c r="I77" i="13"/>
  <c r="J77" i="13"/>
  <c r="K77" i="13"/>
  <c r="L77" i="13"/>
  <c r="M77" i="13"/>
  <c r="G78" i="13"/>
  <c r="H78" i="13"/>
  <c r="I78" i="13"/>
  <c r="J78" i="13"/>
  <c r="K78" i="13"/>
  <c r="L78" i="13"/>
  <c r="M78" i="13"/>
  <c r="G79" i="13"/>
  <c r="H79" i="13"/>
  <c r="I79" i="13"/>
  <c r="J79" i="13"/>
  <c r="K79" i="13"/>
  <c r="L79" i="13"/>
  <c r="M79" i="13"/>
  <c r="G80" i="13"/>
  <c r="H80" i="13"/>
  <c r="I80" i="13"/>
  <c r="J80" i="13"/>
  <c r="K80" i="13"/>
  <c r="L80" i="13"/>
  <c r="M80" i="13"/>
  <c r="G81" i="13"/>
  <c r="H81" i="13"/>
  <c r="I81" i="13"/>
  <c r="J81" i="13"/>
  <c r="K81" i="13"/>
  <c r="L81" i="13"/>
  <c r="M81" i="13"/>
  <c r="G82" i="13"/>
  <c r="H82" i="13"/>
  <c r="I82" i="13"/>
  <c r="J82" i="13"/>
  <c r="K82" i="13"/>
  <c r="L82" i="13"/>
  <c r="M82" i="13"/>
  <c r="G83" i="13"/>
  <c r="H83" i="13"/>
  <c r="I83" i="13"/>
  <c r="J83" i="13"/>
  <c r="K83" i="13"/>
  <c r="L83" i="13"/>
  <c r="M83" i="13"/>
  <c r="G84" i="13"/>
  <c r="H84" i="13"/>
  <c r="I84" i="13"/>
  <c r="J84" i="13"/>
  <c r="K84" i="13"/>
  <c r="L84" i="13"/>
  <c r="M84" i="13"/>
  <c r="G85" i="13"/>
  <c r="H85" i="13"/>
  <c r="I85" i="13"/>
  <c r="J85" i="13"/>
  <c r="K85" i="13"/>
  <c r="L85" i="13"/>
  <c r="M85" i="13"/>
  <c r="G86" i="13"/>
  <c r="H86" i="13"/>
  <c r="I86" i="13"/>
  <c r="J86" i="13"/>
  <c r="K86" i="13"/>
  <c r="L86" i="13"/>
  <c r="M86" i="13"/>
  <c r="G87" i="13"/>
  <c r="H87" i="13"/>
  <c r="I87" i="13"/>
  <c r="J87" i="13"/>
  <c r="K87" i="13"/>
  <c r="L87" i="13"/>
  <c r="M87" i="13"/>
  <c r="G88" i="13"/>
  <c r="H88" i="13"/>
  <c r="I88" i="13"/>
  <c r="J88" i="13"/>
  <c r="K88" i="13"/>
  <c r="L88" i="13"/>
  <c r="M88" i="13"/>
  <c r="G89" i="13"/>
  <c r="H89" i="13"/>
  <c r="I89" i="13"/>
  <c r="J89" i="13"/>
  <c r="K89" i="13"/>
  <c r="L89" i="13"/>
  <c r="M89" i="13"/>
  <c r="G90" i="13"/>
  <c r="H90" i="13"/>
  <c r="I90" i="13"/>
  <c r="J90" i="13"/>
  <c r="K90" i="13"/>
  <c r="L90" i="13"/>
  <c r="M90" i="13"/>
  <c r="G91" i="13"/>
  <c r="H91" i="13"/>
  <c r="I91" i="13"/>
  <c r="J91" i="13"/>
  <c r="K91" i="13"/>
  <c r="L91" i="13"/>
  <c r="M91" i="13"/>
  <c r="G92" i="13"/>
  <c r="H92" i="13"/>
  <c r="I92" i="13"/>
  <c r="J92" i="13"/>
  <c r="K92" i="13"/>
  <c r="L92" i="13"/>
  <c r="M92" i="13"/>
  <c r="G93" i="13"/>
  <c r="H93" i="13"/>
  <c r="I93" i="13"/>
  <c r="J93" i="13"/>
  <c r="K93" i="13"/>
  <c r="L93" i="13"/>
  <c r="M93" i="13"/>
  <c r="G94" i="13"/>
  <c r="H94" i="13"/>
  <c r="I94" i="13"/>
  <c r="J94" i="13"/>
  <c r="K94" i="13"/>
  <c r="L94" i="13"/>
  <c r="M94" i="13"/>
  <c r="G95" i="13"/>
  <c r="H95" i="13"/>
  <c r="I95" i="13"/>
  <c r="J95" i="13"/>
  <c r="K95" i="13"/>
  <c r="L95" i="13"/>
  <c r="M95" i="13"/>
  <c r="G96" i="13"/>
  <c r="H96" i="13"/>
  <c r="I96" i="13"/>
  <c r="J96" i="13"/>
  <c r="K96" i="13"/>
  <c r="L96" i="13"/>
  <c r="M96" i="13"/>
  <c r="G97" i="13"/>
  <c r="H97" i="13"/>
  <c r="I97" i="13"/>
  <c r="J97" i="13"/>
  <c r="K97" i="13"/>
  <c r="L97" i="13"/>
  <c r="M97" i="13"/>
  <c r="G98" i="13"/>
  <c r="H98" i="13"/>
  <c r="I98" i="13"/>
  <c r="J98" i="13"/>
  <c r="K98" i="13"/>
  <c r="L98" i="13"/>
  <c r="M98" i="13"/>
  <c r="G99" i="13"/>
  <c r="H99" i="13"/>
  <c r="I99" i="13"/>
  <c r="J99" i="13"/>
  <c r="K99" i="13"/>
  <c r="L99" i="13"/>
  <c r="M99" i="13"/>
  <c r="G100" i="13"/>
  <c r="H100" i="13"/>
  <c r="I100" i="13"/>
  <c r="J100" i="13"/>
  <c r="K100" i="13"/>
  <c r="L100" i="13"/>
  <c r="M100" i="13"/>
  <c r="G101" i="13"/>
  <c r="H101" i="13"/>
  <c r="I101" i="13"/>
  <c r="J101" i="13"/>
  <c r="K101" i="13"/>
  <c r="L101" i="13"/>
  <c r="M101" i="13"/>
  <c r="G102" i="13"/>
  <c r="H102" i="13"/>
  <c r="I102" i="13"/>
  <c r="J102" i="13"/>
  <c r="K102" i="13"/>
  <c r="L102" i="13"/>
  <c r="M102" i="13"/>
  <c r="G103" i="13"/>
  <c r="H103" i="13"/>
  <c r="I103" i="13"/>
  <c r="J103" i="13"/>
  <c r="K103" i="13"/>
  <c r="L103" i="13"/>
  <c r="M103" i="13"/>
  <c r="G104" i="13"/>
  <c r="H104" i="13"/>
  <c r="I104" i="13"/>
  <c r="J104" i="13"/>
  <c r="K104" i="13"/>
  <c r="L104" i="13"/>
  <c r="M104" i="13"/>
  <c r="G105" i="13"/>
  <c r="H105" i="13"/>
  <c r="I105" i="13"/>
  <c r="J105" i="13"/>
  <c r="K105" i="13"/>
  <c r="L105" i="13"/>
  <c r="M105" i="13"/>
  <c r="G106" i="13"/>
  <c r="H106" i="13"/>
  <c r="I106" i="13"/>
  <c r="J106" i="13"/>
  <c r="K106" i="13"/>
  <c r="L106" i="13"/>
  <c r="M106" i="13"/>
  <c r="G107" i="13"/>
  <c r="H107" i="13"/>
  <c r="I107" i="13"/>
  <c r="J107" i="13"/>
  <c r="K107" i="13"/>
  <c r="L107" i="13"/>
  <c r="M107" i="13"/>
  <c r="G108" i="13"/>
  <c r="H108" i="13"/>
  <c r="I108" i="13"/>
  <c r="J108" i="13"/>
  <c r="K108" i="13"/>
  <c r="L108" i="13"/>
  <c r="M108" i="13"/>
  <c r="G109" i="13"/>
  <c r="H109" i="13"/>
  <c r="I109" i="13"/>
  <c r="J109" i="13"/>
  <c r="K109" i="13"/>
  <c r="L109" i="13"/>
  <c r="M109" i="13"/>
  <c r="G110" i="13"/>
  <c r="H110" i="13"/>
  <c r="I110" i="13"/>
  <c r="J110" i="13"/>
  <c r="K110" i="13"/>
  <c r="L110" i="13"/>
  <c r="M110" i="13"/>
  <c r="G111" i="13"/>
  <c r="H111" i="13"/>
  <c r="I111" i="13"/>
  <c r="J111" i="13"/>
  <c r="K111" i="13"/>
  <c r="L111" i="13"/>
  <c r="M111" i="13"/>
  <c r="G112" i="13"/>
  <c r="H112" i="13"/>
  <c r="I112" i="13"/>
  <c r="J112" i="13"/>
  <c r="K112" i="13"/>
  <c r="L112" i="13"/>
  <c r="M112" i="13"/>
  <c r="G113" i="13"/>
  <c r="H113" i="13"/>
  <c r="I113" i="13"/>
  <c r="J113" i="13"/>
  <c r="K113" i="13"/>
  <c r="L113" i="13"/>
  <c r="M113" i="13"/>
  <c r="G114" i="13"/>
  <c r="H114" i="13"/>
  <c r="I114" i="13"/>
  <c r="J114" i="13"/>
  <c r="K114" i="13"/>
  <c r="L114" i="13"/>
  <c r="M114" i="13"/>
  <c r="G115" i="13"/>
  <c r="H115" i="13"/>
  <c r="I115" i="13"/>
  <c r="J115" i="13"/>
  <c r="K115" i="13"/>
  <c r="L115" i="13"/>
  <c r="M115" i="13"/>
  <c r="G116" i="13"/>
  <c r="H116" i="13"/>
  <c r="I116" i="13"/>
  <c r="J116" i="13"/>
  <c r="K116" i="13"/>
  <c r="L116" i="13"/>
  <c r="M116" i="13"/>
  <c r="G117" i="13"/>
  <c r="H117" i="13"/>
  <c r="I117" i="13"/>
  <c r="J117" i="13"/>
  <c r="K117" i="13"/>
  <c r="L117" i="13"/>
  <c r="M117" i="13"/>
  <c r="G118" i="13"/>
  <c r="H118" i="13"/>
  <c r="I118" i="13"/>
  <c r="J118" i="13"/>
  <c r="K118" i="13"/>
  <c r="L118" i="13"/>
  <c r="M118" i="13"/>
  <c r="G119" i="13"/>
  <c r="H119" i="13"/>
  <c r="I119" i="13"/>
  <c r="J119" i="13"/>
  <c r="K119" i="13"/>
  <c r="L119" i="13"/>
  <c r="M119" i="13"/>
  <c r="G120" i="13"/>
  <c r="H120" i="13"/>
  <c r="I120" i="13"/>
  <c r="J120" i="13"/>
  <c r="K120" i="13"/>
  <c r="L120" i="13"/>
  <c r="M120" i="13"/>
  <c r="G121" i="13"/>
  <c r="H121" i="13"/>
  <c r="I121" i="13"/>
  <c r="J121" i="13"/>
  <c r="K121" i="13"/>
  <c r="L121" i="13"/>
  <c r="M121" i="13"/>
  <c r="G122" i="13"/>
  <c r="H122" i="13"/>
  <c r="I122" i="13"/>
  <c r="J122" i="13"/>
  <c r="K122" i="13"/>
  <c r="L122" i="13"/>
  <c r="M122" i="13"/>
  <c r="G123" i="13"/>
  <c r="H123" i="13"/>
  <c r="I123" i="13"/>
  <c r="J123" i="13"/>
  <c r="K123" i="13"/>
  <c r="L123" i="13"/>
  <c r="M123" i="13"/>
  <c r="G124" i="13"/>
  <c r="H124" i="13"/>
  <c r="I124" i="13"/>
  <c r="J124" i="13"/>
  <c r="K124" i="13"/>
  <c r="L124" i="13"/>
  <c r="M124" i="13"/>
  <c r="G125" i="13"/>
  <c r="H125" i="13"/>
  <c r="I125" i="13"/>
  <c r="J125" i="13"/>
  <c r="K125" i="13"/>
  <c r="L125" i="13"/>
  <c r="M125" i="13"/>
  <c r="G126" i="13"/>
  <c r="H126" i="13"/>
  <c r="I126" i="13"/>
  <c r="J126" i="13"/>
  <c r="K126" i="13"/>
  <c r="L126" i="13"/>
  <c r="M126" i="13"/>
  <c r="G127" i="13"/>
  <c r="H127" i="13"/>
  <c r="I127" i="13"/>
  <c r="J127" i="13"/>
  <c r="K127" i="13"/>
  <c r="L127" i="13"/>
  <c r="M127" i="13"/>
  <c r="G128" i="13"/>
  <c r="H128" i="13"/>
  <c r="I128" i="13"/>
  <c r="J128" i="13"/>
  <c r="K128" i="13"/>
  <c r="L128" i="13"/>
  <c r="M128" i="13"/>
  <c r="G129" i="13"/>
  <c r="H129" i="13"/>
  <c r="I129" i="13"/>
  <c r="J129" i="13"/>
  <c r="K129" i="13"/>
  <c r="L129" i="13"/>
  <c r="M129" i="13"/>
  <c r="G130" i="13"/>
  <c r="H130" i="13"/>
  <c r="I130" i="13"/>
  <c r="J130" i="13"/>
  <c r="K130" i="13"/>
  <c r="L130" i="13"/>
  <c r="M130" i="13"/>
  <c r="G131" i="13"/>
  <c r="H131" i="13"/>
  <c r="I131" i="13"/>
  <c r="J131" i="13"/>
  <c r="K131" i="13"/>
  <c r="L131" i="13"/>
  <c r="M131" i="13"/>
  <c r="G132" i="13"/>
  <c r="H132" i="13"/>
  <c r="I132" i="13"/>
  <c r="J132" i="13"/>
  <c r="K132" i="13"/>
  <c r="L132" i="13"/>
  <c r="M132" i="13"/>
  <c r="G133" i="13"/>
  <c r="H133" i="13"/>
  <c r="I133" i="13"/>
  <c r="J133" i="13"/>
  <c r="K133" i="13"/>
  <c r="L133" i="13"/>
  <c r="M133" i="13"/>
  <c r="G134" i="13"/>
  <c r="H134" i="13"/>
  <c r="I134" i="13"/>
  <c r="J134" i="13"/>
  <c r="K134" i="13"/>
  <c r="L134" i="13"/>
  <c r="M134" i="13"/>
  <c r="G135" i="13"/>
  <c r="H135" i="13"/>
  <c r="I135" i="13"/>
  <c r="J135" i="13"/>
  <c r="K135" i="13"/>
  <c r="L135" i="13"/>
  <c r="M135" i="13"/>
  <c r="G136" i="13"/>
  <c r="H136" i="13"/>
  <c r="I136" i="13"/>
  <c r="J136" i="13"/>
  <c r="K136" i="13"/>
  <c r="L136" i="13"/>
  <c r="M136" i="13"/>
  <c r="G137" i="13"/>
  <c r="H137" i="13"/>
  <c r="I137" i="13"/>
  <c r="J137" i="13"/>
  <c r="K137" i="13"/>
  <c r="L137" i="13"/>
  <c r="M137" i="13"/>
  <c r="G138" i="13"/>
  <c r="H138" i="13"/>
  <c r="I138" i="13"/>
  <c r="J138" i="13"/>
  <c r="K138" i="13"/>
  <c r="L138" i="13"/>
  <c r="M138" i="13"/>
  <c r="G139" i="13"/>
  <c r="H139" i="13"/>
  <c r="I139" i="13"/>
  <c r="J139" i="13"/>
  <c r="K139" i="13"/>
  <c r="L139" i="13"/>
  <c r="M139" i="13"/>
  <c r="G140" i="13"/>
  <c r="H140" i="13"/>
  <c r="I140" i="13"/>
  <c r="J140" i="13"/>
  <c r="K140" i="13"/>
  <c r="L140" i="13"/>
  <c r="M140" i="13"/>
  <c r="G141" i="13"/>
  <c r="H141" i="13"/>
  <c r="I141" i="13"/>
  <c r="J141" i="13"/>
  <c r="K141" i="13"/>
  <c r="L141" i="13"/>
  <c r="M141" i="13"/>
  <c r="G142" i="13"/>
  <c r="H142" i="13"/>
  <c r="I142" i="13"/>
  <c r="J142" i="13"/>
  <c r="K142" i="13"/>
  <c r="L142" i="13"/>
  <c r="M142" i="13"/>
  <c r="G143" i="13"/>
  <c r="H143" i="13"/>
  <c r="I143" i="13"/>
  <c r="J143" i="13"/>
  <c r="K143" i="13"/>
  <c r="L143" i="13"/>
  <c r="M143" i="13"/>
  <c r="G144" i="13"/>
  <c r="H144" i="13"/>
  <c r="I144" i="13"/>
  <c r="J144" i="13"/>
  <c r="K144" i="13"/>
  <c r="L144" i="13"/>
  <c r="M144" i="13"/>
  <c r="G145" i="13"/>
  <c r="H145" i="13"/>
  <c r="I145" i="13"/>
  <c r="J145" i="13"/>
  <c r="K145" i="13"/>
  <c r="L145" i="13"/>
  <c r="M145" i="13"/>
  <c r="G146" i="13"/>
  <c r="H146" i="13"/>
  <c r="I146" i="13"/>
  <c r="J146" i="13"/>
  <c r="K146" i="13"/>
  <c r="L146" i="13"/>
  <c r="M146" i="13"/>
  <c r="G147" i="13"/>
  <c r="H147" i="13"/>
  <c r="I147" i="13"/>
  <c r="J147" i="13"/>
  <c r="K147" i="13"/>
  <c r="L147" i="13"/>
  <c r="M147" i="13"/>
  <c r="G148" i="13"/>
  <c r="H148" i="13"/>
  <c r="I148" i="13"/>
  <c r="J148" i="13"/>
  <c r="K148" i="13"/>
  <c r="L148" i="13"/>
  <c r="M148" i="13"/>
  <c r="G149" i="13"/>
  <c r="H149" i="13"/>
  <c r="I149" i="13"/>
  <c r="J149" i="13"/>
  <c r="K149" i="13"/>
  <c r="L149" i="13"/>
  <c r="M149" i="13"/>
  <c r="G150" i="13"/>
  <c r="H150" i="13"/>
  <c r="I150" i="13"/>
  <c r="J150" i="13"/>
  <c r="K150" i="13"/>
  <c r="L150" i="13"/>
  <c r="M150" i="13"/>
  <c r="G151" i="13"/>
  <c r="H151" i="13"/>
  <c r="I151" i="13"/>
  <c r="J151" i="13"/>
  <c r="K151" i="13"/>
  <c r="L151" i="13"/>
  <c r="M151" i="13"/>
  <c r="G152" i="13"/>
  <c r="H152" i="13"/>
  <c r="I152" i="13"/>
  <c r="J152" i="13"/>
  <c r="K152" i="13"/>
  <c r="L152" i="13"/>
  <c r="M152" i="13"/>
  <c r="G153" i="13"/>
  <c r="H153" i="13"/>
  <c r="I153" i="13"/>
  <c r="J153" i="13"/>
  <c r="K153" i="13"/>
  <c r="L153" i="13"/>
  <c r="M153" i="13"/>
  <c r="G154" i="13"/>
  <c r="H154" i="13"/>
  <c r="I154" i="13"/>
  <c r="J154" i="13"/>
  <c r="K154" i="13"/>
  <c r="L154" i="13"/>
  <c r="M154" i="13"/>
  <c r="G155" i="13"/>
  <c r="H155" i="13"/>
  <c r="I155" i="13"/>
  <c r="J155" i="13"/>
  <c r="K155" i="13"/>
  <c r="L155" i="13"/>
  <c r="M155" i="13"/>
  <c r="G156" i="13"/>
  <c r="H156" i="13"/>
  <c r="I156" i="13"/>
  <c r="J156" i="13"/>
  <c r="K156" i="13"/>
  <c r="L156" i="13"/>
  <c r="M156" i="13"/>
  <c r="G157" i="13"/>
  <c r="H157" i="13"/>
  <c r="I157" i="13"/>
  <c r="J157" i="13"/>
  <c r="K157" i="13"/>
  <c r="L157" i="13"/>
  <c r="M157" i="13"/>
  <c r="G158" i="13"/>
  <c r="H158" i="13"/>
  <c r="I158" i="13"/>
  <c r="J158" i="13"/>
  <c r="K158" i="13"/>
  <c r="L158" i="13"/>
  <c r="M158" i="13"/>
  <c r="G159" i="13"/>
  <c r="H159" i="13"/>
  <c r="I159" i="13"/>
  <c r="J159" i="13"/>
  <c r="K159" i="13"/>
  <c r="L159" i="13"/>
  <c r="M159" i="13"/>
  <c r="G160" i="13"/>
  <c r="H160" i="13"/>
  <c r="I160" i="13"/>
  <c r="J160" i="13"/>
  <c r="K160" i="13"/>
  <c r="L160" i="13"/>
  <c r="M160" i="13"/>
  <c r="G161" i="13"/>
  <c r="H161" i="13"/>
  <c r="I161" i="13"/>
  <c r="J161" i="13"/>
  <c r="K161" i="13"/>
  <c r="L161" i="13"/>
  <c r="M161" i="13"/>
  <c r="G162" i="13"/>
  <c r="H162" i="13"/>
  <c r="I162" i="13"/>
  <c r="J162" i="13"/>
  <c r="K162" i="13"/>
  <c r="L162" i="13"/>
  <c r="M162" i="13"/>
  <c r="G163" i="13"/>
  <c r="H163" i="13"/>
  <c r="I163" i="13"/>
  <c r="J163" i="13"/>
  <c r="K163" i="13"/>
  <c r="L163" i="13"/>
  <c r="M163" i="13"/>
  <c r="G164" i="13"/>
  <c r="H164" i="13"/>
  <c r="I164" i="13"/>
  <c r="J164" i="13"/>
  <c r="K164" i="13"/>
  <c r="L164" i="13"/>
  <c r="M164" i="13"/>
  <c r="G165" i="13"/>
  <c r="H165" i="13"/>
  <c r="I165" i="13"/>
  <c r="J165" i="13"/>
  <c r="K165" i="13"/>
  <c r="L165" i="13"/>
  <c r="M165" i="13"/>
  <c r="G166" i="13"/>
  <c r="H166" i="13"/>
  <c r="I166" i="13"/>
  <c r="J166" i="13"/>
  <c r="K166" i="13"/>
  <c r="L166" i="13"/>
  <c r="M166" i="13"/>
  <c r="G167" i="13"/>
  <c r="H167" i="13"/>
  <c r="I167" i="13"/>
  <c r="J167" i="13"/>
  <c r="K167" i="13"/>
  <c r="L167" i="13"/>
  <c r="M167" i="13"/>
  <c r="G168" i="13"/>
  <c r="H168" i="13"/>
  <c r="I168" i="13"/>
  <c r="J168" i="13"/>
  <c r="K168" i="13"/>
  <c r="L168" i="13"/>
  <c r="M168" i="13"/>
  <c r="G169" i="13"/>
  <c r="H169" i="13"/>
  <c r="I169" i="13"/>
  <c r="J169" i="13"/>
  <c r="K169" i="13"/>
  <c r="L169" i="13"/>
  <c r="M169" i="13"/>
  <c r="G170" i="13"/>
  <c r="H170" i="13"/>
  <c r="I170" i="13"/>
  <c r="J170" i="13"/>
  <c r="K170" i="13"/>
  <c r="L170" i="13"/>
  <c r="M170" i="13"/>
  <c r="G171" i="13"/>
  <c r="H171" i="13"/>
  <c r="I171" i="13"/>
  <c r="J171" i="13"/>
  <c r="K171" i="13"/>
  <c r="L171" i="13"/>
  <c r="M171" i="13"/>
  <c r="G172" i="13"/>
  <c r="H172" i="13"/>
  <c r="I172" i="13"/>
  <c r="J172" i="13"/>
  <c r="K172" i="13"/>
  <c r="L172" i="13"/>
  <c r="M172" i="13"/>
  <c r="G173" i="13"/>
  <c r="H173" i="13"/>
  <c r="I173" i="13"/>
  <c r="J173" i="13"/>
  <c r="K173" i="13"/>
  <c r="L173" i="13"/>
  <c r="M173" i="13"/>
  <c r="G174" i="13"/>
  <c r="H174" i="13"/>
  <c r="I174" i="13"/>
  <c r="J174" i="13"/>
  <c r="K174" i="13"/>
  <c r="L174" i="13"/>
  <c r="M174" i="13"/>
  <c r="G175" i="13"/>
  <c r="H175" i="13"/>
  <c r="I175" i="13"/>
  <c r="J175" i="13"/>
  <c r="K175" i="13"/>
  <c r="L175" i="13"/>
  <c r="M175" i="13"/>
  <c r="G176" i="13"/>
  <c r="H176" i="13"/>
  <c r="I176" i="13"/>
  <c r="J176" i="13"/>
  <c r="K176" i="13"/>
  <c r="L176" i="13"/>
  <c r="M176" i="13"/>
  <c r="G177" i="13"/>
  <c r="H177" i="13"/>
  <c r="I177" i="13"/>
  <c r="J177" i="13"/>
  <c r="K177" i="13"/>
  <c r="L177" i="13"/>
  <c r="M177" i="13"/>
  <c r="G178" i="13"/>
  <c r="H178" i="13"/>
  <c r="I178" i="13"/>
  <c r="J178" i="13"/>
  <c r="K178" i="13"/>
  <c r="L178" i="13"/>
  <c r="M178" i="13"/>
  <c r="G179" i="13"/>
  <c r="H179" i="13"/>
  <c r="I179" i="13"/>
  <c r="J179" i="13"/>
  <c r="K179" i="13"/>
  <c r="L179" i="13"/>
  <c r="M179" i="13"/>
  <c r="G180" i="13"/>
  <c r="H180" i="13"/>
  <c r="I180" i="13"/>
  <c r="J180" i="13"/>
  <c r="K180" i="13"/>
  <c r="L180" i="13"/>
  <c r="M180" i="13"/>
  <c r="G181" i="13"/>
  <c r="H181" i="13"/>
  <c r="I181" i="13"/>
  <c r="J181" i="13"/>
  <c r="K181" i="13"/>
  <c r="L181" i="13"/>
  <c r="M181" i="13"/>
  <c r="G182" i="13"/>
  <c r="H182" i="13"/>
  <c r="I182" i="13"/>
  <c r="J182" i="13"/>
  <c r="K182" i="13"/>
  <c r="L182" i="13"/>
  <c r="M182" i="13"/>
  <c r="G183" i="13"/>
  <c r="H183" i="13"/>
  <c r="I183" i="13"/>
  <c r="J183" i="13"/>
  <c r="K183" i="13"/>
  <c r="L183" i="13"/>
  <c r="M183" i="13"/>
  <c r="G184" i="13"/>
  <c r="H184" i="13"/>
  <c r="I184" i="13"/>
  <c r="J184" i="13"/>
  <c r="K184" i="13"/>
  <c r="L184" i="13"/>
  <c r="M184" i="13"/>
  <c r="G185" i="13"/>
  <c r="H185" i="13"/>
  <c r="I185" i="13"/>
  <c r="J185" i="13"/>
  <c r="K185" i="13"/>
  <c r="L185" i="13"/>
  <c r="M185" i="13"/>
  <c r="G186" i="13"/>
  <c r="H186" i="13"/>
  <c r="I186" i="13"/>
  <c r="J186" i="13"/>
  <c r="K186" i="13"/>
  <c r="L186" i="13"/>
  <c r="M186" i="13"/>
  <c r="G187" i="13"/>
  <c r="H187" i="13"/>
  <c r="I187" i="13"/>
  <c r="J187" i="13"/>
  <c r="K187" i="13"/>
  <c r="L187" i="13"/>
  <c r="M187" i="13"/>
  <c r="G188" i="13"/>
  <c r="H188" i="13"/>
  <c r="I188" i="13"/>
  <c r="J188" i="13"/>
  <c r="K188" i="13"/>
  <c r="L188" i="13"/>
  <c r="M188" i="13"/>
  <c r="G189" i="13"/>
  <c r="H189" i="13"/>
  <c r="I189" i="13"/>
  <c r="J189" i="13"/>
  <c r="K189" i="13"/>
  <c r="L189" i="13"/>
  <c r="M189" i="13"/>
  <c r="G190" i="13"/>
  <c r="H190" i="13"/>
  <c r="I190" i="13"/>
  <c r="J190" i="13"/>
  <c r="K190" i="13"/>
  <c r="L190" i="13"/>
  <c r="M190" i="13"/>
  <c r="G191" i="13"/>
  <c r="H191" i="13"/>
  <c r="I191" i="13"/>
  <c r="J191" i="13"/>
  <c r="K191" i="13"/>
  <c r="L191" i="13"/>
  <c r="M191" i="13"/>
  <c r="G192" i="13"/>
  <c r="H192" i="13"/>
  <c r="I192" i="13"/>
  <c r="J192" i="13"/>
  <c r="K192" i="13"/>
  <c r="L192" i="13"/>
  <c r="M192" i="13"/>
  <c r="G43" i="13"/>
  <c r="H43" i="13"/>
  <c r="I43" i="13"/>
  <c r="J43" i="13"/>
  <c r="K43" i="13"/>
  <c r="L43" i="13"/>
  <c r="M43" i="13"/>
  <c r="F43" i="13"/>
  <c r="G42" i="13"/>
  <c r="H42" i="13"/>
  <c r="I42" i="13"/>
  <c r="J42" i="13"/>
  <c r="K42" i="13"/>
  <c r="L42" i="13"/>
  <c r="M42" i="13"/>
  <c r="F42" i="13"/>
  <c r="E42" i="13"/>
  <c r="G40" i="13"/>
  <c r="F40" i="13"/>
  <c r="E40" i="13"/>
  <c r="D40" i="13"/>
  <c r="N10" i="13"/>
  <c r="M10" i="13"/>
  <c r="M7" i="13"/>
  <c r="E11" i="13"/>
  <c r="E13" i="13" s="1"/>
  <c r="F11" i="13"/>
  <c r="F13" i="13" s="1"/>
  <c r="G11" i="13"/>
  <c r="G13" i="13" s="1"/>
  <c r="H11" i="13"/>
  <c r="H13" i="13" s="1"/>
  <c r="I11" i="13"/>
  <c r="I13" i="13" s="1"/>
  <c r="J11" i="13"/>
  <c r="J13" i="13" s="1"/>
  <c r="K11" i="13"/>
  <c r="K13" i="13" s="1"/>
  <c r="D11" i="13"/>
  <c r="D13" i="13" s="1"/>
  <c r="C13" i="13"/>
  <c r="C11" i="13"/>
  <c r="C9" i="13"/>
  <c r="C8" i="13"/>
  <c r="C7" i="13"/>
  <c r="M41" i="14" l="1"/>
  <c r="N41" i="14" s="1"/>
  <c r="L41" i="14"/>
  <c r="D42" i="13"/>
  <c r="D11" i="12"/>
  <c r="D15" i="12" s="1"/>
  <c r="C17" i="12"/>
  <c r="C16" i="12"/>
  <c r="C13" i="12"/>
  <c r="C12" i="12"/>
  <c r="C9" i="12"/>
  <c r="J10" i="11"/>
  <c r="J11" i="11" s="1"/>
  <c r="I10" i="11"/>
  <c r="G10" i="11"/>
  <c r="G11" i="11" s="1"/>
  <c r="F10" i="11"/>
  <c r="E43" i="13" l="1"/>
  <c r="D43" i="13" s="1"/>
  <c r="D17" i="12"/>
  <c r="D16" i="12"/>
  <c r="D12" i="12"/>
  <c r="D13" i="12"/>
  <c r="I7" i="10"/>
  <c r="I14" i="10"/>
  <c r="I12" i="10"/>
  <c r="I11" i="10"/>
  <c r="F11" i="10"/>
  <c r="F13" i="10"/>
  <c r="F12" i="10"/>
  <c r="D20" i="10"/>
  <c r="M16" i="10" s="1"/>
  <c r="D19" i="10"/>
  <c r="D18" i="10"/>
  <c r="D17" i="10"/>
  <c r="M8" i="10" s="1"/>
  <c r="C20" i="10"/>
  <c r="C19" i="10"/>
  <c r="C18" i="10"/>
  <c r="C17" i="10"/>
  <c r="C13" i="10"/>
  <c r="C10" i="10"/>
  <c r="O33" i="9"/>
  <c r="L33" i="9"/>
  <c r="L37" i="9" s="1"/>
  <c r="K33" i="9"/>
  <c r="J18" i="7"/>
  <c r="J19" i="7"/>
  <c r="I12" i="7"/>
  <c r="L17" i="7"/>
  <c r="G14" i="7"/>
  <c r="G13" i="7"/>
  <c r="C26" i="7"/>
  <c r="E44" i="13" l="1"/>
  <c r="D44" i="13" s="1"/>
  <c r="D10" i="10"/>
  <c r="G12" i="10"/>
  <c r="D13" i="10"/>
  <c r="L89" i="9"/>
  <c r="L132" i="9"/>
  <c r="L125" i="9"/>
  <c r="L118" i="9"/>
  <c r="L110" i="9"/>
  <c r="L104" i="9"/>
  <c r="L97" i="9"/>
  <c r="L82" i="9"/>
  <c r="L76" i="9"/>
  <c r="L65" i="9"/>
  <c r="L54" i="9"/>
  <c r="L45" i="9"/>
  <c r="L130" i="9"/>
  <c r="L124" i="9"/>
  <c r="L116" i="9"/>
  <c r="L109" i="9"/>
  <c r="L102" i="9"/>
  <c r="L94" i="9"/>
  <c r="L88" i="9"/>
  <c r="L81" i="9"/>
  <c r="L73" i="9"/>
  <c r="L62" i="9"/>
  <c r="L53" i="9"/>
  <c r="L41" i="9"/>
  <c r="L35" i="9"/>
  <c r="L129" i="9"/>
  <c r="L121" i="9"/>
  <c r="L114" i="9"/>
  <c r="L108" i="9"/>
  <c r="L100" i="9"/>
  <c r="L93" i="9"/>
  <c r="L86" i="9"/>
  <c r="L78" i="9"/>
  <c r="L70" i="9"/>
  <c r="L61" i="9"/>
  <c r="L49" i="9"/>
  <c r="L38" i="9"/>
  <c r="L134" i="9"/>
  <c r="L126" i="9"/>
  <c r="L120" i="9"/>
  <c r="L113" i="9"/>
  <c r="L105" i="9"/>
  <c r="L98" i="9"/>
  <c r="L92" i="9"/>
  <c r="L84" i="9"/>
  <c r="L77" i="9"/>
  <c r="L69" i="9"/>
  <c r="L57" i="9"/>
  <c r="L46" i="9"/>
  <c r="L39" i="9"/>
  <c r="L43" i="9"/>
  <c r="L47" i="9"/>
  <c r="L51" i="9"/>
  <c r="L55" i="9"/>
  <c r="L59" i="9"/>
  <c r="L63" i="9"/>
  <c r="L67" i="9"/>
  <c r="L71" i="9"/>
  <c r="L75" i="9"/>
  <c r="L79" i="9"/>
  <c r="L83" i="9"/>
  <c r="L87" i="9"/>
  <c r="L91" i="9"/>
  <c r="L95" i="9"/>
  <c r="L99" i="9"/>
  <c r="L103" i="9"/>
  <c r="L107" i="9"/>
  <c r="L111" i="9"/>
  <c r="L115" i="9"/>
  <c r="L119" i="9"/>
  <c r="L123" i="9"/>
  <c r="L127" i="9"/>
  <c r="L131" i="9"/>
  <c r="L135" i="9"/>
  <c r="L36" i="9"/>
  <c r="L40" i="9"/>
  <c r="L44" i="9"/>
  <c r="L48" i="9"/>
  <c r="L52" i="9"/>
  <c r="L56" i="9"/>
  <c r="L60" i="9"/>
  <c r="L64" i="9"/>
  <c r="L68" i="9"/>
  <c r="L72" i="9"/>
  <c r="L133" i="9"/>
  <c r="L128" i="9"/>
  <c r="L122" i="9"/>
  <c r="L117" i="9"/>
  <c r="L112" i="9"/>
  <c r="L106" i="9"/>
  <c r="L101" i="9"/>
  <c r="L96" i="9"/>
  <c r="L90" i="9"/>
  <c r="L85" i="9"/>
  <c r="L80" i="9"/>
  <c r="L74" i="9"/>
  <c r="L66" i="9"/>
  <c r="L58" i="9"/>
  <c r="L50" i="9"/>
  <c r="L42" i="9"/>
  <c r="G14" i="9"/>
  <c r="N33" i="9" s="1"/>
  <c r="O8" i="10" l="1"/>
  <c r="N8" i="10"/>
  <c r="O16" i="10"/>
  <c r="N16" i="10"/>
  <c r="E45" i="13"/>
  <c r="G13" i="9"/>
  <c r="M33" i="9" s="1"/>
  <c r="M37" i="9" s="1"/>
  <c r="D14" i="9"/>
  <c r="F9" i="9"/>
  <c r="F13" i="9"/>
  <c r="F8" i="9"/>
  <c r="F7" i="9"/>
  <c r="C13" i="9"/>
  <c r="C9" i="9"/>
  <c r="C8" i="9"/>
  <c r="C7" i="9"/>
  <c r="D20" i="8"/>
  <c r="D21" i="8"/>
  <c r="I10" i="8"/>
  <c r="O8" i="8"/>
  <c r="O9" i="8"/>
  <c r="L13" i="8"/>
  <c r="L8" i="8"/>
  <c r="I13" i="8"/>
  <c r="I9" i="8"/>
  <c r="I8" i="8"/>
  <c r="F13" i="8"/>
  <c r="F10" i="8"/>
  <c r="F9" i="8"/>
  <c r="F8" i="8"/>
  <c r="C13" i="8"/>
  <c r="C12" i="8"/>
  <c r="C11" i="8"/>
  <c r="L22" i="7"/>
  <c r="J23" i="7"/>
  <c r="J24" i="7"/>
  <c r="H25" i="7"/>
  <c r="G25" i="7"/>
  <c r="H20" i="7"/>
  <c r="G20" i="7"/>
  <c r="J10" i="7"/>
  <c r="J9" i="7"/>
  <c r="J8" i="7"/>
  <c r="J7" i="7"/>
  <c r="J6" i="7"/>
  <c r="C20" i="7"/>
  <c r="C19" i="7"/>
  <c r="D10" i="7"/>
  <c r="E10" i="7" s="1"/>
  <c r="D9" i="7"/>
  <c r="E9" i="7" s="1"/>
  <c r="D8" i="7"/>
  <c r="E8" i="7" s="1"/>
  <c r="D7" i="7"/>
  <c r="E7" i="7" s="1"/>
  <c r="I14" i="7" s="1"/>
  <c r="K13" i="1"/>
  <c r="P16" i="10" l="1"/>
  <c r="Q16" i="10" s="1"/>
  <c r="M17" i="10" s="1"/>
  <c r="P8" i="10"/>
  <c r="I15" i="7"/>
  <c r="D45" i="13"/>
  <c r="E46" i="13" s="1"/>
  <c r="M74" i="9"/>
  <c r="M102" i="9"/>
  <c r="M96" i="9"/>
  <c r="M53" i="9"/>
  <c r="M84" i="9"/>
  <c r="M42" i="9"/>
  <c r="M121" i="9"/>
  <c r="M71" i="9"/>
  <c r="M122" i="9"/>
  <c r="M44" i="9"/>
  <c r="M130" i="9"/>
  <c r="M60" i="9"/>
  <c r="M87" i="9"/>
  <c r="M101" i="9"/>
  <c r="M86" i="9"/>
  <c r="M129" i="9"/>
  <c r="M106" i="9"/>
  <c r="M59" i="9"/>
  <c r="M114" i="9"/>
  <c r="M46" i="9"/>
  <c r="M120" i="9"/>
  <c r="M100" i="9"/>
  <c r="M85" i="9"/>
  <c r="M75" i="9"/>
  <c r="M49" i="9"/>
  <c r="M108" i="9"/>
  <c r="M83" i="9"/>
  <c r="M90" i="9"/>
  <c r="M95" i="9"/>
  <c r="M65" i="9"/>
  <c r="M105" i="9"/>
  <c r="M135" i="9"/>
  <c r="M97" i="9"/>
  <c r="M126" i="9"/>
  <c r="M123" i="9"/>
  <c r="M118" i="9"/>
  <c r="M79" i="9"/>
  <c r="M89" i="9"/>
  <c r="M78" i="9"/>
  <c r="M99" i="9"/>
  <c r="M66" i="9"/>
  <c r="M111" i="9"/>
  <c r="M124" i="9"/>
  <c r="M77" i="9"/>
  <c r="M48" i="9"/>
  <c r="M54" i="9"/>
  <c r="M98" i="9"/>
  <c r="M36" i="9"/>
  <c r="M82" i="9"/>
  <c r="M127" i="9"/>
  <c r="M110" i="9"/>
  <c r="M73" i="9"/>
  <c r="M38" i="9"/>
  <c r="M51" i="9"/>
  <c r="M115" i="9"/>
  <c r="M133" i="9"/>
  <c r="M45" i="9"/>
  <c r="M57" i="9"/>
  <c r="M40" i="9"/>
  <c r="M132" i="9"/>
  <c r="M94" i="9"/>
  <c r="M70" i="9"/>
  <c r="M39" i="9"/>
  <c r="M103" i="9"/>
  <c r="M64" i="9"/>
  <c r="M58" i="9"/>
  <c r="M116" i="9"/>
  <c r="M93" i="9"/>
  <c r="M69" i="9"/>
  <c r="M91" i="9"/>
  <c r="M52" i="9"/>
  <c r="M80" i="9"/>
  <c r="M109" i="9"/>
  <c r="M92" i="9"/>
  <c r="M56" i="9"/>
  <c r="M76" i="9"/>
  <c r="M35" i="9"/>
  <c r="M113" i="9"/>
  <c r="M67" i="9"/>
  <c r="M131" i="9"/>
  <c r="M112" i="9"/>
  <c r="M41" i="9"/>
  <c r="M63" i="9"/>
  <c r="M72" i="9"/>
  <c r="M104" i="9"/>
  <c r="M62" i="9"/>
  <c r="M134" i="9"/>
  <c r="M55" i="9"/>
  <c r="M119" i="9"/>
  <c r="M128" i="9"/>
  <c r="M125" i="9"/>
  <c r="M88" i="9"/>
  <c r="M61" i="9"/>
  <c r="M43" i="9"/>
  <c r="M107" i="9"/>
  <c r="M68" i="9"/>
  <c r="M50" i="9"/>
  <c r="M81" i="9"/>
  <c r="M47" i="9"/>
  <c r="M117" i="9"/>
  <c r="L24" i="7"/>
  <c r="L23" i="7" s="1"/>
  <c r="I13" i="7"/>
  <c r="L25" i="7"/>
  <c r="G13" i="8"/>
  <c r="P13" i="8"/>
  <c r="J13" i="8"/>
  <c r="M13" i="8"/>
  <c r="L19" i="7"/>
  <c r="L18" i="7" s="1"/>
  <c r="L20" i="7"/>
  <c r="E11" i="7"/>
  <c r="H16" i="5"/>
  <c r="I15" i="5"/>
  <c r="J9" i="5"/>
  <c r="J10" i="5" s="1"/>
  <c r="I9" i="5"/>
  <c r="I11" i="5" s="1"/>
  <c r="H7" i="5"/>
  <c r="I12" i="5" s="1"/>
  <c r="G16" i="5"/>
  <c r="G13" i="5"/>
  <c r="G12" i="5"/>
  <c r="G11" i="5"/>
  <c r="G10" i="5"/>
  <c r="G9" i="5"/>
  <c r="G7" i="5"/>
  <c r="D14" i="5"/>
  <c r="H6" i="5" s="1"/>
  <c r="C7" i="5"/>
  <c r="C6" i="5"/>
  <c r="I13" i="1"/>
  <c r="E18" i="1"/>
  <c r="E17" i="1"/>
  <c r="I17" i="1"/>
  <c r="H7" i="1" s="1"/>
  <c r="G13" i="1"/>
  <c r="C18" i="1"/>
  <c r="G11" i="1"/>
  <c r="G10" i="1"/>
  <c r="G6" i="3"/>
  <c r="G7" i="3"/>
  <c r="G8" i="3"/>
  <c r="G9" i="3"/>
  <c r="G10" i="3"/>
  <c r="G11" i="3"/>
  <c r="G12" i="3"/>
  <c r="G13" i="3"/>
  <c r="G14" i="3"/>
  <c r="G15" i="3"/>
  <c r="G16" i="3"/>
  <c r="G17" i="3"/>
  <c r="G18" i="3"/>
  <c r="G19" i="3"/>
  <c r="G20" i="3"/>
  <c r="G21" i="3"/>
  <c r="G22" i="3"/>
  <c r="G23" i="3"/>
  <c r="G24" i="3"/>
  <c r="G5" i="3"/>
  <c r="D11" i="7" s="1"/>
  <c r="D11" i="1"/>
  <c r="C17" i="1"/>
  <c r="D10" i="1"/>
  <c r="E10" i="1" s="1"/>
  <c r="D9" i="1"/>
  <c r="E9" i="1" s="1"/>
  <c r="D8" i="1"/>
  <c r="E8" i="1" s="1"/>
  <c r="D7" i="1"/>
  <c r="E7" i="1" s="1"/>
  <c r="J13" i="10" l="1"/>
  <c r="J12" i="10" s="1"/>
  <c r="M9" i="10"/>
  <c r="R8" i="10"/>
  <c r="O17" i="10"/>
  <c r="N17" i="10"/>
  <c r="J12" i="5"/>
  <c r="D46" i="13"/>
  <c r="D16" i="5"/>
  <c r="Q33" i="9"/>
  <c r="J13" i="5"/>
  <c r="I13" i="5"/>
  <c r="L11" i="1"/>
  <c r="H13" i="5"/>
  <c r="H10" i="5"/>
  <c r="H12" i="5" s="1"/>
  <c r="O7" i="1"/>
  <c r="O8" i="1" s="1"/>
  <c r="P7" i="1"/>
  <c r="P12" i="1" s="1"/>
  <c r="N7" i="1"/>
  <c r="H8" i="1"/>
  <c r="H10" i="1" s="1"/>
  <c r="H13" i="1"/>
  <c r="J7" i="1"/>
  <c r="J13" i="1" s="1"/>
  <c r="H14" i="1"/>
  <c r="H12" i="1"/>
  <c r="I7" i="1"/>
  <c r="I14" i="1" s="1"/>
  <c r="K7" i="1"/>
  <c r="K8" i="1" s="1"/>
  <c r="L7" i="1"/>
  <c r="L13" i="1" s="1"/>
  <c r="M9" i="1"/>
  <c r="M7" i="1" s="1"/>
  <c r="M8" i="1" s="1"/>
  <c r="M10" i="1" s="1"/>
  <c r="E11" i="1"/>
  <c r="P17" i="10" l="1"/>
  <c r="O9" i="10"/>
  <c r="N9" i="10"/>
  <c r="R16" i="10"/>
  <c r="E47" i="13"/>
  <c r="D47" i="13" s="1"/>
  <c r="P13" i="1"/>
  <c r="P8" i="1"/>
  <c r="O10" i="1"/>
  <c r="O9" i="1"/>
  <c r="O11" i="1" s="1"/>
  <c r="O12" i="1"/>
  <c r="O14" i="1"/>
  <c r="N13" i="1"/>
  <c r="N8" i="1"/>
  <c r="N14" i="1"/>
  <c r="H9" i="1"/>
  <c r="H11" i="1" s="1"/>
  <c r="K9" i="1"/>
  <c r="K11" i="1" s="1"/>
  <c r="K10" i="1"/>
  <c r="J8" i="1"/>
  <c r="J10" i="1" s="1"/>
  <c r="M13" i="1"/>
  <c r="K14" i="1"/>
  <c r="L14" i="1"/>
  <c r="I12" i="1"/>
  <c r="M12" i="1"/>
  <c r="J12" i="1"/>
  <c r="I8" i="1"/>
  <c r="K12" i="1"/>
  <c r="L8" i="1"/>
  <c r="L10" i="1" s="1"/>
  <c r="L12" i="1"/>
  <c r="M14" i="1"/>
  <c r="J14" i="1"/>
  <c r="P9" i="10" l="1"/>
  <c r="R9" i="10" s="1"/>
  <c r="S9" i="10" s="1"/>
  <c r="M10" i="10" s="1"/>
  <c r="Q17" i="10"/>
  <c r="E48" i="13"/>
  <c r="D48" i="13" s="1"/>
  <c r="P9" i="1"/>
  <c r="P11" i="1" s="1"/>
  <c r="P10" i="1"/>
  <c r="N9" i="1"/>
  <c r="N11" i="1" s="1"/>
  <c r="N10" i="1"/>
  <c r="I9" i="1"/>
  <c r="I11" i="1" s="1"/>
  <c r="I10" i="1"/>
  <c r="J9" i="1"/>
  <c r="J11" i="1" s="1"/>
  <c r="O10" i="10" l="1"/>
  <c r="N10" i="10"/>
  <c r="Q18" i="10"/>
  <c r="Q19" i="10" s="1"/>
  <c r="Q20" i="10" s="1"/>
  <c r="Q21" i="10" s="1"/>
  <c r="Q22" i="10" s="1"/>
  <c r="R17" i="10"/>
  <c r="E49" i="13"/>
  <c r="D49" i="13" s="1"/>
  <c r="F50" i="13" s="1"/>
  <c r="P10" i="10" l="1"/>
  <c r="R10" i="10" s="1"/>
  <c r="S10" i="10" s="1"/>
  <c r="M11" i="10" s="1"/>
  <c r="E50" i="13"/>
  <c r="D50" i="13" s="1"/>
  <c r="F51" i="13" s="1"/>
  <c r="O11" i="10" l="1"/>
  <c r="N11" i="10"/>
  <c r="S17" i="10"/>
  <c r="M18" i="10" s="1"/>
  <c r="E51" i="13"/>
  <c r="D51" i="13" s="1"/>
  <c r="F52" i="13" s="1"/>
  <c r="P11" i="10" l="1"/>
  <c r="R11" i="10" s="1"/>
  <c r="S11" i="10" s="1"/>
  <c r="M12" i="10" s="1"/>
  <c r="N18" i="10"/>
  <c r="O18" i="10"/>
  <c r="E52" i="13"/>
  <c r="D52" i="13" s="1"/>
  <c r="F53" i="13" s="1"/>
  <c r="O12" i="10" l="1"/>
  <c r="N12" i="10"/>
  <c r="P18" i="10"/>
  <c r="E53" i="13"/>
  <c r="D53" i="13" s="1"/>
  <c r="F54" i="13" s="1"/>
  <c r="P12" i="10" l="1"/>
  <c r="R12" i="10" s="1"/>
  <c r="R18" i="10"/>
  <c r="S18" i="10" s="1"/>
  <c r="E54" i="13"/>
  <c r="D54" i="13" s="1"/>
  <c r="F55" i="13" s="1"/>
  <c r="S12" i="10" l="1"/>
  <c r="M13" i="10" s="1"/>
  <c r="M19" i="10"/>
  <c r="O19" i="10" s="1"/>
  <c r="E55" i="13"/>
  <c r="D55" i="13" s="1"/>
  <c r="F56" i="13" s="1"/>
  <c r="N13" i="10" l="1"/>
  <c r="O13" i="10"/>
  <c r="P13" i="10" s="1"/>
  <c r="R13" i="10" s="1"/>
  <c r="S13" i="10" s="1"/>
  <c r="M14" i="10" s="1"/>
  <c r="N19" i="10"/>
  <c r="P19" i="10" s="1"/>
  <c r="R19" i="10" s="1"/>
  <c r="E56" i="13"/>
  <c r="D56" i="13" s="1"/>
  <c r="F57" i="13" s="1"/>
  <c r="G11" i="10" l="1"/>
  <c r="G13" i="10" s="1"/>
  <c r="O14" i="10"/>
  <c r="N14" i="10"/>
  <c r="S19" i="10"/>
  <c r="M20" i="10" s="1"/>
  <c r="E57" i="13"/>
  <c r="D57" i="13" s="1"/>
  <c r="F58" i="13" s="1"/>
  <c r="P14" i="10" l="1"/>
  <c r="R14" i="10" s="1"/>
  <c r="S14" i="10" s="1"/>
  <c r="N20" i="10"/>
  <c r="O20" i="10"/>
  <c r="E58" i="13"/>
  <c r="D58" i="13" s="1"/>
  <c r="F59" i="13" s="1"/>
  <c r="P20" i="10" l="1"/>
  <c r="R20" i="10" s="1"/>
  <c r="S20" i="10" s="1"/>
  <c r="E59" i="13"/>
  <c r="D59" i="13" s="1"/>
  <c r="F60" i="13" s="1"/>
  <c r="M21" i="10" l="1"/>
  <c r="E60" i="13"/>
  <c r="D60" i="13" s="1"/>
  <c r="F61" i="13" s="1"/>
  <c r="O21" i="10" l="1"/>
  <c r="N21" i="10"/>
  <c r="E61" i="13"/>
  <c r="D61" i="13" s="1"/>
  <c r="F62" i="13" s="1"/>
  <c r="P21" i="10" l="1"/>
  <c r="R21" i="10" s="1"/>
  <c r="E62" i="13"/>
  <c r="D62" i="13" s="1"/>
  <c r="F63" i="13" s="1"/>
  <c r="S21" i="10" l="1"/>
  <c r="M22" i="10" s="1"/>
  <c r="E63" i="13"/>
  <c r="D63" i="13" s="1"/>
  <c r="F64" i="13" s="1"/>
  <c r="O22" i="10" l="1"/>
  <c r="J11" i="10"/>
  <c r="J14" i="10" s="1"/>
  <c r="N22" i="10"/>
  <c r="P22" i="10" s="1"/>
  <c r="R22" i="10" s="1"/>
  <c r="S22" i="10" s="1"/>
  <c r="E64" i="13"/>
  <c r="D64" i="13" s="1"/>
  <c r="F65" i="13" s="1"/>
  <c r="E65" i="13" l="1"/>
  <c r="D65" i="13" s="1"/>
  <c r="F66" i="13" s="1"/>
  <c r="E66" i="13" l="1"/>
  <c r="D66" i="13" s="1"/>
  <c r="F67" i="13" s="1"/>
  <c r="E67" i="13" l="1"/>
  <c r="D67" i="13" s="1"/>
  <c r="F68" i="13" s="1"/>
  <c r="E68" i="13" l="1"/>
  <c r="D68" i="13" s="1"/>
  <c r="F69" i="13" s="1"/>
  <c r="E69" i="13" l="1"/>
  <c r="D69" i="13" s="1"/>
  <c r="F70" i="13" s="1"/>
  <c r="E70" i="13" l="1"/>
  <c r="D70" i="13" s="1"/>
  <c r="F71" i="13" s="1"/>
  <c r="E71" i="13" l="1"/>
  <c r="D71" i="13" s="1"/>
  <c r="F72" i="13" s="1"/>
  <c r="E72" i="13" l="1"/>
  <c r="D72" i="13" s="1"/>
  <c r="F73" i="13" s="1"/>
  <c r="E73" i="13" l="1"/>
  <c r="D73" i="13" s="1"/>
  <c r="F74" i="13" s="1"/>
  <c r="E74" i="13" l="1"/>
  <c r="D74" i="13" s="1"/>
  <c r="F75" i="13" s="1"/>
  <c r="E75" i="13" l="1"/>
  <c r="D75" i="13" s="1"/>
  <c r="F76" i="13" s="1"/>
  <c r="E76" i="13" l="1"/>
  <c r="D76" i="13" s="1"/>
  <c r="F77" i="13" s="1"/>
  <c r="E77" i="13" l="1"/>
  <c r="D77" i="13" s="1"/>
  <c r="F78" i="13" s="1"/>
  <c r="E78" i="13" l="1"/>
  <c r="D78" i="13" s="1"/>
  <c r="F79" i="13" s="1"/>
  <c r="E79" i="13" l="1"/>
  <c r="D79" i="13" s="1"/>
  <c r="F80" i="13" s="1"/>
  <c r="E80" i="13" l="1"/>
  <c r="D80" i="13" s="1"/>
  <c r="F81" i="13" s="1"/>
  <c r="E81" i="13" l="1"/>
  <c r="D81" i="13" s="1"/>
  <c r="F82" i="13" s="1"/>
  <c r="E82" i="13" l="1"/>
  <c r="D82" i="13" s="1"/>
  <c r="F83" i="13" s="1"/>
  <c r="E83" i="13" l="1"/>
  <c r="D83" i="13" s="1"/>
  <c r="F84" i="13" s="1"/>
  <c r="E84" i="13" l="1"/>
  <c r="D84" i="13" s="1"/>
  <c r="F85" i="13" s="1"/>
  <c r="E85" i="13" l="1"/>
  <c r="D85" i="13" s="1"/>
  <c r="F86" i="13" s="1"/>
  <c r="E86" i="13" l="1"/>
  <c r="D86" i="13" s="1"/>
  <c r="F87" i="13" s="1"/>
  <c r="E87" i="13" l="1"/>
  <c r="D87" i="13" s="1"/>
  <c r="F88" i="13" s="1"/>
  <c r="E88" i="13" l="1"/>
  <c r="D88" i="13" s="1"/>
  <c r="F89" i="13" s="1"/>
  <c r="E89" i="13" l="1"/>
  <c r="D89" i="13" s="1"/>
  <c r="F90" i="13" s="1"/>
  <c r="E90" i="13" l="1"/>
  <c r="D90" i="13" s="1"/>
  <c r="F91" i="13" s="1"/>
  <c r="E91" i="13" l="1"/>
  <c r="D91" i="13" s="1"/>
  <c r="F92" i="13" s="1"/>
  <c r="E92" i="13" l="1"/>
  <c r="D92" i="13" s="1"/>
  <c r="F93" i="13" s="1"/>
  <c r="E93" i="13" l="1"/>
  <c r="D93" i="13" s="1"/>
  <c r="F94" i="13" s="1"/>
  <c r="E94" i="13" l="1"/>
  <c r="D94" i="13" s="1"/>
  <c r="F95" i="13" s="1"/>
  <c r="E95" i="13" l="1"/>
  <c r="D95" i="13" s="1"/>
  <c r="F96" i="13" s="1"/>
  <c r="E96" i="13" l="1"/>
  <c r="D96" i="13" s="1"/>
  <c r="F97" i="13" s="1"/>
  <c r="E97" i="13" l="1"/>
  <c r="D97" i="13" s="1"/>
  <c r="F98" i="13" s="1"/>
  <c r="E98" i="13" l="1"/>
  <c r="D98" i="13" s="1"/>
  <c r="F99" i="13" s="1"/>
  <c r="E99" i="13" l="1"/>
  <c r="D99" i="13" s="1"/>
  <c r="F100" i="13" s="1"/>
  <c r="E100" i="13" l="1"/>
  <c r="D100" i="13" s="1"/>
  <c r="F101" i="13" s="1"/>
  <c r="E101" i="13" l="1"/>
  <c r="D101" i="13" s="1"/>
  <c r="F102" i="13" s="1"/>
  <c r="E102" i="13" l="1"/>
  <c r="D102" i="13" s="1"/>
  <c r="F103" i="13" s="1"/>
  <c r="E103" i="13" l="1"/>
  <c r="D103" i="13" s="1"/>
  <c r="F104" i="13" s="1"/>
  <c r="E104" i="13" l="1"/>
  <c r="D104" i="13" s="1"/>
  <c r="F105" i="13" s="1"/>
  <c r="E105" i="13" l="1"/>
  <c r="D105" i="13" s="1"/>
  <c r="F106" i="13" s="1"/>
  <c r="E106" i="13" l="1"/>
  <c r="D106" i="13" s="1"/>
  <c r="F107" i="13" s="1"/>
  <c r="E107" i="13" l="1"/>
  <c r="D107" i="13" s="1"/>
  <c r="F108" i="13" s="1"/>
  <c r="E108" i="13" l="1"/>
  <c r="D108" i="13" s="1"/>
  <c r="F109" i="13" s="1"/>
  <c r="E109" i="13" l="1"/>
  <c r="D109" i="13" s="1"/>
  <c r="F110" i="13" s="1"/>
  <c r="E110" i="13" l="1"/>
  <c r="D110" i="13" s="1"/>
  <c r="F111" i="13" s="1"/>
  <c r="E111" i="13" l="1"/>
  <c r="D111" i="13" s="1"/>
  <c r="F112" i="13" s="1"/>
  <c r="E112" i="13" l="1"/>
  <c r="D112" i="13" s="1"/>
  <c r="F113" i="13" s="1"/>
  <c r="E113" i="13" l="1"/>
  <c r="D113" i="13" s="1"/>
  <c r="F114" i="13" s="1"/>
  <c r="E114" i="13" l="1"/>
  <c r="D114" i="13" s="1"/>
  <c r="F115" i="13" s="1"/>
  <c r="E115" i="13" l="1"/>
  <c r="D115" i="13" s="1"/>
  <c r="F116" i="13" s="1"/>
  <c r="E116" i="13" l="1"/>
  <c r="D116" i="13" s="1"/>
  <c r="F117" i="13" s="1"/>
  <c r="E117" i="13" l="1"/>
  <c r="D117" i="13" s="1"/>
  <c r="F118" i="13" s="1"/>
  <c r="E118" i="13" l="1"/>
  <c r="D118" i="13" s="1"/>
  <c r="F119" i="13" s="1"/>
  <c r="E119" i="13" l="1"/>
  <c r="D119" i="13" s="1"/>
  <c r="F120" i="13" s="1"/>
  <c r="E120" i="13" l="1"/>
  <c r="D120" i="13" s="1"/>
  <c r="F121" i="13" s="1"/>
  <c r="E121" i="13" l="1"/>
  <c r="D121" i="13" s="1"/>
  <c r="F122" i="13" s="1"/>
  <c r="E122" i="13" l="1"/>
  <c r="D122" i="13" s="1"/>
  <c r="F123" i="13" s="1"/>
  <c r="E123" i="13" l="1"/>
  <c r="D123" i="13" s="1"/>
  <c r="F124" i="13" s="1"/>
  <c r="E124" i="13" l="1"/>
  <c r="D124" i="13" s="1"/>
  <c r="F125" i="13" s="1"/>
  <c r="E125" i="13" l="1"/>
  <c r="D125" i="13" s="1"/>
  <c r="F126" i="13" s="1"/>
  <c r="E126" i="13" l="1"/>
  <c r="D126" i="13" s="1"/>
  <c r="F127" i="13" s="1"/>
  <c r="E127" i="13" l="1"/>
  <c r="D127" i="13" s="1"/>
  <c r="F128" i="13" s="1"/>
  <c r="E128" i="13" l="1"/>
  <c r="D128" i="13" s="1"/>
  <c r="F129" i="13" s="1"/>
  <c r="E129" i="13" l="1"/>
  <c r="D129" i="13" s="1"/>
  <c r="F130" i="13" s="1"/>
  <c r="E130" i="13" l="1"/>
  <c r="D130" i="13" s="1"/>
  <c r="F131" i="13" s="1"/>
  <c r="E131" i="13" l="1"/>
  <c r="D131" i="13" s="1"/>
  <c r="F132" i="13" s="1"/>
  <c r="E132" i="13" l="1"/>
  <c r="D132" i="13" s="1"/>
  <c r="F133" i="13" s="1"/>
  <c r="E133" i="13" l="1"/>
  <c r="D133" i="13" s="1"/>
  <c r="F134" i="13" s="1"/>
  <c r="E134" i="13" l="1"/>
  <c r="D134" i="13" s="1"/>
  <c r="F135" i="13" s="1"/>
  <c r="E135" i="13" l="1"/>
  <c r="D135" i="13" s="1"/>
  <c r="F136" i="13" s="1"/>
  <c r="E136" i="13" l="1"/>
  <c r="D136" i="13" s="1"/>
  <c r="F137" i="13" s="1"/>
  <c r="E137" i="13" l="1"/>
  <c r="D137" i="13" s="1"/>
  <c r="F138" i="13" s="1"/>
  <c r="E138" i="13" l="1"/>
  <c r="D138" i="13" s="1"/>
  <c r="F139" i="13" s="1"/>
  <c r="E139" i="13" l="1"/>
  <c r="D139" i="13" s="1"/>
  <c r="F140" i="13" s="1"/>
  <c r="E140" i="13" l="1"/>
  <c r="D140" i="13" s="1"/>
  <c r="F141" i="13" s="1"/>
  <c r="E141" i="13" l="1"/>
  <c r="D141" i="13" s="1"/>
  <c r="F142" i="13" s="1"/>
  <c r="E142" i="13" l="1"/>
  <c r="D142" i="13" s="1"/>
  <c r="F143" i="13" s="1"/>
  <c r="E143" i="13" l="1"/>
  <c r="D143" i="13" s="1"/>
  <c r="F144" i="13" s="1"/>
  <c r="E144" i="13" l="1"/>
  <c r="D144" i="13" s="1"/>
  <c r="F145" i="13" s="1"/>
  <c r="E145" i="13" l="1"/>
  <c r="D145" i="13" s="1"/>
  <c r="F146" i="13" s="1"/>
  <c r="E146" i="13" l="1"/>
  <c r="D146" i="13" s="1"/>
  <c r="F147" i="13" s="1"/>
  <c r="E147" i="13" l="1"/>
  <c r="D147" i="13" s="1"/>
  <c r="F148" i="13" s="1"/>
  <c r="E148" i="13" l="1"/>
  <c r="D148" i="13" s="1"/>
  <c r="F149" i="13" s="1"/>
  <c r="E149" i="13" l="1"/>
  <c r="D149" i="13" s="1"/>
  <c r="F150" i="13" s="1"/>
  <c r="E150" i="13" l="1"/>
  <c r="D150" i="13" s="1"/>
  <c r="F151" i="13" s="1"/>
  <c r="E151" i="13" l="1"/>
  <c r="D151" i="13" s="1"/>
  <c r="F152" i="13" s="1"/>
  <c r="E152" i="13" l="1"/>
  <c r="D152" i="13" s="1"/>
  <c r="F153" i="13" s="1"/>
  <c r="E153" i="13" l="1"/>
  <c r="D153" i="13" s="1"/>
  <c r="F154" i="13" s="1"/>
  <c r="E154" i="13" l="1"/>
  <c r="D154" i="13" s="1"/>
  <c r="F155" i="13" s="1"/>
  <c r="E155" i="13" l="1"/>
  <c r="D155" i="13" s="1"/>
  <c r="F156" i="13" s="1"/>
  <c r="E156" i="13" l="1"/>
  <c r="D156" i="13" s="1"/>
  <c r="F157" i="13" s="1"/>
  <c r="E157" i="13" l="1"/>
  <c r="D157" i="13" s="1"/>
  <c r="F158" i="13" s="1"/>
  <c r="E158" i="13" l="1"/>
  <c r="D158" i="13" s="1"/>
  <c r="F159" i="13" s="1"/>
  <c r="E159" i="13" l="1"/>
  <c r="D159" i="13" s="1"/>
  <c r="F160" i="13" s="1"/>
  <c r="E160" i="13" l="1"/>
  <c r="D160" i="13" s="1"/>
  <c r="F161" i="13" s="1"/>
  <c r="E161" i="13" l="1"/>
  <c r="D161" i="13" s="1"/>
  <c r="F162" i="13" s="1"/>
  <c r="E162" i="13" l="1"/>
  <c r="D162" i="13" s="1"/>
  <c r="F163" i="13" s="1"/>
  <c r="E163" i="13" l="1"/>
  <c r="D163" i="13" s="1"/>
  <c r="F164" i="13" s="1"/>
  <c r="E164" i="13" l="1"/>
  <c r="D164" i="13" s="1"/>
  <c r="F165" i="13" s="1"/>
  <c r="E165" i="13" l="1"/>
  <c r="D165" i="13" s="1"/>
  <c r="F166" i="13" s="1"/>
  <c r="E166" i="13" l="1"/>
  <c r="D166" i="13" s="1"/>
  <c r="F167" i="13" s="1"/>
  <c r="E167" i="13" l="1"/>
  <c r="D167" i="13" s="1"/>
  <c r="F168" i="13" s="1"/>
  <c r="E168" i="13" l="1"/>
  <c r="D168" i="13" s="1"/>
  <c r="F169" i="13" s="1"/>
  <c r="E169" i="13" l="1"/>
  <c r="D169" i="13" s="1"/>
  <c r="F170" i="13" s="1"/>
  <c r="E170" i="13" l="1"/>
  <c r="D170" i="13" s="1"/>
  <c r="F171" i="13" s="1"/>
  <c r="E171" i="13" l="1"/>
  <c r="D171" i="13" s="1"/>
  <c r="F172" i="13" s="1"/>
  <c r="E172" i="13" l="1"/>
  <c r="D172" i="13" s="1"/>
  <c r="F173" i="13" s="1"/>
  <c r="E173" i="13" l="1"/>
  <c r="D173" i="13" s="1"/>
  <c r="F174" i="13" s="1"/>
  <c r="E174" i="13" l="1"/>
  <c r="D174" i="13" s="1"/>
  <c r="F175" i="13" s="1"/>
  <c r="E175" i="13" l="1"/>
  <c r="D175" i="13" s="1"/>
  <c r="F176" i="13" s="1"/>
  <c r="E176" i="13" l="1"/>
  <c r="D176" i="13" s="1"/>
  <c r="F177" i="13" s="1"/>
  <c r="E177" i="13" l="1"/>
  <c r="D177" i="13" s="1"/>
  <c r="F178" i="13" s="1"/>
  <c r="E178" i="13" l="1"/>
  <c r="D178" i="13" s="1"/>
  <c r="F179" i="13" s="1"/>
  <c r="E179" i="13" l="1"/>
  <c r="D179" i="13" s="1"/>
  <c r="F180" i="13" s="1"/>
  <c r="E180" i="13" l="1"/>
  <c r="D180" i="13" s="1"/>
  <c r="F181" i="13" s="1"/>
  <c r="E181" i="13" l="1"/>
  <c r="D181" i="13" s="1"/>
  <c r="F182" i="13" s="1"/>
  <c r="E182" i="13" l="1"/>
  <c r="D182" i="13" s="1"/>
  <c r="F183" i="13" s="1"/>
  <c r="E183" i="13" l="1"/>
  <c r="D183" i="13" s="1"/>
  <c r="F184" i="13" s="1"/>
  <c r="E184" i="13" l="1"/>
  <c r="D184" i="13" s="1"/>
  <c r="F185" i="13" s="1"/>
  <c r="E185" i="13" l="1"/>
  <c r="D185" i="13" s="1"/>
  <c r="F186" i="13" s="1"/>
  <c r="E186" i="13" l="1"/>
  <c r="D186" i="13" s="1"/>
  <c r="F187" i="13" s="1"/>
  <c r="E187" i="13" l="1"/>
  <c r="D187" i="13" s="1"/>
  <c r="F188" i="13" s="1"/>
  <c r="E188" i="13" l="1"/>
  <c r="D188" i="13" s="1"/>
  <c r="F189" i="13" s="1"/>
  <c r="E189" i="13" l="1"/>
  <c r="D189" i="13" s="1"/>
  <c r="F190" i="13" s="1"/>
  <c r="E190" i="13" l="1"/>
  <c r="D190" i="13" s="1"/>
  <c r="F191" i="13" s="1"/>
  <c r="E191" i="13" l="1"/>
  <c r="D191" i="13" s="1"/>
  <c r="F192" i="13" s="1"/>
  <c r="E192" i="13" l="1"/>
  <c r="D192" i="13" s="1"/>
  <c r="N17" i="13" l="1"/>
  <c r="N16" i="13"/>
</calcChain>
</file>

<file path=xl/comments1.xml><?xml version="1.0" encoding="utf-8"?>
<comments xmlns="http://schemas.openxmlformats.org/spreadsheetml/2006/main">
  <authors>
    <author>Ari Meles-Braverman</author>
  </authors>
  <commentList>
    <comment ref="F6" authorId="0">
      <text>
        <r>
          <rPr>
            <b/>
            <sz val="9"/>
            <color indexed="81"/>
            <rFont val="Tahoma"/>
            <family val="2"/>
          </rPr>
          <t>Ari Meles-Braverman:</t>
        </r>
        <r>
          <rPr>
            <sz val="9"/>
            <color indexed="81"/>
            <rFont val="Tahoma"/>
            <family val="2"/>
          </rPr>
          <t xml:space="preserve">
</t>
        </r>
      </text>
    </comment>
    <comment ref="I6" authorId="0">
      <text>
        <r>
          <rPr>
            <b/>
            <sz val="9"/>
            <color indexed="81"/>
            <rFont val="Tahoma"/>
            <family val="2"/>
          </rPr>
          <t>Ari Meles-Braverman:</t>
        </r>
        <r>
          <rPr>
            <sz val="9"/>
            <color indexed="81"/>
            <rFont val="Tahoma"/>
            <family val="2"/>
          </rPr>
          <t xml:space="preserve">
</t>
        </r>
      </text>
    </comment>
    <comment ref="L6" authorId="0">
      <text>
        <r>
          <rPr>
            <b/>
            <sz val="9"/>
            <color indexed="81"/>
            <rFont val="Tahoma"/>
            <family val="2"/>
          </rPr>
          <t>Ari Meles-Braverman:</t>
        </r>
        <r>
          <rPr>
            <sz val="9"/>
            <color indexed="81"/>
            <rFont val="Tahoma"/>
            <family val="2"/>
          </rPr>
          <t xml:space="preserve">
</t>
        </r>
      </text>
    </comment>
    <comment ref="O6" authorId="0">
      <text>
        <r>
          <rPr>
            <b/>
            <sz val="9"/>
            <color indexed="81"/>
            <rFont val="Tahoma"/>
            <family val="2"/>
          </rPr>
          <t>Ari Meles-Braverman:</t>
        </r>
        <r>
          <rPr>
            <sz val="9"/>
            <color indexed="81"/>
            <rFont val="Tahoma"/>
            <family val="2"/>
          </rPr>
          <t xml:space="preserve">
</t>
        </r>
      </text>
    </comment>
  </commentList>
</comments>
</file>

<file path=xl/sharedStrings.xml><?xml version="1.0" encoding="utf-8"?>
<sst xmlns="http://schemas.openxmlformats.org/spreadsheetml/2006/main" count="304" uniqueCount="241">
  <si>
    <t>Metric?</t>
  </si>
  <si>
    <t>Free Speed (RPM)</t>
  </si>
  <si>
    <t>Stall Torque (Nm)</t>
  </si>
  <si>
    <t>Free Current (A)</t>
  </si>
  <si>
    <t>Stall Current (A)</t>
  </si>
  <si>
    <t>Power (W)</t>
  </si>
  <si>
    <t>CIM</t>
  </si>
  <si>
    <t>Mini CIM</t>
  </si>
  <si>
    <t>BAG Motor</t>
  </si>
  <si>
    <t>775pro/Redline</t>
  </si>
  <si>
    <t>NEO</t>
  </si>
  <si>
    <t>AM 775</t>
  </si>
  <si>
    <t>AM 9015</t>
  </si>
  <si>
    <t>CIM + Mini</t>
  </si>
  <si>
    <t>CIM + 2 Mini</t>
  </si>
  <si>
    <t>2 CIM + Mini</t>
  </si>
  <si>
    <t>BB RS-775-18</t>
  </si>
  <si>
    <t>BB 550</t>
  </si>
  <si>
    <t>Snowblower</t>
  </si>
  <si>
    <t>Neverest</t>
  </si>
  <si>
    <t>Throttle Motor</t>
  </si>
  <si>
    <t>Bosch Motor</t>
  </si>
  <si>
    <t>Dynamo</t>
  </si>
  <si>
    <t>Window Motor</t>
  </si>
  <si>
    <t>Chain/Belt Dimensions</t>
  </si>
  <si>
    <t>Pitch</t>
  </si>
  <si>
    <t>Width</t>
  </si>
  <si>
    <t>Thick</t>
  </si>
  <si>
    <t>C-C Add.</t>
  </si>
  <si>
    <t>#25 Chain</t>
  </si>
  <si>
    <t>#35 Chain</t>
  </si>
  <si>
    <t>5mm HTD</t>
  </si>
  <si>
    <t>3mm GT2</t>
  </si>
  <si>
    <t>(Dimensions in mm)</t>
  </si>
  <si>
    <t>Adjusted</t>
  </si>
  <si>
    <t># of Motors</t>
  </si>
  <si>
    <t>Voltage Applied (V)</t>
  </si>
  <si>
    <t>Gearbox Efficiency</t>
  </si>
  <si>
    <t>Gear Ratio</t>
  </si>
  <si>
    <t>Free Rot. Speed (rps)</t>
  </si>
  <si>
    <t>Loaded Rot. Speed (rps)</t>
  </si>
  <si>
    <t>Current Per Motor (A)</t>
  </si>
  <si>
    <t>Stall Voltage (V)</t>
  </si>
  <si>
    <t>By Ratio</t>
  </si>
  <si>
    <t>Max. Power</t>
  </si>
  <si>
    <t>Max. Eff.</t>
  </si>
  <si>
    <t>At Stall</t>
  </si>
  <si>
    <t>Rot. Speed</t>
  </si>
  <si>
    <t>Lin. Speed</t>
  </si>
  <si>
    <t>Current</t>
  </si>
  <si>
    <t>Stall Load</t>
  </si>
  <si>
    <t>Stall Voltage</t>
  </si>
  <si>
    <t>Ratio Tester</t>
  </si>
  <si>
    <t>EXAMPLE USES</t>
  </si>
  <si>
    <r>
      <t>Winch</t>
    </r>
    <r>
      <rPr>
        <b/>
        <sz val="11"/>
        <color rgb="FF000000"/>
        <rFont val="Arial"/>
        <family val="2"/>
      </rPr>
      <t>:</t>
    </r>
    <r>
      <rPr>
        <sz val="11"/>
        <color rgb="FF000000"/>
        <rFont val="Arial"/>
        <family val="2"/>
      </rPr>
      <t xml:space="preserve"> As an endgame, you need to winch up the robot by spinning a cable around a circular drum. For radius, enter the drum's radius. For load, enter the weight of the robot (154lb max = 125lb robot + 15lb bumpers + 14lb battery). Since this is an end game task, change Voltage Applied to 10V to account for battery drop throughout the match.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</si>
  <si>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Elevator</t>
    </r>
    <r>
      <rPr>
        <b/>
        <sz val="11"/>
        <color rgb="FF000000"/>
        <rFont val="Arial"/>
        <family val="2"/>
      </rPr>
      <t>:</t>
    </r>
    <r>
      <rPr>
        <sz val="11"/>
        <color rgb="FF000000"/>
        <rFont val="Arial"/>
        <family val="2"/>
      </rPr>
      <t xml:space="preserve"> You need to lift a load with a motor connected to a linear elevator system. For radius, enter the radius of the pulley/sprocket driving the elevator (# teeth * pitch diameter). For load, enter the weight of the load.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</si>
  <si>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Arm</t>
    </r>
    <r>
      <rPr>
        <b/>
        <sz val="11"/>
        <color rgb="FF000000"/>
        <rFont val="Arial"/>
        <family val="2"/>
      </rPr>
      <t>:</t>
    </r>
    <r>
      <rPr>
        <sz val="11"/>
        <color rgb="FF000000"/>
        <rFont val="Arial"/>
        <family val="2"/>
      </rPr>
      <t xml:space="preserve"> You need to lift a load using an arm driven by a motor. For radius, enter the length of the arm (specifically the distance from axis of rotation to arm's center of mass). For load, enter the weight of the arm + load lifted. Then specify a desired rotational speed for the arm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</si>
  <si>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t>Lead Screw Calculator</t>
  </si>
  <si>
    <t># of Starts</t>
  </si>
  <si>
    <t>Thread Angle (°)</t>
  </si>
  <si>
    <t>Screw Material</t>
  </si>
  <si>
    <t>Nut Material</t>
  </si>
  <si>
    <t>Lubricated?</t>
  </si>
  <si>
    <t>Steel</t>
  </si>
  <si>
    <t>Yes</t>
  </si>
  <si>
    <t>Backdrive-able?</t>
  </si>
  <si>
    <t>Efficiency</t>
  </si>
  <si>
    <t>Rotational Speed (rpm)</t>
  </si>
  <si>
    <t>Bronze</t>
  </si>
  <si>
    <t>To use a leadscrew in the Mechanism Gear Ratio Calculator, use the Equivalent Radius for the Radius. For the Load, use the Equivalent Raise/Lower Load, depending on whether you are moving in the same or opposite direction as the applied force.</t>
  </si>
  <si>
    <t>The Mechanism gearbox efficiency should not include the leadscrew efficiency.</t>
  </si>
  <si>
    <t>Raise Torque is the torque needed to move the leadscrew the direction opposing the force (e.g. raising a weight). Lower Torque is the torque needed to move the leadscrew in the same direction as the load (e.g. lowering a weight).</t>
  </si>
  <si>
    <t>If Lower Torque is negative, the leadscrew is backdrive-able (i.e. not self-locking). If positive, it is not backdrive-able.</t>
  </si>
  <si>
    <t>Drivetrain Calculator</t>
  </si>
  <si>
    <t>Drivetrain Efficiency</t>
  </si>
  <si>
    <t>Speed Loss Coeff.</t>
  </si>
  <si>
    <t>% Driven Weight</t>
  </si>
  <si>
    <t>Wheel Friction Coeff.</t>
  </si>
  <si>
    <t>Shifting?</t>
  </si>
  <si>
    <t>Drive Gear</t>
  </si>
  <si>
    <t>Driven Gear</t>
  </si>
  <si>
    <t>dp</t>
  </si>
  <si>
    <t>Final Ratio</t>
  </si>
  <si>
    <t>Wheel Slip Current (A)</t>
  </si>
  <si>
    <t># of Drivetrain Motors</t>
  </si>
  <si>
    <t>Beam Bend Calculator</t>
  </si>
  <si>
    <t>Beam/Axle Type</t>
  </si>
  <si>
    <t>Hex</t>
  </si>
  <si>
    <t>Material</t>
  </si>
  <si>
    <t>┴  Cantilevered Force</t>
  </si>
  <si>
    <t>┴  Force Btwn. Supports</t>
  </si>
  <si>
    <t>║ Buckling Force</t>
  </si>
  <si>
    <t>Twisting Torque</t>
  </si>
  <si>
    <t>Twist Angle (°)</t>
  </si>
  <si>
    <t>I</t>
  </si>
  <si>
    <t>J</t>
  </si>
  <si>
    <t>E</t>
  </si>
  <si>
    <t>G</t>
  </si>
  <si>
    <t>Projectile Trajectory Calculator</t>
  </si>
  <si>
    <t>Forward</t>
  </si>
  <si>
    <t>Release Angle (°)</t>
  </si>
  <si>
    <t>Final Angle (°)</t>
  </si>
  <si>
    <t>Reverse</t>
  </si>
  <si>
    <t>Target Angle (°)</t>
  </si>
  <si>
    <t>2nd Wheel CoF</t>
  </si>
  <si>
    <t>Chain/Belt C-C Calculator</t>
  </si>
  <si>
    <t>Type</t>
  </si>
  <si>
    <t># Teeth 1</t>
  </si>
  <si>
    <t># Teeth 2</t>
  </si>
  <si>
    <t># Links/Teeth</t>
  </si>
  <si>
    <t>Round Type</t>
  </si>
  <si>
    <t>Modulus</t>
  </si>
  <si>
    <t>Nearest</t>
  </si>
  <si>
    <t>Gear Clearance Calculator</t>
  </si>
  <si>
    <t>Gear 1 Teeth</t>
  </si>
  <si>
    <t>Gear 1 dp</t>
  </si>
  <si>
    <t>Gear 2 Teeth</t>
  </si>
  <si>
    <t>Gear 3 Teeth</t>
  </si>
  <si>
    <t>Gear 2/3 dp</t>
  </si>
  <si>
    <t>Axle Type</t>
  </si>
  <si>
    <t>Axle Clearance</t>
  </si>
  <si>
    <t>1/2" Hex</t>
  </si>
  <si>
    <t>Clears?</t>
  </si>
  <si>
    <t>Gear 4 Teeth</t>
  </si>
  <si>
    <t>Gear 4 dp</t>
  </si>
  <si>
    <t>Gear Clearance</t>
  </si>
  <si>
    <t>Ratio &amp; Distance Calculator</t>
  </si>
  <si>
    <t>Gear Pitch (dp)</t>
  </si>
  <si>
    <t>Desired Ratio</t>
  </si>
  <si>
    <t>Driving Gear (teeth)</t>
  </si>
  <si>
    <t>Driven Gear (teeth)</t>
  </si>
  <si>
    <t>GEAR TEETH ARE NOT</t>
  </si>
  <si>
    <t>WHOLE NUMBERS</t>
  </si>
  <si>
    <t>Pneumatics Calculator</t>
  </si>
  <si>
    <t>Push Pressure (psig)</t>
  </si>
  <si>
    <t>Pull Pressure (psig)</t>
  </si>
  <si>
    <t>Start Time (s)</t>
  </si>
  <si>
    <t>End Time (s)</t>
  </si>
  <si>
    <t>Cylinder 1</t>
  </si>
  <si>
    <t>Cylinder 2</t>
  </si>
  <si>
    <t>Cylinder 3</t>
  </si>
  <si>
    <t>Cylinder 4</t>
  </si>
  <si>
    <t>Cylinder 5</t>
  </si>
  <si>
    <t>Cylinder 6</t>
  </si>
  <si>
    <t>Cylinder 7</t>
  </si>
  <si>
    <t>Cylinder 8</t>
  </si>
  <si>
    <t># of Tanks</t>
  </si>
  <si>
    <t>Tank Pressure (psig)</t>
  </si>
  <si>
    <t>Tank 1</t>
  </si>
  <si>
    <t>Tank 3</t>
  </si>
  <si>
    <t>Tank 2</t>
  </si>
  <si>
    <t>Tank 4</t>
  </si>
  <si>
    <t>Compressor Type</t>
  </si>
  <si>
    <t>Initial Pressure (psig)</t>
  </si>
  <si>
    <t>Comp. Triggger (psig)</t>
  </si>
  <si>
    <t>Min. Pressure (psig)</t>
  </si>
  <si>
    <t>Final Pressure (psig)</t>
  </si>
  <si>
    <t>(equivalent volume at 120 psi)</t>
  </si>
  <si>
    <t>1.1 Pump</t>
  </si>
  <si>
    <t>t</t>
  </si>
  <si>
    <t>P</t>
  </si>
  <si>
    <t>comp</t>
  </si>
  <si>
    <t>cyl1</t>
  </si>
  <si>
    <t>cyl2</t>
  </si>
  <si>
    <t>cyl3</t>
  </si>
  <si>
    <t>cyl4</t>
  </si>
  <si>
    <t>cyl5</t>
  </si>
  <si>
    <t>cyl6</t>
  </si>
  <si>
    <t>cyl7</t>
  </si>
  <si>
    <t>cyl8</t>
  </si>
  <si>
    <t>Time Per Cycle (s)</t>
  </si>
  <si>
    <t>A</t>
  </si>
  <si>
    <t>B</t>
  </si>
  <si>
    <t>X</t>
  </si>
  <si>
    <t>Y</t>
  </si>
  <si>
    <t>L (Retracted)</t>
  </si>
  <si>
    <r>
      <rPr>
        <sz val="11"/>
        <color theme="1"/>
        <rFont val="Calibri"/>
        <family val="2"/>
      </rPr>
      <t>ΔL (</t>
    </r>
    <r>
      <rPr>
        <sz val="11"/>
        <color theme="1"/>
        <rFont val="Calibri"/>
        <family val="2"/>
        <scheme val="minor"/>
      </rPr>
      <t>Stroke)</t>
    </r>
  </si>
  <si>
    <r>
      <t xml:space="preserve">Retracted </t>
    </r>
    <r>
      <rPr>
        <sz val="11"/>
        <color theme="1"/>
        <rFont val="Calibri"/>
        <family val="2"/>
      </rPr>
      <t>θ</t>
    </r>
  </si>
  <si>
    <r>
      <t xml:space="preserve">Extended </t>
    </r>
    <r>
      <rPr>
        <sz val="11"/>
        <color theme="1"/>
        <rFont val="Calibri"/>
        <family val="2"/>
      </rPr>
      <t>θ</t>
    </r>
  </si>
  <si>
    <t>θ R</t>
  </si>
  <si>
    <t>θ L</t>
  </si>
  <si>
    <t>Note: any units will work as long as they remain consistent</t>
  </si>
  <si>
    <t>• Black circles represent pivots</t>
  </si>
  <si>
    <t>AMB Design Spreadsheet</t>
  </si>
  <si>
    <t>Made by Ari Meles-Braverman: Mentor, FRC 5987</t>
  </si>
  <si>
    <t>Key</t>
  </si>
  <si>
    <t xml:space="preserve"> = Input Value</t>
  </si>
  <si>
    <t xml:space="preserve"> = Calculated Value</t>
  </si>
  <si>
    <t xml:space="preserve"> = Warning</t>
  </si>
  <si>
    <t xml:space="preserve"> = Invalid Input</t>
  </si>
  <si>
    <t>Drivetrain Calculator:</t>
  </si>
  <si>
    <t>Mechanism Gear Ratio Calculator:</t>
  </si>
  <si>
    <t>This sheet uses parabolic trajectory equations to help determine the path a shot object will follow. There are two calculation options. The Forward option allows you to select an initial velocity and angle, and tells you the target height and angle a certain distance away from the launch point. The Reverse option calculates the required launch velocity and angle for a projectile to land a certain height at a certain distance away, with a certain landing angle. The sheet also allows you to graph both trajectories. Use this sheet to get baseline values for designing flywheels, catapults, or other types of shooting mechanisms.</t>
  </si>
  <si>
    <t>Chain/Belt C-C Calculator:</t>
  </si>
  <si>
    <t>This sheet calculates the closest exact C-C distance for given sprocket/pulley sizes and chain pitch. Use this sheet to find the correct C-C distance for using chain/belt without a tensioner. Choose rounding type and modulus number to force rounding up or down or rounding to a multiple of given number. This sheet also calculates the C-C distance for a given belt length and sprocket size, to find the proper spacing for COTS belts. Equations partially derived from Clem1640's Chain/Belt Calculator.</t>
  </si>
  <si>
    <t>Pneumatics Calculator:</t>
  </si>
  <si>
    <t xml:space="preserve">This sheet calculates the total volume of air used throughout the match from all of the cylinders on the robot, as well as the total volume of air stored in tanks on the robot and the total volume compressed by the compressor during the match. It uses that data to determine whether or not the robot will run out of air before the match ends, and how long it will take to refill the tanks between matches. It also calculates the extension and retraction (pull and push) force for each piston. </t>
  </si>
  <si>
    <t>Sources:</t>
  </si>
  <si>
    <t>JVN's Mechanical Design Calculator</t>
  </si>
  <si>
    <t>Ether's Simple Motor Calculator</t>
  </si>
  <si>
    <t>Clem1640's Chain/Belt Calculator</t>
  </si>
  <si>
    <t>NickBrickMaster's Pneumatic System Simulator</t>
  </si>
  <si>
    <t>Shigley's Mechanical Engineering Design</t>
  </si>
  <si>
    <t>Version 4.1</t>
  </si>
  <si>
    <t>Mechanism Gear Ratio Calculator</t>
  </si>
  <si>
    <t>Lead Screw Calculator:</t>
  </si>
  <si>
    <t>This sheet calculates the relationship between the angular input and linear output of a lead screw. With a given lead screw, it can calculate whether or not it is backdrive-able, the linear force output given by a certain angular torque input, and the relationship between angluar and linear velocity. It also calculates an equivalent radius and load to use in the Mechanism Gear Ratio Calculator for a system with a lead screw as the final reduction stage.</t>
  </si>
  <si>
    <t>Beam Bend Calculator:</t>
  </si>
  <si>
    <t>This sheet calculates the deflection in a beam or axle under a given load. There are different formulas depending on whether the load is between two supports or cantileivered. It also calculated the maximum force that can be applied to a beam before it buckles, and the twist angle of an axle under torsion.</t>
  </si>
  <si>
    <t>This sheet calculates the final speed and current draw of a given drivetrain setup. Use this sheet to determine the necessary drivetrain setup that meets the characteristics that are desired. Also calculates the C-C distance for gear reductions. Suitable for 1-speed, 2-speed, different-radius wheels, and articulating drives.</t>
  </si>
  <si>
    <t>This sheet calculates the characteristics of a given mechanism, when the user defines one characteristic (e.g. gear ratio, loaded linear velocity, stall load, current per motor, etc). Use this sheet to determine the gear ratio and  number and type of motors needed to give a mechanism certain characteristics.</t>
  </si>
  <si>
    <t>Gear Clearance Calculator:</t>
  </si>
  <si>
    <t>This sheet calculates whether or not two sets of parallel gears will hit each other, and if not, how much clearance they will have. It also calculates whether or not the first gear will clear the second shaft with no gear on it.</t>
  </si>
  <si>
    <t xml:space="preserve">This sheet calculates the gear pair that have a given reduction and C-C distance, and then calculates the pitch and clearance diameter for both gears. </t>
  </si>
  <si>
    <t>Pneumatic Linkage Calculator:</t>
  </si>
  <si>
    <t>This sheet calculates the angle of a linkage controlled by a certain pneumatic cylinder with its mount at a certain position relative to the mount of the linkage. It also does the reverse calculation, computing the relative position of the cylinder mount needed to give the given linkage the desired extended and retracted angles.</t>
  </si>
  <si>
    <t>Pneumatic Linkage Calculator</t>
  </si>
  <si>
    <t>Motor Specs</t>
  </si>
  <si>
    <t>Ratio &amp; Distance Calculator:</t>
  </si>
  <si>
    <t>Click "ADD" to insert an instance of that calculator to the spreadsheet</t>
  </si>
  <si>
    <t>Note: Hover mouse over subtitles to see images explaining beam setup</t>
  </si>
  <si>
    <t>Articulated Drive?</t>
  </si>
  <si>
    <t>Material Properties</t>
  </si>
  <si>
    <t>Stainless</t>
  </si>
  <si>
    <t>Young's Modulus (MPa)</t>
  </si>
  <si>
    <t>Shear Modulus (MPa)</t>
  </si>
  <si>
    <t>K (see chart in image)</t>
  </si>
  <si>
    <t>7075-T6 Al</t>
  </si>
  <si>
    <t>6061-T6 Al</t>
  </si>
  <si>
    <t>L</t>
  </si>
  <si>
    <t>L+ΔL</t>
  </si>
  <si>
    <t>• Gray lines represent the piston</t>
  </si>
  <si>
    <t>• Black lines represent the linkage</t>
  </si>
  <si>
    <t>Note: L is the distance between pivots when the cylinder is retracted (includes mountings, clevises, etc)</t>
  </si>
  <si>
    <t>D</t>
  </si>
  <si>
    <t>a</t>
  </si>
  <si>
    <t># links</t>
  </si>
  <si>
    <t>target</t>
  </si>
  <si>
    <t>y</t>
  </si>
  <si>
    <r>
      <rPr>
        <sz val="11"/>
        <color theme="1"/>
        <rFont val="Symbol"/>
        <family val="1"/>
        <charset val="2"/>
      </rPr>
      <t>D</t>
    </r>
    <r>
      <rPr>
        <sz val="11"/>
        <color theme="1"/>
        <rFont val="Calibri"/>
        <family val="2"/>
        <scheme val="minor"/>
      </rPr>
      <t>y/</t>
    </r>
    <r>
      <rPr>
        <sz val="11"/>
        <color theme="1"/>
        <rFont val="Symbol"/>
        <family val="1"/>
        <charset val="2"/>
      </rPr>
      <t>D</t>
    </r>
    <r>
      <rPr>
        <sz val="11"/>
        <color theme="1"/>
        <rFont val="Calibri"/>
        <family val="2"/>
        <scheme val="minor"/>
      </rPr>
      <t>x</t>
    </r>
  </si>
  <si>
    <t>Note: For beginners there is no need to modify this page. Advanced users can choose to add their own motors, belt/chains, or material properties.</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</si>
</sst>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0.0"/>
    <numFmt numFmtId="165" formatCode="0.00\ \:\ \1"/>
    <numFmt numFmtId="166" formatCode="0.0%"/>
    <numFmt numFmtId="167" formatCode="0.000"/>
    <numFmt numFmtId="168" formatCode="0.00000"/>
    <numFmt numFmtId="169" formatCode="0\°"/>
  </numFmts>
  <fonts count="30" x14ac:knownFonts="1">
    <font>
      <sz val="11"/>
      <color theme="1"/>
      <name val="Calibri"/>
      <family val="2"/>
      <scheme val="minor"/>
    </font>
    <font>
      <b/>
      <sz val="11"/>
      <color theme="1"/>
      <name val="Calibri"/>
      <family val="2"/>
      <scheme val="minor"/>
    </font>
    <font>
      <sz val="11"/>
      <color theme="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sz val="11"/>
      <color rgb="FF000000"/>
      <name val="Arial"/>
      <family val="2"/>
    </font>
    <font>
      <sz val="11"/>
      <color rgb="FF000000"/>
      <name val="Calibri"/>
      <family val="2"/>
      <scheme val="minor"/>
    </font>
    <font>
      <b/>
      <sz val="14"/>
      <color rgb="FF000000"/>
      <name val="Arial"/>
      <family val="2"/>
    </font>
    <font>
      <b/>
      <u/>
      <sz val="11"/>
      <color rgb="FF000000"/>
      <name val="Arial"/>
      <family val="2"/>
    </font>
    <font>
      <b/>
      <sz val="11"/>
      <color rgb="FF000000"/>
      <name val="Arial"/>
      <family val="2"/>
    </font>
    <font>
      <b/>
      <sz val="14"/>
      <color theme="1"/>
      <name val="Calibri"/>
      <family val="2"/>
      <scheme val="minor"/>
    </font>
    <font>
      <sz val="9"/>
      <color indexed="81"/>
      <name val="Tahoma"/>
      <family val="2"/>
    </font>
    <font>
      <b/>
      <sz val="9"/>
      <color indexed="81"/>
      <name val="Tahoma"/>
      <family val="2"/>
    </font>
    <font>
      <sz val="14"/>
      <color theme="1"/>
      <name val="Calibri"/>
      <family val="2"/>
      <scheme val="minor"/>
    </font>
    <font>
      <sz val="11"/>
      <name val="Calibri"/>
      <family val="2"/>
      <scheme val="minor"/>
    </font>
    <font>
      <b/>
      <sz val="12"/>
      <color rgb="FFFF0000"/>
      <name val="Calibri"/>
      <family val="2"/>
      <scheme val="minor"/>
    </font>
    <font>
      <sz val="11"/>
      <color rgb="FF9C6500"/>
      <name val="Calibri"/>
      <family val="2"/>
      <scheme val="minor"/>
    </font>
    <font>
      <sz val="11"/>
      <color theme="1"/>
      <name val="Calibri"/>
      <family val="2"/>
    </font>
    <font>
      <sz val="24"/>
      <color rgb="FFFF0000"/>
      <name val="Calibri"/>
      <family val="2"/>
      <scheme val="minor"/>
    </font>
    <font>
      <sz val="12"/>
      <color theme="1"/>
      <name val="Calibri"/>
      <family val="2"/>
      <scheme val="minor"/>
    </font>
    <font>
      <u/>
      <sz val="11"/>
      <color theme="1"/>
      <name val="Calibri"/>
      <family val="2"/>
      <scheme val="minor"/>
    </font>
    <font>
      <u/>
      <sz val="11"/>
      <color theme="10"/>
      <name val="Calibri"/>
      <family val="2"/>
      <scheme val="minor"/>
    </font>
    <font>
      <b/>
      <sz val="28"/>
      <color rgb="FF000000"/>
      <name val="Calibri"/>
      <family val="2"/>
    </font>
    <font>
      <sz val="11"/>
      <color rgb="FF663300"/>
      <name val="Calibri"/>
      <family val="2"/>
      <scheme val="minor"/>
    </font>
    <font>
      <sz val="11"/>
      <color rgb="FF800000"/>
      <name val="Calibri"/>
      <family val="2"/>
      <scheme val="minor"/>
    </font>
    <font>
      <b/>
      <sz val="20"/>
      <color rgb="FF000000"/>
      <name val="Calibri"/>
      <family val="2"/>
    </font>
    <font>
      <sz val="8"/>
      <color rgb="FF000000"/>
      <name val="Tahoma"/>
      <family val="2"/>
    </font>
    <font>
      <sz val="11"/>
      <color theme="1"/>
      <name val="Symbol"/>
      <family val="1"/>
      <charset val="2"/>
    </font>
    <font>
      <sz val="11"/>
      <color theme="1"/>
      <name val="Arial"/>
      <family val="2"/>
    </font>
  </fonts>
  <fills count="10">
    <fill>
      <patternFill patternType="none"/>
    </fill>
    <fill>
      <patternFill patternType="gray125"/>
    </fill>
    <fill>
      <patternFill patternType="solid">
        <fgColor rgb="FF9FC5E8"/>
        <bgColor indexed="64"/>
      </patternFill>
    </fill>
    <fill>
      <patternFill patternType="solid">
        <fgColor theme="0" tint="-0.14999847407452621"/>
        <bgColor indexed="64"/>
      </patternFill>
    </fill>
    <fill>
      <patternFill patternType="solid">
        <fgColor theme="0"/>
        <bgColor indexed="64"/>
      </patternFill>
    </fill>
    <fill>
      <patternFill patternType="solid">
        <fgColor theme="3" tint="0.59999389629810485"/>
        <bgColor indexed="64"/>
      </patternFill>
    </fill>
    <fill>
      <patternFill patternType="solid">
        <fgColor rgb="FFFFEB9C"/>
        <bgColor indexed="64"/>
      </patternFill>
    </fill>
    <fill>
      <patternFill patternType="solid">
        <fgColor theme="5"/>
        <bgColor indexed="64"/>
      </patternFill>
    </fill>
    <fill>
      <patternFill patternType="solid">
        <fgColor rgb="FFFFCC66"/>
        <bgColor indexed="64"/>
      </patternFill>
    </fill>
    <fill>
      <patternFill patternType="solid">
        <fgColor rgb="FFFF5050"/>
        <bgColor indexed="64"/>
      </patternFill>
    </fill>
  </fills>
  <borders count="56">
    <border>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theme="1" tint="0.499984740745262"/>
      </top>
      <bottom style="thin">
        <color indexed="64"/>
      </bottom>
      <diagonal/>
    </border>
    <border>
      <left style="thin">
        <color theme="1" tint="0.499984740745262"/>
      </left>
      <right style="thin">
        <color theme="1" tint="0.499984740745262"/>
      </right>
      <top style="thin">
        <color theme="1" tint="0.499984740745262"/>
      </top>
      <bottom style="thin">
        <color indexed="64"/>
      </bottom>
      <diagonal/>
    </border>
    <border>
      <left/>
      <right style="thin">
        <color indexed="64"/>
      </right>
      <top/>
      <bottom style="thin">
        <color indexed="64"/>
      </bottom>
      <diagonal/>
    </border>
    <border>
      <left style="thin">
        <color theme="1" tint="0.499984740745262"/>
      </left>
      <right style="thin">
        <color indexed="64"/>
      </right>
      <top style="thin">
        <color indexed="64"/>
      </top>
      <bottom style="thin">
        <color theme="1" tint="0.499984740745262"/>
      </bottom>
      <diagonal/>
    </border>
    <border>
      <left style="thin">
        <color theme="1" tint="0.499984740745262"/>
      </left>
      <right style="thin">
        <color indexed="64"/>
      </right>
      <top style="thin">
        <color theme="1" tint="0.499984740745262"/>
      </top>
      <bottom style="thin">
        <color theme="1" tint="0.499984740745262"/>
      </bottom>
      <diagonal/>
    </border>
    <border>
      <left style="thin">
        <color theme="1" tint="0.499984740745262"/>
      </left>
      <right style="thin">
        <color indexed="64"/>
      </right>
      <top style="thin">
        <color theme="1" tint="0.499984740745262"/>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1" tint="0.499984740745262"/>
      </right>
      <top style="thin">
        <color indexed="64"/>
      </top>
      <bottom/>
      <diagonal/>
    </border>
    <border>
      <left style="thin">
        <color theme="1" tint="0.499984740745262"/>
      </left>
      <right style="thin">
        <color theme="1" tint="0.499984740745262"/>
      </right>
      <top style="thin">
        <color indexed="64"/>
      </top>
      <bottom/>
      <diagonal/>
    </border>
    <border>
      <left style="thin">
        <color theme="1" tint="0.499984740745262"/>
      </left>
      <right style="thin">
        <color indexed="64"/>
      </right>
      <top style="thin">
        <color indexed="64"/>
      </top>
      <bottom/>
      <diagonal/>
    </border>
    <border>
      <left style="thin">
        <color indexed="64"/>
      </left>
      <right style="thin">
        <color theme="1" tint="0.499984740745262"/>
      </right>
      <top style="thin">
        <color indexed="64"/>
      </top>
      <bottom style="thin">
        <color indexed="64"/>
      </bottom>
      <diagonal/>
    </border>
    <border>
      <left style="thin">
        <color theme="1" tint="0.499984740745262"/>
      </left>
      <right style="thin">
        <color theme="1" tint="0.499984740745262"/>
      </right>
      <top style="thin">
        <color indexed="64"/>
      </top>
      <bottom style="thin">
        <color indexed="64"/>
      </bottom>
      <diagonal/>
    </border>
    <border>
      <left style="thin">
        <color theme="1" tint="0.499984740745262"/>
      </left>
      <right style="thin">
        <color indexed="64"/>
      </right>
      <top style="thin">
        <color indexed="64"/>
      </top>
      <bottom style="thin">
        <color indexed="64"/>
      </bottom>
      <diagonal/>
    </border>
    <border>
      <left/>
      <right style="thin">
        <color theme="1" tint="0.499984740745262"/>
      </right>
      <top style="thin">
        <color indexed="64"/>
      </top>
      <bottom style="thin">
        <color indexed="64"/>
      </bottom>
      <diagonal/>
    </border>
    <border>
      <left style="thin">
        <color indexed="64"/>
      </left>
      <right style="thin">
        <color indexed="64"/>
      </right>
      <top style="thin">
        <color indexed="64"/>
      </top>
      <bottom style="thin">
        <color theme="1"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theme="1" tint="0.499984740745262"/>
      </top>
      <bottom style="thin">
        <color theme="1" tint="0.499984740745262"/>
      </bottom>
      <diagonal/>
    </border>
    <border>
      <left style="thin">
        <color auto="1"/>
      </left>
      <right style="thin">
        <color auto="1"/>
      </right>
      <top style="thin">
        <color theme="1" tint="0.499984740745262"/>
      </top>
      <bottom style="thin">
        <color auto="1"/>
      </bottom>
      <diagonal/>
    </border>
    <border>
      <left style="thin">
        <color auto="1"/>
      </left>
      <right style="thin">
        <color auto="1"/>
      </right>
      <top/>
      <bottom style="thin">
        <color theme="1" tint="0.499984740745262"/>
      </bottom>
      <diagonal/>
    </border>
    <border>
      <left style="thin">
        <color auto="1"/>
      </left>
      <right style="thin">
        <color theme="0" tint="-0.499984740745262"/>
      </right>
      <top style="thin">
        <color auto="1"/>
      </top>
      <bottom style="thin">
        <color auto="1"/>
      </bottom>
      <diagonal/>
    </border>
    <border>
      <left style="thin">
        <color theme="0" tint="-0.499984740745262"/>
      </left>
      <right style="thin">
        <color auto="1"/>
      </right>
      <top style="thin">
        <color auto="1"/>
      </top>
      <bottom style="thin">
        <color auto="1"/>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style="thin">
        <color indexed="64"/>
      </right>
      <top style="thin">
        <color indexed="64"/>
      </top>
      <bottom/>
      <diagonal/>
    </border>
    <border>
      <left style="medium">
        <color rgb="FF980000"/>
      </left>
      <right/>
      <top/>
      <bottom/>
      <diagonal/>
    </border>
    <border>
      <left style="medium">
        <color rgb="FF980000"/>
      </left>
      <right/>
      <top style="medium">
        <color rgb="FF980000"/>
      </top>
      <bottom/>
      <diagonal/>
    </border>
    <border>
      <left/>
      <right/>
      <top style="medium">
        <color rgb="FF980000"/>
      </top>
      <bottom/>
      <diagonal/>
    </border>
    <border>
      <left/>
      <right style="medium">
        <color rgb="FF980000"/>
      </right>
      <top style="medium">
        <color rgb="FF980000"/>
      </top>
      <bottom/>
      <diagonal/>
    </border>
    <border>
      <left/>
      <right style="medium">
        <color rgb="FF980000"/>
      </right>
      <top/>
      <bottom/>
      <diagonal/>
    </border>
    <border>
      <left style="medium">
        <color rgb="FF980000"/>
      </left>
      <right/>
      <top/>
      <bottom style="medium">
        <color rgb="FF980000"/>
      </bottom>
      <diagonal/>
    </border>
    <border>
      <left/>
      <right/>
      <top/>
      <bottom style="medium">
        <color rgb="FF980000"/>
      </bottom>
      <diagonal/>
    </border>
    <border>
      <left/>
      <right style="medium">
        <color rgb="FF980000"/>
      </right>
      <top/>
      <bottom style="medium">
        <color rgb="FF980000"/>
      </bottom>
      <diagonal/>
    </border>
    <border>
      <left style="thin">
        <color theme="1" tint="0.499984740745262"/>
      </left>
      <right style="thin">
        <color indexed="64"/>
      </right>
      <top style="thin">
        <color theme="1" tint="0.499984740745262"/>
      </top>
      <bottom/>
      <diagonal/>
    </border>
    <border>
      <left/>
      <right/>
      <top/>
      <bottom style="thin">
        <color theme="0"/>
      </bottom>
      <diagonal/>
    </border>
    <border>
      <left/>
      <right/>
      <top style="thin">
        <color theme="0"/>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indexed="64"/>
      </right>
      <top/>
      <bottom/>
      <diagonal/>
    </border>
    <border>
      <left style="thin">
        <color auto="1"/>
      </left>
      <right/>
      <top style="thin">
        <color auto="1"/>
      </top>
      <bottom style="thin">
        <color theme="0"/>
      </bottom>
      <diagonal/>
    </border>
    <border>
      <left/>
      <right/>
      <top style="thin">
        <color auto="1"/>
      </top>
      <bottom style="thin">
        <color theme="0"/>
      </bottom>
      <diagonal/>
    </border>
    <border>
      <left/>
      <right style="thin">
        <color indexed="64"/>
      </right>
      <top style="thin">
        <color auto="1"/>
      </top>
      <bottom style="thin">
        <color theme="0"/>
      </bottom>
      <diagonal/>
    </border>
    <border>
      <left style="thin">
        <color auto="1"/>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theme="0"/>
      </right>
      <top/>
      <bottom/>
      <diagonal/>
    </border>
    <border>
      <left style="thin">
        <color theme="0"/>
      </left>
      <right style="thin">
        <color theme="0"/>
      </right>
      <top/>
      <bottom/>
      <diagonal/>
    </border>
    <border>
      <left style="thin">
        <color theme="0"/>
      </left>
      <right/>
      <top/>
      <bottom/>
      <diagonal/>
    </border>
  </borders>
  <cellStyleXfs count="6">
    <xf numFmtId="0" fontId="0" fillId="0" borderId="0"/>
    <xf numFmtId="9" fontId="4" fillId="0" borderId="0" applyFont="0" applyFill="0" applyBorder="0" applyAlignment="0" applyProtection="0"/>
    <xf numFmtId="0" fontId="17" fillId="6" borderId="0" applyNumberFormat="0" applyBorder="0" applyAlignment="0" applyProtection="0"/>
    <xf numFmtId="0" fontId="15" fillId="7" borderId="0" applyNumberFormat="0" applyBorder="0" applyAlignment="0" applyProtection="0"/>
    <xf numFmtId="0" fontId="22" fillId="0" borderId="0" applyNumberFormat="0" applyFill="0" applyBorder="0" applyAlignment="0" applyProtection="0"/>
    <xf numFmtId="0" fontId="20" fillId="0" borderId="0"/>
  </cellStyleXfs>
  <cellXfs count="187">
    <xf numFmtId="0" fontId="0" fillId="0" borderId="0" xfId="0"/>
    <xf numFmtId="0" fontId="0" fillId="0" borderId="0" xfId="0" applyAlignment="1" applyProtection="1">
      <alignment vertical="center"/>
    </xf>
    <xf numFmtId="0" fontId="3" fillId="0" borderId="0" xfId="0" applyFont="1" applyAlignment="1" applyProtection="1">
      <alignment vertical="center"/>
    </xf>
    <xf numFmtId="0" fontId="2" fillId="0" borderId="0" xfId="0" applyFont="1" applyAlignment="1" applyProtection="1">
      <alignment vertical="center"/>
    </xf>
    <xf numFmtId="0" fontId="15" fillId="0" borderId="0" xfId="0" applyFont="1" applyAlignment="1" applyProtection="1">
      <alignment vertical="center"/>
    </xf>
    <xf numFmtId="2" fontId="0" fillId="0" borderId="0" xfId="0" applyNumberFormat="1" applyAlignment="1" applyProtection="1">
      <alignment vertical="center"/>
    </xf>
    <xf numFmtId="1" fontId="0" fillId="3" borderId="17" xfId="0" applyNumberFormat="1" applyFill="1" applyBorder="1" applyAlignment="1" applyProtection="1">
      <alignment vertical="center"/>
    </xf>
    <xf numFmtId="167" fontId="0" fillId="3" borderId="17" xfId="0" applyNumberFormat="1" applyFill="1" applyBorder="1" applyAlignment="1" applyProtection="1">
      <alignment vertical="center"/>
    </xf>
    <xf numFmtId="0" fontId="2" fillId="0" borderId="0" xfId="0" applyFont="1" applyAlignment="1" applyProtection="1">
      <alignment vertical="center"/>
      <protection locked="0"/>
    </xf>
    <xf numFmtId="2" fontId="0" fillId="2" borderId="22" xfId="0" applyNumberFormat="1" applyFill="1" applyBorder="1" applyAlignment="1" applyProtection="1">
      <alignment vertical="center"/>
      <protection locked="0"/>
    </xf>
    <xf numFmtId="164" fontId="0" fillId="2" borderId="22" xfId="0" applyNumberFormat="1" applyFill="1" applyBorder="1" applyAlignment="1" applyProtection="1">
      <alignment vertical="center"/>
      <protection locked="0"/>
    </xf>
    <xf numFmtId="0" fontId="0" fillId="2" borderId="17" xfId="0" applyFill="1" applyBorder="1" applyAlignment="1" applyProtection="1">
      <alignment vertical="center"/>
      <protection locked="0"/>
    </xf>
    <xf numFmtId="1" fontId="0" fillId="2" borderId="22" xfId="0" applyNumberFormat="1" applyFill="1" applyBorder="1" applyAlignment="1" applyProtection="1">
      <alignment vertical="center"/>
      <protection locked="0"/>
    </xf>
    <xf numFmtId="164" fontId="0" fillId="2" borderId="23" xfId="0" applyNumberFormat="1" applyFill="1" applyBorder="1" applyAlignment="1" applyProtection="1">
      <alignment vertical="center"/>
      <protection locked="0"/>
    </xf>
    <xf numFmtId="9" fontId="0" fillId="2" borderId="17" xfId="1" applyFont="1" applyFill="1" applyBorder="1" applyAlignment="1" applyProtection="1">
      <alignment vertical="center"/>
      <protection locked="0"/>
    </xf>
    <xf numFmtId="167" fontId="0" fillId="2" borderId="17" xfId="0" applyNumberFormat="1" applyFill="1" applyBorder="1" applyAlignment="1" applyProtection="1">
      <alignment vertical="center"/>
      <protection locked="0"/>
    </xf>
    <xf numFmtId="2" fontId="0" fillId="2" borderId="17" xfId="0" applyNumberFormat="1" applyFill="1" applyBorder="1" applyAlignment="1" applyProtection="1">
      <alignment vertical="center"/>
      <protection locked="0"/>
    </xf>
    <xf numFmtId="0" fontId="0" fillId="2" borderId="25" xfId="0" applyFill="1" applyBorder="1" applyAlignment="1" applyProtection="1">
      <alignment vertical="center"/>
      <protection locked="0"/>
    </xf>
    <xf numFmtId="0" fontId="0" fillId="2" borderId="26" xfId="0" applyFill="1" applyBorder="1" applyAlignment="1" applyProtection="1">
      <alignment vertical="center"/>
      <protection locked="0"/>
    </xf>
    <xf numFmtId="164" fontId="0" fillId="2" borderId="19" xfId="0" applyNumberFormat="1" applyFill="1" applyBorder="1" applyAlignment="1" applyProtection="1">
      <alignment vertical="center"/>
      <protection locked="0"/>
    </xf>
    <xf numFmtId="0" fontId="0" fillId="2" borderId="19" xfId="0" applyFill="1" applyBorder="1" applyAlignment="1" applyProtection="1">
      <alignment vertical="center"/>
      <protection locked="0"/>
    </xf>
    <xf numFmtId="2" fontId="0" fillId="2" borderId="23" xfId="0" applyNumberFormat="1" applyFill="1" applyBorder="1" applyAlignment="1" applyProtection="1">
      <alignment vertical="center"/>
      <protection locked="0"/>
    </xf>
    <xf numFmtId="0" fontId="1" fillId="0" borderId="0" xfId="0" applyFont="1" applyAlignment="1" applyProtection="1">
      <alignment vertical="center"/>
    </xf>
    <xf numFmtId="0" fontId="0" fillId="0" borderId="17" xfId="0" applyBorder="1" applyAlignment="1" applyProtection="1">
      <alignment vertical="center"/>
    </xf>
    <xf numFmtId="0" fontId="0" fillId="0" borderId="4" xfId="0" applyFont="1" applyBorder="1" applyAlignment="1" applyProtection="1">
      <alignment horizontal="left" vertical="center"/>
    </xf>
    <xf numFmtId="1" fontId="0" fillId="0" borderId="3" xfId="0" applyNumberFormat="1" applyBorder="1" applyAlignment="1" applyProtection="1">
      <alignment vertical="center"/>
    </xf>
    <xf numFmtId="1" fontId="0" fillId="0" borderId="8" xfId="0" applyNumberFormat="1" applyBorder="1" applyAlignment="1" applyProtection="1">
      <alignment vertical="center"/>
    </xf>
    <xf numFmtId="0" fontId="0" fillId="2" borderId="15" xfId="0" applyFill="1" applyBorder="1" applyAlignment="1" applyProtection="1">
      <alignment vertical="center"/>
      <protection locked="0"/>
    </xf>
    <xf numFmtId="0" fontId="0" fillId="2" borderId="16" xfId="0" applyFill="1" applyBorder="1" applyAlignment="1" applyProtection="1">
      <alignment vertical="center"/>
      <protection locked="0"/>
    </xf>
    <xf numFmtId="0" fontId="0" fillId="3" borderId="17" xfId="0" applyFill="1" applyBorder="1" applyAlignment="1" applyProtection="1">
      <alignment vertical="center"/>
    </xf>
    <xf numFmtId="0" fontId="0" fillId="0" borderId="2" xfId="0" applyFont="1" applyBorder="1" applyAlignment="1" applyProtection="1">
      <alignment horizontal="left" vertical="center"/>
    </xf>
    <xf numFmtId="2" fontId="0" fillId="0" borderId="1" xfId="0" applyNumberFormat="1" applyBorder="1" applyAlignment="1" applyProtection="1">
      <alignment vertical="center"/>
    </xf>
    <xf numFmtId="2" fontId="0" fillId="0" borderId="9" xfId="0" applyNumberFormat="1" applyBorder="1" applyAlignment="1" applyProtection="1">
      <alignment vertical="center"/>
    </xf>
    <xf numFmtId="164" fontId="0" fillId="0" borderId="1" xfId="0" applyNumberFormat="1" applyBorder="1" applyAlignment="1" applyProtection="1">
      <alignment vertical="center"/>
    </xf>
    <xf numFmtId="164" fontId="0" fillId="0" borderId="9" xfId="0" applyNumberFormat="1" applyBorder="1" applyAlignment="1" applyProtection="1">
      <alignment vertical="center"/>
    </xf>
    <xf numFmtId="1" fontId="0" fillId="0" borderId="1" xfId="0" applyNumberFormat="1" applyBorder="1" applyAlignment="1" applyProtection="1">
      <alignment vertical="center"/>
    </xf>
    <xf numFmtId="1" fontId="0" fillId="0" borderId="9" xfId="0" applyNumberFormat="1" applyBorder="1" applyAlignment="1" applyProtection="1">
      <alignment vertical="center"/>
    </xf>
    <xf numFmtId="0" fontId="0" fillId="0" borderId="5" xfId="0" applyFont="1" applyBorder="1" applyAlignment="1" applyProtection="1">
      <alignment horizontal="left" vertical="center"/>
    </xf>
    <xf numFmtId="164" fontId="0" fillId="0" borderId="6" xfId="0" applyNumberFormat="1" applyBorder="1" applyAlignment="1" applyProtection="1">
      <alignment vertical="center"/>
    </xf>
    <xf numFmtId="164" fontId="0" fillId="0" borderId="10" xfId="0" applyNumberFormat="1" applyBorder="1" applyAlignment="1" applyProtection="1">
      <alignment vertical="center"/>
    </xf>
    <xf numFmtId="165" fontId="0" fillId="3" borderId="17" xfId="0" applyNumberFormat="1" applyFill="1" applyBorder="1" applyAlignment="1" applyProtection="1">
      <alignment vertical="center"/>
    </xf>
    <xf numFmtId="0" fontId="0" fillId="0" borderId="15" xfId="0" applyFont="1" applyFill="1" applyBorder="1" applyAlignment="1" applyProtection="1">
      <alignment horizontal="left" vertical="center"/>
    </xf>
    <xf numFmtId="2" fontId="0" fillId="3" borderId="17" xfId="0" applyNumberFormat="1" applyFill="1" applyBorder="1" applyAlignment="1" applyProtection="1">
      <alignment vertical="center"/>
    </xf>
    <xf numFmtId="1" fontId="0" fillId="0" borderId="0" xfId="0" applyNumberFormat="1" applyAlignment="1" applyProtection="1">
      <alignment vertical="center"/>
    </xf>
    <xf numFmtId="164" fontId="0" fillId="3" borderId="17" xfId="0" applyNumberFormat="1" applyFill="1" applyBorder="1" applyAlignment="1" applyProtection="1">
      <alignment vertical="center"/>
    </xf>
    <xf numFmtId="0" fontId="0" fillId="0" borderId="4" xfId="0" applyBorder="1" applyAlignment="1" applyProtection="1">
      <alignment vertical="center"/>
    </xf>
    <xf numFmtId="0" fontId="0" fillId="0" borderId="8" xfId="0" applyBorder="1" applyAlignment="1" applyProtection="1">
      <alignment vertical="center"/>
    </xf>
    <xf numFmtId="0" fontId="0" fillId="2" borderId="2" xfId="0" applyFill="1" applyBorder="1" applyAlignment="1" applyProtection="1">
      <alignment vertical="center"/>
      <protection locked="0"/>
    </xf>
    <xf numFmtId="0" fontId="0" fillId="2" borderId="9" xfId="0" applyFill="1" applyBorder="1" applyAlignment="1" applyProtection="1">
      <alignment vertical="center"/>
      <protection locked="0"/>
    </xf>
    <xf numFmtId="1" fontId="0" fillId="2" borderId="17" xfId="0" applyNumberFormat="1" applyFill="1" applyBorder="1" applyAlignment="1" applyProtection="1">
      <alignment vertical="center"/>
      <protection locked="0"/>
    </xf>
    <xf numFmtId="0" fontId="0" fillId="0" borderId="2" xfId="0" applyBorder="1" applyAlignment="1" applyProtection="1">
      <alignment vertical="center"/>
    </xf>
    <xf numFmtId="0" fontId="0" fillId="2" borderId="37" xfId="0" applyFill="1" applyBorder="1" applyAlignment="1" applyProtection="1">
      <alignment vertical="center"/>
      <protection locked="0"/>
    </xf>
    <xf numFmtId="164" fontId="0" fillId="2" borderId="17" xfId="0" applyNumberFormat="1" applyFill="1" applyBorder="1" applyAlignment="1" applyProtection="1">
      <alignment vertical="center"/>
      <protection locked="0"/>
    </xf>
    <xf numFmtId="0" fontId="0" fillId="0" borderId="5" xfId="0" applyBorder="1" applyAlignment="1" applyProtection="1">
      <alignment vertical="center"/>
    </xf>
    <xf numFmtId="0" fontId="0" fillId="3" borderId="10" xfId="0" applyFill="1" applyBorder="1" applyAlignment="1" applyProtection="1">
      <alignment vertical="center"/>
    </xf>
    <xf numFmtId="0" fontId="0" fillId="0" borderId="11" xfId="0" applyFont="1" applyFill="1" applyBorder="1" applyAlignment="1" applyProtection="1">
      <alignment horizontal="left" vertical="center"/>
    </xf>
    <xf numFmtId="0" fontId="11" fillId="0" borderId="0" xfId="0" applyFont="1" applyAlignment="1" applyProtection="1">
      <alignment vertical="center"/>
    </xf>
    <xf numFmtId="167" fontId="0" fillId="0" borderId="0" xfId="0" applyNumberFormat="1" applyAlignment="1" applyProtection="1">
      <alignment vertical="center"/>
    </xf>
    <xf numFmtId="164" fontId="0" fillId="0" borderId="0" xfId="0" applyNumberFormat="1" applyAlignment="1" applyProtection="1">
      <alignment vertical="center"/>
    </xf>
    <xf numFmtId="0" fontId="2" fillId="0" borderId="0" xfId="0" applyFont="1" applyAlignment="1" applyProtection="1">
      <alignment horizontal="right" vertical="center"/>
    </xf>
    <xf numFmtId="1" fontId="2" fillId="0" borderId="0" xfId="0" applyNumberFormat="1" applyFont="1" applyAlignment="1" applyProtection="1">
      <alignment vertical="center"/>
    </xf>
    <xf numFmtId="168" fontId="0" fillId="0" borderId="0" xfId="0" applyNumberFormat="1" applyAlignment="1" applyProtection="1">
      <alignment vertical="center"/>
    </xf>
    <xf numFmtId="169" fontId="0" fillId="3" borderId="17" xfId="0" applyNumberFormat="1" applyFill="1" applyBorder="1" applyAlignment="1" applyProtection="1">
      <alignment vertical="center"/>
    </xf>
    <xf numFmtId="0" fontId="0" fillId="0" borderId="11" xfId="0" applyBorder="1" applyAlignment="1" applyProtection="1">
      <alignment vertical="center"/>
    </xf>
    <xf numFmtId="2" fontId="0" fillId="0" borderId="11" xfId="0" applyNumberFormat="1" applyBorder="1" applyAlignment="1" applyProtection="1">
      <alignment vertical="center"/>
    </xf>
    <xf numFmtId="0" fontId="0" fillId="0" borderId="19" xfId="0" applyBorder="1" applyAlignment="1" applyProtection="1">
      <alignment vertical="center"/>
    </xf>
    <xf numFmtId="0" fontId="0" fillId="0" borderId="22" xfId="0" applyBorder="1" applyAlignment="1" applyProtection="1">
      <alignment vertical="center"/>
    </xf>
    <xf numFmtId="0" fontId="0" fillId="0" borderId="23" xfId="0" applyBorder="1" applyAlignment="1" applyProtection="1">
      <alignment vertical="center"/>
    </xf>
    <xf numFmtId="0" fontId="2" fillId="0" borderId="0" xfId="0" applyNumberFormat="1" applyFont="1" applyAlignment="1" applyProtection="1">
      <alignment vertical="center"/>
    </xf>
    <xf numFmtId="0" fontId="0" fillId="2" borderId="22" xfId="0" applyFill="1" applyBorder="1" applyAlignment="1" applyProtection="1">
      <alignment vertical="center"/>
      <protection locked="0"/>
    </xf>
    <xf numFmtId="1" fontId="0" fillId="2" borderId="23" xfId="0" applyNumberFormat="1" applyFill="1" applyBorder="1" applyAlignment="1" applyProtection="1">
      <alignment vertical="center"/>
      <protection locked="0"/>
    </xf>
    <xf numFmtId="0" fontId="0" fillId="2" borderId="23" xfId="0" applyFill="1" applyBorder="1" applyAlignment="1" applyProtection="1">
      <alignment vertical="center"/>
      <protection locked="0"/>
    </xf>
    <xf numFmtId="165" fontId="0" fillId="2" borderId="17" xfId="0" applyNumberFormat="1" applyFill="1" applyBorder="1" applyAlignment="1" applyProtection="1">
      <alignment vertical="center"/>
      <protection locked="0"/>
    </xf>
    <xf numFmtId="0" fontId="0" fillId="2" borderId="17" xfId="0" applyFill="1" applyBorder="1" applyAlignment="1" applyProtection="1">
      <alignment horizontal="center" vertical="center"/>
      <protection locked="0"/>
    </xf>
    <xf numFmtId="169" fontId="0" fillId="2" borderId="17" xfId="0" applyNumberFormat="1" applyFill="1" applyBorder="1" applyAlignment="1" applyProtection="1">
      <alignment vertical="center"/>
      <protection locked="0"/>
    </xf>
    <xf numFmtId="0" fontId="1" fillId="0" borderId="15" xfId="0" applyFont="1" applyBorder="1" applyAlignment="1" applyProtection="1">
      <alignment vertical="center"/>
      <protection locked="0"/>
    </xf>
    <xf numFmtId="0" fontId="0" fillId="0" borderId="16" xfId="0" applyBorder="1" applyAlignment="1" applyProtection="1">
      <alignment horizontal="center" vertical="center"/>
      <protection locked="0"/>
    </xf>
    <xf numFmtId="164" fontId="0" fillId="3" borderId="22" xfId="0" applyNumberFormat="1" applyFill="1" applyBorder="1" applyAlignment="1" applyProtection="1">
      <alignment vertical="center"/>
    </xf>
    <xf numFmtId="167" fontId="0" fillId="2" borderId="22" xfId="0" applyNumberFormat="1" applyFill="1" applyBorder="1" applyAlignment="1" applyProtection="1">
      <alignment vertical="center"/>
      <protection locked="0"/>
    </xf>
    <xf numFmtId="164" fontId="2" fillId="0" borderId="0" xfId="0" applyNumberFormat="1" applyFont="1" applyAlignment="1" applyProtection="1">
      <alignment vertical="center"/>
    </xf>
    <xf numFmtId="0" fontId="0" fillId="2" borderId="11" xfId="0" applyFill="1" applyBorder="1" applyAlignment="1" applyProtection="1">
      <alignment vertical="center"/>
      <protection locked="0"/>
    </xf>
    <xf numFmtId="0" fontId="0" fillId="0" borderId="0" xfId="0" applyAlignment="1"/>
    <xf numFmtId="0" fontId="19" fillId="0" borderId="0" xfId="0" applyFont="1" applyAlignment="1"/>
    <xf numFmtId="0" fontId="20" fillId="0" borderId="0" xfId="0" applyFont="1" applyAlignment="1"/>
    <xf numFmtId="0" fontId="1" fillId="0" borderId="0" xfId="0" applyFont="1" applyAlignment="1"/>
    <xf numFmtId="0" fontId="0" fillId="5" borderId="11" xfId="0" applyFill="1" applyBorder="1" applyAlignment="1">
      <alignment horizontal="center"/>
    </xf>
    <xf numFmtId="0" fontId="0" fillId="0" borderId="0" xfId="0" quotePrefix="1" applyAlignment="1"/>
    <xf numFmtId="0" fontId="21" fillId="4" borderId="28" xfId="0" applyFont="1" applyFill="1" applyBorder="1" applyAlignment="1"/>
    <xf numFmtId="0" fontId="0" fillId="4" borderId="40" xfId="0" applyFill="1" applyBorder="1" applyAlignment="1">
      <alignment wrapText="1"/>
    </xf>
    <xf numFmtId="0" fontId="0" fillId="4" borderId="41" xfId="0" applyFill="1" applyBorder="1" applyAlignment="1"/>
    <xf numFmtId="0" fontId="22" fillId="4" borderId="40" xfId="4" applyFill="1" applyBorder="1" applyAlignment="1"/>
    <xf numFmtId="0" fontId="22" fillId="0" borderId="40" xfId="4" applyBorder="1" applyAlignment="1"/>
    <xf numFmtId="0" fontId="0" fillId="0" borderId="42" xfId="0" applyBorder="1" applyAlignment="1"/>
    <xf numFmtId="0" fontId="22" fillId="0" borderId="41" xfId="4" applyBorder="1" applyAlignment="1"/>
    <xf numFmtId="0" fontId="0" fillId="0" borderId="20"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7" xfId="0" applyBorder="1" applyAlignment="1" applyProtection="1">
      <alignment vertical="center"/>
    </xf>
    <xf numFmtId="0" fontId="1" fillId="0" borderId="28" xfId="0" applyFont="1" applyBorder="1" applyAlignment="1" applyProtection="1">
      <alignment vertical="center"/>
    </xf>
    <xf numFmtId="0" fontId="0" fillId="0" borderId="24" xfId="0" applyBorder="1" applyAlignment="1" applyProtection="1">
      <alignment vertical="center"/>
    </xf>
    <xf numFmtId="165" fontId="7" fillId="3" borderId="27" xfId="0" applyNumberFormat="1" applyFont="1" applyFill="1" applyBorder="1" applyAlignment="1" applyProtection="1">
      <alignment vertical="center"/>
    </xf>
    <xf numFmtId="2" fontId="0" fillId="3" borderId="24" xfId="0" applyNumberFormat="1" applyFill="1" applyBorder="1" applyAlignment="1" applyProtection="1">
      <alignment vertical="center"/>
    </xf>
    <xf numFmtId="2" fontId="0" fillId="3" borderId="22" xfId="0" applyNumberFormat="1" applyFill="1" applyBorder="1" applyAlignment="1" applyProtection="1">
      <alignment vertical="center"/>
    </xf>
    <xf numFmtId="1" fontId="0" fillId="3" borderId="22" xfId="0" applyNumberFormat="1" applyFill="1" applyBorder="1" applyAlignment="1" applyProtection="1">
      <alignment vertical="center"/>
    </xf>
    <xf numFmtId="164" fontId="0" fillId="3" borderId="23" xfId="0" applyNumberFormat="1" applyFill="1" applyBorder="1" applyAlignment="1" applyProtection="1">
      <alignment vertical="center"/>
    </xf>
    <xf numFmtId="165" fontId="7" fillId="3" borderId="11" xfId="0" applyNumberFormat="1" applyFont="1" applyFill="1" applyBorder="1" applyAlignment="1" applyProtection="1">
      <alignment vertical="center"/>
    </xf>
    <xf numFmtId="0" fontId="0" fillId="0" borderId="25" xfId="0" applyBorder="1" applyAlignment="1" applyProtection="1">
      <alignment vertical="center"/>
    </xf>
    <xf numFmtId="166" fontId="0" fillId="3" borderId="17" xfId="1" applyNumberFormat="1" applyFont="1" applyFill="1" applyBorder="1" applyAlignment="1" applyProtection="1">
      <alignment vertical="center"/>
    </xf>
    <xf numFmtId="164" fontId="0" fillId="3" borderId="19" xfId="0" applyNumberFormat="1" applyFill="1" applyBorder="1" applyAlignment="1" applyProtection="1">
      <alignment vertical="center"/>
    </xf>
    <xf numFmtId="1" fontId="0" fillId="3" borderId="19" xfId="0" applyNumberFormat="1" applyFill="1" applyBorder="1" applyAlignment="1" applyProtection="1">
      <alignment vertical="center"/>
    </xf>
    <xf numFmtId="0" fontId="0" fillId="3" borderId="26" xfId="0" applyFill="1" applyBorder="1" applyAlignment="1" applyProtection="1">
      <alignment vertical="center"/>
    </xf>
    <xf numFmtId="2" fontId="0" fillId="3" borderId="23" xfId="0" applyNumberFormat="1" applyFill="1" applyBorder="1" applyAlignment="1" applyProtection="1">
      <alignment vertical="center"/>
    </xf>
    <xf numFmtId="167" fontId="0" fillId="2" borderId="26" xfId="0" applyNumberFormat="1" applyFill="1" applyBorder="1" applyAlignment="1" applyProtection="1">
      <alignment vertical="center"/>
      <protection locked="0"/>
    </xf>
    <xf numFmtId="0" fontId="0" fillId="3" borderId="11" xfId="0" applyFill="1" applyBorder="1" applyAlignment="1">
      <alignment horizontal="center"/>
    </xf>
    <xf numFmtId="0" fontId="24" fillId="8" borderId="11" xfId="2" applyFont="1" applyFill="1" applyBorder="1" applyAlignment="1">
      <alignment horizontal="center"/>
    </xf>
    <xf numFmtId="0" fontId="25" fillId="9" borderId="11" xfId="3" applyFont="1" applyFill="1" applyBorder="1" applyAlignment="1">
      <alignment horizontal="center"/>
    </xf>
    <xf numFmtId="0" fontId="2" fillId="0" borderId="54" xfId="0" applyFont="1" applyBorder="1" applyAlignment="1" applyProtection="1">
      <alignment vertical="center"/>
    </xf>
    <xf numFmtId="0" fontId="2" fillId="0" borderId="55" xfId="0" applyFont="1" applyBorder="1" applyAlignment="1" applyProtection="1">
      <alignment vertical="center"/>
    </xf>
    <xf numFmtId="0" fontId="2" fillId="0" borderId="53" xfId="0" applyFont="1" applyBorder="1" applyAlignment="1" applyProtection="1">
      <alignment vertical="center"/>
      <protection locked="0"/>
    </xf>
    <xf numFmtId="0" fontId="2" fillId="0" borderId="54" xfId="0" applyFont="1" applyBorder="1" applyAlignment="1" applyProtection="1">
      <alignment vertical="center"/>
      <protection locked="0"/>
    </xf>
    <xf numFmtId="0" fontId="2" fillId="0" borderId="0" xfId="0" applyFont="1" applyFill="1" applyBorder="1" applyAlignment="1">
      <alignment vertical="center"/>
    </xf>
    <xf numFmtId="0" fontId="0" fillId="0" borderId="0" xfId="0" applyFont="1" applyFill="1" applyBorder="1" applyAlignment="1">
      <alignment horizontal="center" vertical="center"/>
    </xf>
    <xf numFmtId="0" fontId="28" fillId="0" borderId="0" xfId="0" applyFont="1" applyFill="1" applyBorder="1" applyAlignment="1">
      <alignment horizontal="center" vertical="center"/>
    </xf>
    <xf numFmtId="0" fontId="29" fillId="0" borderId="0" xfId="0" applyFont="1" applyFill="1" applyBorder="1" applyAlignment="1">
      <alignment vertical="center"/>
    </xf>
    <xf numFmtId="0" fontId="0" fillId="0" borderId="0" xfId="0" applyFont="1" applyFill="1" applyBorder="1" applyAlignment="1">
      <alignment vertical="center"/>
    </xf>
    <xf numFmtId="2" fontId="0" fillId="0" borderId="0" xfId="0" applyNumberFormat="1" applyFont="1" applyFill="1" applyBorder="1" applyAlignment="1">
      <alignment vertical="center"/>
    </xf>
    <xf numFmtId="0" fontId="16" fillId="0" borderId="49" xfId="0" applyFont="1" applyBorder="1" applyAlignment="1">
      <alignment horizontal="center" vertical="center" wrapText="1"/>
    </xf>
    <xf numFmtId="0" fontId="16" fillId="0" borderId="50" xfId="0" applyFont="1" applyBorder="1" applyAlignment="1">
      <alignment horizontal="center" vertical="center" wrapText="1"/>
    </xf>
    <xf numFmtId="0" fontId="16" fillId="0" borderId="51" xfId="0" applyFont="1" applyBorder="1" applyAlignment="1">
      <alignment horizontal="center" vertical="center" wrapText="1"/>
    </xf>
    <xf numFmtId="0" fontId="16" fillId="0" borderId="42" xfId="0" applyFont="1" applyBorder="1" applyAlignment="1">
      <alignment horizontal="center" vertical="center" wrapText="1"/>
    </xf>
    <xf numFmtId="0" fontId="16" fillId="0" borderId="52" xfId="0" applyFont="1" applyBorder="1" applyAlignment="1">
      <alignment horizontal="center" vertical="center" wrapText="1"/>
    </xf>
    <xf numFmtId="0" fontId="16" fillId="0" borderId="7" xfId="0" applyFont="1" applyBorder="1" applyAlignment="1">
      <alignment horizontal="center" vertical="center" wrapText="1"/>
    </xf>
    <xf numFmtId="0" fontId="9" fillId="0" borderId="34" xfId="0" applyFont="1" applyBorder="1" applyAlignment="1" applyProtection="1">
      <alignment vertical="center" wrapText="1"/>
    </xf>
    <xf numFmtId="0" fontId="9" fillId="0" borderId="35" xfId="0" applyFont="1" applyBorder="1" applyAlignment="1" applyProtection="1">
      <alignment vertical="center" wrapText="1"/>
    </xf>
    <xf numFmtId="0" fontId="9" fillId="0" borderId="36" xfId="0" applyFont="1" applyBorder="1" applyAlignment="1" applyProtection="1">
      <alignment vertical="center" wrapText="1"/>
    </xf>
    <xf numFmtId="0" fontId="8" fillId="0" borderId="30" xfId="0" applyFont="1" applyBorder="1" applyAlignment="1" applyProtection="1">
      <alignment vertical="center" wrapText="1"/>
    </xf>
    <xf numFmtId="0" fontId="8" fillId="0" borderId="31" xfId="0" applyFont="1" applyBorder="1" applyAlignment="1" applyProtection="1">
      <alignment vertical="center" wrapText="1"/>
    </xf>
    <xf numFmtId="0" fontId="8" fillId="0" borderId="32" xfId="0" applyFont="1" applyBorder="1" applyAlignment="1" applyProtection="1">
      <alignment vertical="center" wrapText="1"/>
    </xf>
    <xf numFmtId="0" fontId="9" fillId="0" borderId="29" xfId="0" applyFont="1" applyBorder="1" applyAlignment="1" applyProtection="1">
      <alignment vertical="center" wrapText="1"/>
    </xf>
    <xf numFmtId="0" fontId="9" fillId="0" borderId="0" xfId="0" applyFont="1" applyBorder="1" applyAlignment="1" applyProtection="1">
      <alignment vertical="center" wrapText="1"/>
    </xf>
    <xf numFmtId="0" fontId="9" fillId="0" borderId="33" xfId="0" applyFont="1" applyBorder="1" applyAlignment="1" applyProtection="1">
      <alignment vertical="center" wrapText="1"/>
    </xf>
    <xf numFmtId="0" fontId="0" fillId="2" borderId="20" xfId="0" applyFill="1" applyBorder="1" applyAlignment="1" applyProtection="1">
      <alignment horizontal="left" vertical="center"/>
      <protection locked="0"/>
    </xf>
    <xf numFmtId="0" fontId="0" fillId="2" borderId="21" xfId="0" applyFill="1" applyBorder="1" applyAlignment="1" applyProtection="1">
      <alignment horizontal="left" vertical="center"/>
      <protection locked="0"/>
    </xf>
    <xf numFmtId="0" fontId="5" fillId="0" borderId="43" xfId="0" applyFont="1" applyBorder="1" applyAlignment="1" applyProtection="1">
      <alignment vertical="center" wrapText="1"/>
    </xf>
    <xf numFmtId="0" fontId="5" fillId="0" borderId="44" xfId="0" applyFont="1" applyBorder="1" applyAlignment="1" applyProtection="1">
      <alignment vertical="center" wrapText="1"/>
    </xf>
    <xf numFmtId="0" fontId="5" fillId="0" borderId="45" xfId="0" applyFont="1" applyBorder="1" applyAlignment="1" applyProtection="1">
      <alignment vertical="center" wrapText="1"/>
    </xf>
    <xf numFmtId="0" fontId="5" fillId="0" borderId="46" xfId="0" applyFont="1" applyBorder="1" applyAlignment="1" applyProtection="1">
      <alignment vertical="center" wrapText="1"/>
    </xf>
    <xf numFmtId="0" fontId="5" fillId="0" borderId="47" xfId="0" applyFont="1" applyBorder="1" applyAlignment="1" applyProtection="1">
      <alignment vertical="center" wrapText="1"/>
    </xf>
    <xf numFmtId="0" fontId="5" fillId="0" borderId="48" xfId="0" applyFont="1" applyBorder="1" applyAlignment="1" applyProtection="1">
      <alignment vertical="center" wrapText="1"/>
    </xf>
    <xf numFmtId="167" fontId="0" fillId="2" borderId="21" xfId="0" applyNumberFormat="1" applyFill="1" applyBorder="1" applyAlignment="1" applyProtection="1">
      <alignment horizontal="left" vertical="center"/>
      <protection locked="0"/>
    </xf>
    <xf numFmtId="0" fontId="0" fillId="0" borderId="20" xfId="0" applyBorder="1" applyAlignment="1" applyProtection="1">
      <alignment horizontal="left" vertical="center"/>
    </xf>
    <xf numFmtId="0" fontId="0" fillId="0" borderId="18" xfId="0" applyBorder="1" applyAlignment="1" applyProtection="1">
      <alignment horizontal="lef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20" xfId="0" applyBorder="1" applyAlignment="1" applyProtection="1">
      <alignment vertical="center"/>
    </xf>
    <xf numFmtId="0" fontId="0" fillId="0" borderId="18" xfId="0" applyBorder="1" applyAlignment="1" applyProtection="1">
      <alignment vertical="center"/>
    </xf>
    <xf numFmtId="0" fontId="11" fillId="0" borderId="0" xfId="0" applyFont="1" applyAlignment="1" applyProtection="1">
      <alignment horizontal="left" vertical="center"/>
    </xf>
    <xf numFmtId="0" fontId="16" fillId="0" borderId="49" xfId="0" applyFont="1" applyBorder="1" applyAlignment="1" applyProtection="1">
      <alignment horizontal="center" vertical="center" wrapText="1"/>
    </xf>
    <xf numFmtId="0" fontId="16" fillId="0" borderId="50" xfId="0" applyFont="1" applyBorder="1" applyAlignment="1" applyProtection="1">
      <alignment horizontal="center" vertical="center" wrapText="1"/>
    </xf>
    <xf numFmtId="0" fontId="16" fillId="0" borderId="51" xfId="0" applyFont="1" applyBorder="1" applyAlignment="1" applyProtection="1">
      <alignment horizontal="center" vertical="center" wrapText="1"/>
    </xf>
    <xf numFmtId="0" fontId="16" fillId="0" borderId="42" xfId="0" applyFont="1" applyBorder="1" applyAlignment="1" applyProtection="1">
      <alignment horizontal="center" vertical="center" wrapText="1"/>
    </xf>
    <xf numFmtId="0" fontId="16" fillId="0" borderId="52" xfId="0" applyFont="1" applyBorder="1" applyAlignment="1" applyProtection="1">
      <alignment horizontal="center" vertical="center" wrapText="1"/>
    </xf>
    <xf numFmtId="0" fontId="16" fillId="0" borderId="7" xfId="0" applyFont="1" applyBorder="1" applyAlignment="1" applyProtection="1">
      <alignment horizontal="center" vertical="center" wrapText="1"/>
    </xf>
    <xf numFmtId="0" fontId="14" fillId="2" borderId="20" xfId="0" applyFont="1" applyFill="1" applyBorder="1" applyAlignment="1" applyProtection="1">
      <alignment horizontal="left" vertical="center"/>
      <protection locked="0"/>
    </xf>
    <xf numFmtId="0" fontId="14" fillId="2" borderId="21" xfId="0" applyFont="1" applyFill="1" applyBorder="1" applyAlignment="1" applyProtection="1">
      <alignment horizontal="left" vertical="center"/>
      <protection locked="0"/>
    </xf>
    <xf numFmtId="0" fontId="1" fillId="0" borderId="11" xfId="0" applyFont="1" applyBorder="1" applyAlignment="1" applyProtection="1">
      <alignment horizontal="left" vertical="center"/>
    </xf>
    <xf numFmtId="0" fontId="16" fillId="0" borderId="38" xfId="0" applyFont="1" applyBorder="1" applyAlignment="1" applyProtection="1">
      <alignment horizontal="center" vertical="center"/>
    </xf>
    <xf numFmtId="0" fontId="16" fillId="0" borderId="39" xfId="0" applyFont="1" applyBorder="1" applyAlignment="1" applyProtection="1">
      <alignment horizontal="center" vertical="center"/>
    </xf>
    <xf numFmtId="0" fontId="0" fillId="2" borderId="16" xfId="0" applyFill="1" applyBorder="1" applyAlignment="1" applyProtection="1">
      <alignment horizontal="left" vertical="center"/>
      <protection locked="0"/>
    </xf>
    <xf numFmtId="0" fontId="0" fillId="2" borderId="17" xfId="0" applyFill="1" applyBorder="1" applyAlignment="1" applyProtection="1">
      <alignment horizontal="left" vertical="center"/>
      <protection locked="0"/>
    </xf>
    <xf numFmtId="0" fontId="0" fillId="0" borderId="0" xfId="0" applyAlignment="1" applyProtection="1">
      <alignment horizontal="left" vertical="center" wrapText="1"/>
    </xf>
    <xf numFmtId="0" fontId="5" fillId="0" borderId="28" xfId="0" applyFont="1" applyBorder="1" applyAlignment="1" applyProtection="1">
      <alignment horizontal="center" vertical="center" wrapText="1"/>
    </xf>
    <xf numFmtId="0" fontId="5" fillId="0" borderId="40" xfId="0" applyFont="1" applyBorder="1" applyAlignment="1" applyProtection="1">
      <alignment horizontal="center" vertical="center" wrapText="1"/>
    </xf>
    <xf numFmtId="0" fontId="5" fillId="0" borderId="41" xfId="0" applyFont="1" applyBorder="1" applyAlignment="1" applyProtection="1">
      <alignment horizontal="center" vertical="center" wrapText="1"/>
    </xf>
    <xf numFmtId="0" fontId="0" fillId="0" borderId="0" xfId="0" applyBorder="1" applyAlignment="1" applyProtection="1">
      <alignment vertical="center"/>
    </xf>
    <xf numFmtId="0" fontId="1" fillId="0" borderId="12"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0" borderId="14" xfId="0" applyFont="1" applyBorder="1" applyAlignment="1" applyProtection="1">
      <alignment horizontal="center" vertical="center"/>
    </xf>
    <xf numFmtId="0" fontId="1" fillId="0" borderId="18" xfId="0" applyFont="1" applyBorder="1" applyAlignment="1" applyProtection="1">
      <alignment horizontal="center" vertical="center"/>
    </xf>
    <xf numFmtId="0" fontId="1" fillId="0" borderId="16" xfId="0" applyFont="1" applyBorder="1" applyAlignment="1" applyProtection="1">
      <alignment horizontal="center" vertical="center"/>
    </xf>
    <xf numFmtId="0" fontId="1" fillId="0" borderId="17" xfId="0" applyFont="1" applyBorder="1" applyAlignment="1" applyProtection="1">
      <alignment horizontal="center" vertical="center"/>
    </xf>
    <xf numFmtId="0" fontId="1" fillId="0" borderId="15" xfId="0" applyFont="1" applyBorder="1" applyAlignment="1" applyProtection="1">
      <alignment horizontal="center" vertical="center"/>
    </xf>
    <xf numFmtId="164" fontId="0" fillId="0" borderId="17" xfId="0" applyNumberFormat="1" applyBorder="1" applyAlignment="1" applyProtection="1">
      <alignment horizontal="center" vertical="center"/>
    </xf>
    <xf numFmtId="0" fontId="0" fillId="0" borderId="16" xfId="0" applyBorder="1" applyAlignment="1" applyProtection="1">
      <alignment vertical="center"/>
      <protection locked="0"/>
    </xf>
    <xf numFmtId="0" fontId="0" fillId="0" borderId="17" xfId="0" applyBorder="1" applyAlignment="1" applyProtection="1">
      <alignment vertical="center"/>
      <protection locked="0"/>
    </xf>
    <xf numFmtId="0" fontId="1" fillId="0" borderId="20" xfId="0" applyFont="1" applyBorder="1" applyAlignment="1" applyProtection="1">
      <alignment vertical="center"/>
      <protection locked="0"/>
    </xf>
    <xf numFmtId="0" fontId="0" fillId="0" borderId="17" xfId="0" applyBorder="1" applyAlignment="1" applyProtection="1">
      <alignment horizontal="center" vertical="center"/>
      <protection locked="0"/>
    </xf>
  </cellXfs>
  <cellStyles count="6">
    <cellStyle name="Bad 2" xfId="3"/>
    <cellStyle name="Hyperlink" xfId="4" builtinId="8"/>
    <cellStyle name="Neutral 2" xfId="2"/>
    <cellStyle name="Normal" xfId="0" builtinId="0"/>
    <cellStyle name="Normal 2" xfId="5"/>
    <cellStyle name="Percent" xfId="1" builtinId="5"/>
  </cellStyles>
  <dxfs count="76">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border>
        <bottom style="thin">
          <color theme="0" tint="-0.14996795556505021"/>
        </bottom>
        <vertical/>
        <horizontal/>
      </border>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bottom style="thin">
          <color theme="0" tint="-0.14996795556505021"/>
        </bottom>
      </border>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patternType="solid">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s>
  <tableStyles count="0" defaultTableStyle="TableStyleMedium2" defaultPivotStyle="PivotStyleLight16"/>
  <colors>
    <mruColors>
      <color rgb="FFFF5050"/>
      <color rgb="FF800000"/>
      <color rgb="FF663300"/>
      <color rgb="FFFFCC66"/>
      <color rgb="FF9FC5E8"/>
      <color rgb="FFE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´ÖÓÎÉÇØÍÐÉ!$L$35:$L$135</c:f>
              <c:numCache>
                <c:formatCode>General</c:formatCode>
                <c:ptCount val="101"/>
                <c:pt idx="0">
                  <c:v>0</c:v>
                </c:pt>
                <c:pt idx="1">
                  <c:v>1.5239256324291371E-2</c:v>
                </c:pt>
                <c:pt idx="2">
                  <c:v>3.0478512648582742E-2</c:v>
                </c:pt>
                <c:pt idx="3">
                  <c:v>4.5717768972874114E-2</c:v>
                </c:pt>
                <c:pt idx="4">
                  <c:v>6.0957025297165485E-2</c:v>
                </c:pt>
                <c:pt idx="5">
                  <c:v>7.6196281621456863E-2</c:v>
                </c:pt>
                <c:pt idx="6">
                  <c:v>9.1435537945748227E-2</c:v>
                </c:pt>
                <c:pt idx="7">
                  <c:v>0.10667479427003959</c:v>
                </c:pt>
                <c:pt idx="8">
                  <c:v>0.12191405059433097</c:v>
                </c:pt>
                <c:pt idx="9">
                  <c:v>0.13715330691862235</c:v>
                </c:pt>
                <c:pt idx="10">
                  <c:v>0.15239256324291373</c:v>
                </c:pt>
                <c:pt idx="11">
                  <c:v>0.16763181956720508</c:v>
                </c:pt>
                <c:pt idx="12">
                  <c:v>0.18287107589149645</c:v>
                </c:pt>
                <c:pt idx="13">
                  <c:v>0.19811033221578783</c:v>
                </c:pt>
                <c:pt idx="14">
                  <c:v>0.21334958854007918</c:v>
                </c:pt>
                <c:pt idx="15">
                  <c:v>0.22858884486437056</c:v>
                </c:pt>
                <c:pt idx="16">
                  <c:v>0.24382810118866194</c:v>
                </c:pt>
                <c:pt idx="17">
                  <c:v>0.25906735751295329</c:v>
                </c:pt>
                <c:pt idx="18">
                  <c:v>0.27430661383724469</c:v>
                </c:pt>
                <c:pt idx="19">
                  <c:v>0.28954587016153605</c:v>
                </c:pt>
                <c:pt idx="20">
                  <c:v>0.30478512648582745</c:v>
                </c:pt>
                <c:pt idx="21">
                  <c:v>0.3200243828101188</c:v>
                </c:pt>
                <c:pt idx="22">
                  <c:v>0.33526363913441015</c:v>
                </c:pt>
                <c:pt idx="23">
                  <c:v>0.35050289545870156</c:v>
                </c:pt>
                <c:pt idx="24">
                  <c:v>0.36574215178299291</c:v>
                </c:pt>
                <c:pt idx="25">
                  <c:v>0.38098140810728426</c:v>
                </c:pt>
                <c:pt idx="26">
                  <c:v>0.39622066443157566</c:v>
                </c:pt>
                <c:pt idx="27">
                  <c:v>0.41145992075586701</c:v>
                </c:pt>
                <c:pt idx="28">
                  <c:v>0.42669917708015836</c:v>
                </c:pt>
                <c:pt idx="29">
                  <c:v>0.44193843340444977</c:v>
                </c:pt>
                <c:pt idx="30">
                  <c:v>0.45717768972874112</c:v>
                </c:pt>
                <c:pt idx="31">
                  <c:v>0.47241694605303253</c:v>
                </c:pt>
                <c:pt idx="32">
                  <c:v>0.48765620237732388</c:v>
                </c:pt>
                <c:pt idx="33">
                  <c:v>0.50289545870161523</c:v>
                </c:pt>
                <c:pt idx="34">
                  <c:v>0.51813471502590658</c:v>
                </c:pt>
                <c:pt idx="35">
                  <c:v>0.53337397135019804</c:v>
                </c:pt>
                <c:pt idx="36">
                  <c:v>0.54861322767448939</c:v>
                </c:pt>
                <c:pt idx="37">
                  <c:v>0.56385248399878074</c:v>
                </c:pt>
                <c:pt idx="38">
                  <c:v>0.57909174032307209</c:v>
                </c:pt>
                <c:pt idx="39">
                  <c:v>0.59433099664736344</c:v>
                </c:pt>
                <c:pt idx="40">
                  <c:v>0.6095702529716549</c:v>
                </c:pt>
                <c:pt idx="41">
                  <c:v>0.62480950929594625</c:v>
                </c:pt>
                <c:pt idx="42">
                  <c:v>0.6400487656202376</c:v>
                </c:pt>
                <c:pt idx="43">
                  <c:v>0.65528802194452895</c:v>
                </c:pt>
                <c:pt idx="44">
                  <c:v>0.6705272782688203</c:v>
                </c:pt>
                <c:pt idx="45">
                  <c:v>0.68576653459311165</c:v>
                </c:pt>
                <c:pt idx="46">
                  <c:v>0.70100579091740312</c:v>
                </c:pt>
                <c:pt idx="47">
                  <c:v>0.71624504724169447</c:v>
                </c:pt>
                <c:pt idx="48">
                  <c:v>0.73148430356598582</c:v>
                </c:pt>
                <c:pt idx="49">
                  <c:v>0.74672355989027717</c:v>
                </c:pt>
                <c:pt idx="50">
                  <c:v>0.76196281621456852</c:v>
                </c:pt>
                <c:pt idx="51">
                  <c:v>0.77720207253885998</c:v>
                </c:pt>
                <c:pt idx="52">
                  <c:v>0.79244132886315133</c:v>
                </c:pt>
                <c:pt idx="53">
                  <c:v>0.80768058518744268</c:v>
                </c:pt>
                <c:pt idx="54">
                  <c:v>0.82291984151173403</c:v>
                </c:pt>
                <c:pt idx="55">
                  <c:v>0.83815909783602538</c:v>
                </c:pt>
                <c:pt idx="56">
                  <c:v>0.85339835416031673</c:v>
                </c:pt>
                <c:pt idx="57">
                  <c:v>0.86863761048460819</c:v>
                </c:pt>
                <c:pt idx="58">
                  <c:v>0.88387686680889954</c:v>
                </c:pt>
                <c:pt idx="59">
                  <c:v>0.89911612313319089</c:v>
                </c:pt>
                <c:pt idx="60">
                  <c:v>0.91435537945748224</c:v>
                </c:pt>
                <c:pt idx="61">
                  <c:v>0.92959463578177359</c:v>
                </c:pt>
                <c:pt idx="62">
                  <c:v>0.94483389210606505</c:v>
                </c:pt>
                <c:pt idx="63">
                  <c:v>0.9600731484303564</c:v>
                </c:pt>
                <c:pt idx="64">
                  <c:v>0.97531240475464775</c:v>
                </c:pt>
                <c:pt idx="65">
                  <c:v>0.99055166107893911</c:v>
                </c:pt>
                <c:pt idx="66">
                  <c:v>1.0057909174032305</c:v>
                </c:pt>
                <c:pt idx="67">
                  <c:v>1.0210301737275218</c:v>
                </c:pt>
                <c:pt idx="68">
                  <c:v>1.0362694300518132</c:v>
                </c:pt>
                <c:pt idx="69">
                  <c:v>1.0515086863761045</c:v>
                </c:pt>
                <c:pt idx="70">
                  <c:v>1.0667479427003961</c:v>
                </c:pt>
                <c:pt idx="71">
                  <c:v>1.0819871990246874</c:v>
                </c:pt>
                <c:pt idx="72">
                  <c:v>1.0972264553489788</c:v>
                </c:pt>
                <c:pt idx="73">
                  <c:v>1.1124657116732701</c:v>
                </c:pt>
                <c:pt idx="74">
                  <c:v>1.1277049679975615</c:v>
                </c:pt>
                <c:pt idx="75">
                  <c:v>1.1429442243218528</c:v>
                </c:pt>
                <c:pt idx="76">
                  <c:v>1.1581834806461442</c:v>
                </c:pt>
                <c:pt idx="77">
                  <c:v>1.1734227369704355</c:v>
                </c:pt>
                <c:pt idx="78">
                  <c:v>1.1886619932947269</c:v>
                </c:pt>
                <c:pt idx="79">
                  <c:v>1.2039012496190182</c:v>
                </c:pt>
                <c:pt idx="80">
                  <c:v>1.2191405059433098</c:v>
                </c:pt>
                <c:pt idx="81">
                  <c:v>1.2343797622676012</c:v>
                </c:pt>
                <c:pt idx="82">
                  <c:v>1.2496190185918925</c:v>
                </c:pt>
                <c:pt idx="83">
                  <c:v>1.2648582749161839</c:v>
                </c:pt>
                <c:pt idx="84">
                  <c:v>1.2800975312404752</c:v>
                </c:pt>
                <c:pt idx="85">
                  <c:v>1.2953367875647666</c:v>
                </c:pt>
                <c:pt idx="86">
                  <c:v>1.3105760438890579</c:v>
                </c:pt>
                <c:pt idx="87">
                  <c:v>1.3258153002133493</c:v>
                </c:pt>
                <c:pt idx="88">
                  <c:v>1.3410545565376406</c:v>
                </c:pt>
                <c:pt idx="89">
                  <c:v>1.356293812861932</c:v>
                </c:pt>
                <c:pt idx="90">
                  <c:v>1.3715330691862233</c:v>
                </c:pt>
                <c:pt idx="91">
                  <c:v>1.3867723255105149</c:v>
                </c:pt>
                <c:pt idx="92">
                  <c:v>1.4020115818348062</c:v>
                </c:pt>
                <c:pt idx="93">
                  <c:v>1.4172508381590976</c:v>
                </c:pt>
                <c:pt idx="94">
                  <c:v>1.4324900944833889</c:v>
                </c:pt>
                <c:pt idx="95">
                  <c:v>1.4477293508076803</c:v>
                </c:pt>
                <c:pt idx="96">
                  <c:v>1.4629686071319716</c:v>
                </c:pt>
                <c:pt idx="97">
                  <c:v>1.478207863456263</c:v>
                </c:pt>
                <c:pt idx="98">
                  <c:v>1.4934471197805543</c:v>
                </c:pt>
                <c:pt idx="99">
                  <c:v>1.5086863761048457</c:v>
                </c:pt>
                <c:pt idx="100">
                  <c:v>1.523925632429137</c:v>
                </c:pt>
              </c:numCache>
            </c:numRef>
          </c:xVal>
          <c:yVal>
            <c:numRef>
              <c:f>´ÖÓÎÉÇØÍÐÉ!$M$35:$M$135</c:f>
              <c:numCache>
                <c:formatCode>General</c:formatCode>
                <c:ptCount val="101"/>
                <c:pt idx="0">
                  <c:v>0.3047851264858274</c:v>
                </c:pt>
                <c:pt idx="1">
                  <c:v>0.34618888115001428</c:v>
                </c:pt>
                <c:pt idx="2">
                  <c:v>0.38666111986203189</c:v>
                </c:pt>
                <c:pt idx="3">
                  <c:v>0.4262018426218801</c:v>
                </c:pt>
                <c:pt idx="4">
                  <c:v>0.46481104942955898</c:v>
                </c:pt>
                <c:pt idx="5">
                  <c:v>0.50248874028506862</c:v>
                </c:pt>
                <c:pt idx="6">
                  <c:v>0.53923491518840883</c:v>
                </c:pt>
                <c:pt idx="7">
                  <c:v>0.57504957413957958</c:v>
                </c:pt>
                <c:pt idx="8">
                  <c:v>0.6099327171385811</c:v>
                </c:pt>
                <c:pt idx="9">
                  <c:v>0.6438843441854134</c:v>
                </c:pt>
                <c:pt idx="10">
                  <c:v>0.67690445528007626</c:v>
                </c:pt>
                <c:pt idx="11">
                  <c:v>0.70899305042256966</c:v>
                </c:pt>
                <c:pt idx="12">
                  <c:v>0.74015012961289406</c:v>
                </c:pt>
                <c:pt idx="13">
                  <c:v>0.77037569285104879</c:v>
                </c:pt>
                <c:pt idx="14">
                  <c:v>0.79966974013703429</c:v>
                </c:pt>
                <c:pt idx="15">
                  <c:v>0.82803227147085057</c:v>
                </c:pt>
                <c:pt idx="16">
                  <c:v>0.85546328685249717</c:v>
                </c:pt>
                <c:pt idx="17">
                  <c:v>0.88196278628197478</c:v>
                </c:pt>
                <c:pt idx="18">
                  <c:v>0.90753076975928293</c:v>
                </c:pt>
                <c:pt idx="19">
                  <c:v>0.93216723728442163</c:v>
                </c:pt>
                <c:pt idx="20">
                  <c:v>0.95587218885739111</c:v>
                </c:pt>
                <c:pt idx="21">
                  <c:v>0.97864562447819137</c:v>
                </c:pt>
                <c:pt idx="22">
                  <c:v>1.0004875441468219</c:v>
                </c:pt>
                <c:pt idx="23">
                  <c:v>1.0213979478632835</c:v>
                </c:pt>
                <c:pt idx="24">
                  <c:v>1.0413768356275757</c:v>
                </c:pt>
                <c:pt idx="25">
                  <c:v>1.0604242074396986</c:v>
                </c:pt>
                <c:pt idx="26">
                  <c:v>1.0785400632996518</c:v>
                </c:pt>
                <c:pt idx="27">
                  <c:v>1.095724403207436</c:v>
                </c:pt>
                <c:pt idx="28">
                  <c:v>1.1119772271630508</c:v>
                </c:pt>
                <c:pt idx="29">
                  <c:v>1.1272985351664959</c:v>
                </c:pt>
                <c:pt idx="30">
                  <c:v>1.1416883272177722</c:v>
                </c:pt>
                <c:pt idx="31">
                  <c:v>1.1551466033168789</c:v>
                </c:pt>
                <c:pt idx="32">
                  <c:v>1.1676733634638161</c:v>
                </c:pt>
                <c:pt idx="33">
                  <c:v>1.1792686076585845</c:v>
                </c:pt>
                <c:pt idx="34">
                  <c:v>1.1899323359011831</c:v>
                </c:pt>
                <c:pt idx="35">
                  <c:v>1.1996645481916124</c:v>
                </c:pt>
                <c:pt idx="36">
                  <c:v>1.2084652445298725</c:v>
                </c:pt>
                <c:pt idx="37">
                  <c:v>1.2163344249159631</c:v>
                </c:pt>
                <c:pt idx="38">
                  <c:v>1.2232720893498843</c:v>
                </c:pt>
                <c:pt idx="39">
                  <c:v>1.2292782378316365</c:v>
                </c:pt>
                <c:pt idx="40">
                  <c:v>1.2343528703612192</c:v>
                </c:pt>
                <c:pt idx="41">
                  <c:v>1.2384959869386325</c:v>
                </c:pt>
                <c:pt idx="42">
                  <c:v>1.2417075875638766</c:v>
                </c:pt>
                <c:pt idx="43">
                  <c:v>1.2439876722369512</c:v>
                </c:pt>
                <c:pt idx="44">
                  <c:v>1.2453362409578566</c:v>
                </c:pt>
                <c:pt idx="45">
                  <c:v>1.2457532937265925</c:v>
                </c:pt>
                <c:pt idx="46">
                  <c:v>1.2452388305431592</c:v>
                </c:pt>
                <c:pt idx="47">
                  <c:v>1.2437928514075565</c:v>
                </c:pt>
                <c:pt idx="48">
                  <c:v>1.2414153563197847</c:v>
                </c:pt>
                <c:pt idx="49">
                  <c:v>1.2381063452798431</c:v>
                </c:pt>
                <c:pt idx="50">
                  <c:v>1.2338658182877327</c:v>
                </c:pt>
                <c:pt idx="51">
                  <c:v>1.2286937753434524</c:v>
                </c:pt>
                <c:pt idx="52">
                  <c:v>1.2225902164470028</c:v>
                </c:pt>
                <c:pt idx="53">
                  <c:v>1.2155551415983843</c:v>
                </c:pt>
                <c:pt idx="54">
                  <c:v>1.2075885507975963</c:v>
                </c:pt>
                <c:pt idx="55">
                  <c:v>1.1986904440446389</c:v>
                </c:pt>
                <c:pt idx="56">
                  <c:v>1.1888608213395122</c:v>
                </c:pt>
                <c:pt idx="57">
                  <c:v>1.1780996826822159</c:v>
                </c:pt>
                <c:pt idx="58">
                  <c:v>1.1664070280727501</c:v>
                </c:pt>
                <c:pt idx="59">
                  <c:v>1.1537828575111155</c:v>
                </c:pt>
                <c:pt idx="60">
                  <c:v>1.1402271709973117</c:v>
                </c:pt>
                <c:pt idx="61">
                  <c:v>1.1257399685313381</c:v>
                </c:pt>
                <c:pt idx="62">
                  <c:v>1.1103212501131952</c:v>
                </c:pt>
                <c:pt idx="63">
                  <c:v>1.0939710157428832</c:v>
                </c:pt>
                <c:pt idx="64">
                  <c:v>1.0766892654204017</c:v>
                </c:pt>
                <c:pt idx="65">
                  <c:v>1.0584759991457511</c:v>
                </c:pt>
                <c:pt idx="66">
                  <c:v>1.0393312169189315</c:v>
                </c:pt>
                <c:pt idx="67">
                  <c:v>1.0192549187399416</c:v>
                </c:pt>
                <c:pt idx="68">
                  <c:v>0.99824710460878308</c:v>
                </c:pt>
                <c:pt idx="69">
                  <c:v>0.9763077745254547</c:v>
                </c:pt>
                <c:pt idx="70">
                  <c:v>0.95343692848995687</c:v>
                </c:pt>
                <c:pt idx="71">
                  <c:v>0.92963456650229004</c:v>
                </c:pt>
                <c:pt idx="72">
                  <c:v>0.90490068856245376</c:v>
                </c:pt>
                <c:pt idx="73">
                  <c:v>0.87923529467044848</c:v>
                </c:pt>
                <c:pt idx="74">
                  <c:v>0.8526383848262733</c:v>
                </c:pt>
                <c:pt idx="75">
                  <c:v>0.82510995902992956</c:v>
                </c:pt>
                <c:pt idx="76">
                  <c:v>0.79665001728141549</c:v>
                </c:pt>
                <c:pt idx="77">
                  <c:v>0.7672585595807333</c:v>
                </c:pt>
                <c:pt idx="78">
                  <c:v>0.73693558592788078</c:v>
                </c:pt>
                <c:pt idx="79">
                  <c:v>0.70568109632285925</c:v>
                </c:pt>
                <c:pt idx="80">
                  <c:v>0.67349509076566827</c:v>
                </c:pt>
                <c:pt idx="81">
                  <c:v>0.64037756925630784</c:v>
                </c:pt>
                <c:pt idx="82">
                  <c:v>0.60632853179477841</c:v>
                </c:pt>
                <c:pt idx="83">
                  <c:v>0.57134797838107954</c:v>
                </c:pt>
                <c:pt idx="84">
                  <c:v>0.53543590901521121</c:v>
                </c:pt>
                <c:pt idx="85">
                  <c:v>0.49859232369717382</c:v>
                </c:pt>
                <c:pt idx="86">
                  <c:v>0.4608172224269666</c:v>
                </c:pt>
                <c:pt idx="87">
                  <c:v>0.42211060520459082</c:v>
                </c:pt>
                <c:pt idx="88">
                  <c:v>0.38247247203004514</c:v>
                </c:pt>
                <c:pt idx="89">
                  <c:v>0.34190282290333002</c:v>
                </c:pt>
                <c:pt idx="90">
                  <c:v>0.30040165782444633</c:v>
                </c:pt>
                <c:pt idx="91">
                  <c:v>0.25796897679339187</c:v>
                </c:pt>
                <c:pt idx="92">
                  <c:v>0.21460477981016884</c:v>
                </c:pt>
                <c:pt idx="93">
                  <c:v>0.17030906687477682</c:v>
                </c:pt>
                <c:pt idx="94">
                  <c:v>0.12508183798721489</c:v>
                </c:pt>
                <c:pt idx="95">
                  <c:v>7.8923093147483525E-2</c:v>
                </c:pt>
                <c:pt idx="96">
                  <c:v>3.1832832355584484E-2</c:v>
                </c:pt>
                <c:pt idx="97">
                  <c:v>0</c:v>
                </c:pt>
                <c:pt idx="98">
                  <c:v>0</c:v>
                </c:pt>
                <c:pt idx="99">
                  <c:v>0</c:v>
                </c:pt>
                <c:pt idx="100">
                  <c:v>0</c:v>
                </c:pt>
              </c:numCache>
            </c:numRef>
          </c:yVal>
          <c:smooth val="1"/>
          <c:extLst xmlns:c16r2="http://schemas.microsoft.com/office/drawing/2015/06/chart">
            <c:ext xmlns:c16="http://schemas.microsoft.com/office/drawing/2014/chart" uri="{C3380CC4-5D6E-409C-BE32-E72D297353CC}">
              <c16:uniqueId val="{00000000-3FD8-4D76-8725-2632F43E693D}"/>
            </c:ext>
          </c:extLst>
        </c:ser>
        <c:ser>
          <c:idx val="1"/>
          <c:order val="1"/>
          <c:marker>
            <c:symbol val="none"/>
          </c:marker>
          <c:xVal>
            <c:numRef>
              <c:f>´ÖÓÎÉÇØÍÐÉ!$Q$33</c:f>
              <c:numCache>
                <c:formatCode>General</c:formatCode>
                <c:ptCount val="1"/>
                <c:pt idx="0">
                  <c:v>1.523925632429137</c:v>
                </c:pt>
              </c:numCache>
            </c:numRef>
          </c:xVal>
          <c:yVal>
            <c:numRef>
              <c:f>´ÖÓÎÉÇØÍÐÉ!$Q$33</c:f>
              <c:numCache>
                <c:formatCode>General</c:formatCode>
                <c:ptCount val="1"/>
                <c:pt idx="0">
                  <c:v>1.523925632429137</c:v>
                </c:pt>
              </c:numCache>
            </c:numRef>
          </c:yVal>
          <c:smooth val="1"/>
          <c:extLst xmlns:c16r2="http://schemas.microsoft.com/office/drawing/2015/06/chart">
            <c:ext xmlns:c16="http://schemas.microsoft.com/office/drawing/2014/chart" uri="{C3380CC4-5D6E-409C-BE32-E72D297353CC}">
              <c16:uniqueId val="{00000001-3FD8-4D76-8725-2632F43E693D}"/>
            </c:ext>
          </c:extLst>
        </c:ser>
        <c:dLbls>
          <c:showLegendKey val="0"/>
          <c:showVal val="0"/>
          <c:showCatName val="0"/>
          <c:showSerName val="0"/>
          <c:showPercent val="0"/>
          <c:showBubbleSize val="0"/>
        </c:dLbls>
        <c:axId val="82426112"/>
        <c:axId val="82427904"/>
      </c:scatterChart>
      <c:valAx>
        <c:axId val="82426112"/>
        <c:scaling>
          <c:orientation val="minMax"/>
        </c:scaling>
        <c:delete val="0"/>
        <c:axPos val="b"/>
        <c:numFmt formatCode="General" sourceLinked="1"/>
        <c:majorTickMark val="out"/>
        <c:minorTickMark val="none"/>
        <c:tickLblPos val="nextTo"/>
        <c:crossAx val="82427904"/>
        <c:crosses val="autoZero"/>
        <c:crossBetween val="midCat"/>
      </c:valAx>
      <c:valAx>
        <c:axId val="82427904"/>
        <c:scaling>
          <c:orientation val="minMax"/>
        </c:scaling>
        <c:delete val="0"/>
        <c:axPos val="l"/>
        <c:majorGridlines/>
        <c:numFmt formatCode="General" sourceLinked="1"/>
        <c:majorTickMark val="out"/>
        <c:minorTickMark val="none"/>
        <c:tickLblPos val="nextTo"/>
        <c:crossAx val="82426112"/>
        <c:crosses val="autoZero"/>
        <c:crossBetween val="midCat"/>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´ÒÉÙÑÅØÍÇ×!$C$42:$C$192</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´ÒÉÙÑÅØÍÇ×!$D$42:$D$192</c:f>
              <c:numCache>
                <c:formatCode>General</c:formatCode>
                <c:ptCount val="151"/>
                <c:pt idx="0">
                  <c:v>120</c:v>
                </c:pt>
                <c:pt idx="1">
                  <c:v>120</c:v>
                </c:pt>
                <c:pt idx="2">
                  <c:v>120</c:v>
                </c:pt>
                <c:pt idx="3">
                  <c:v>120</c:v>
                </c:pt>
                <c:pt idx="4">
                  <c:v>120</c:v>
                </c:pt>
                <c:pt idx="5">
                  <c:v>120</c:v>
                </c:pt>
                <c:pt idx="6">
                  <c:v>120</c:v>
                </c:pt>
                <c:pt idx="7">
                  <c:v>120</c:v>
                </c:pt>
                <c:pt idx="8">
                  <c:v>109.08156303205513</c:v>
                </c:pt>
                <c:pt idx="9">
                  <c:v>109.08156303205513</c:v>
                </c:pt>
                <c:pt idx="10">
                  <c:v>109.08156303205513</c:v>
                </c:pt>
                <c:pt idx="11">
                  <c:v>109.08156303205513</c:v>
                </c:pt>
                <c:pt idx="12">
                  <c:v>109.08156303205513</c:v>
                </c:pt>
                <c:pt idx="13">
                  <c:v>98.163126064110259</c:v>
                </c:pt>
                <c:pt idx="14">
                  <c:v>98.163126064110259</c:v>
                </c:pt>
                <c:pt idx="15">
                  <c:v>98.163126064110259</c:v>
                </c:pt>
                <c:pt idx="16">
                  <c:v>98.163126064110259</c:v>
                </c:pt>
                <c:pt idx="17">
                  <c:v>98.163126064110259</c:v>
                </c:pt>
                <c:pt idx="18">
                  <c:v>87.244689096165388</c:v>
                </c:pt>
                <c:pt idx="19">
                  <c:v>88.527986924391286</c:v>
                </c:pt>
                <c:pt idx="20">
                  <c:v>89.802301667795874</c:v>
                </c:pt>
                <c:pt idx="21">
                  <c:v>91.068530467660537</c:v>
                </c:pt>
                <c:pt idx="22">
                  <c:v>92.327567235021306</c:v>
                </c:pt>
                <c:pt idx="23">
                  <c:v>82.661867456384414</c:v>
                </c:pt>
                <c:pt idx="24">
                  <c:v>83.9838272434678</c:v>
                </c:pt>
                <c:pt idx="25">
                  <c:v>85.293609684515431</c:v>
                </c:pt>
                <c:pt idx="26">
                  <c:v>86.592136037876287</c:v>
                </c:pt>
                <c:pt idx="27">
                  <c:v>87.880318771454668</c:v>
                </c:pt>
                <c:pt idx="28">
                  <c:v>78.240626079871873</c:v>
                </c:pt>
                <c:pt idx="29">
                  <c:v>79.608993478200574</c:v>
                </c:pt>
                <c:pt idx="30">
                  <c:v>80.962091651381911</c:v>
                </c:pt>
                <c:pt idx="31">
                  <c:v>82.300879990123875</c:v>
                </c:pt>
                <c:pt idx="32">
                  <c:v>83.626304809277485</c:v>
                </c:pt>
                <c:pt idx="33">
                  <c:v>74.020863593186405</c:v>
                </c:pt>
                <c:pt idx="34">
                  <c:v>75.441115513536474</c:v>
                </c:pt>
                <c:pt idx="35">
                  <c:v>76.843121500355622</c:v>
                </c:pt>
                <c:pt idx="36">
                  <c:v>78.227886642792441</c:v>
                </c:pt>
                <c:pt idx="37">
                  <c:v>79.596399891793965</c:v>
                </c:pt>
                <c:pt idx="38">
                  <c:v>70.031198003295373</c:v>
                </c:pt>
                <c:pt idx="39">
                  <c:v>71.506679859895073</c:v>
                </c:pt>
                <c:pt idx="40">
                  <c:v>72.961075839275168</c:v>
                </c:pt>
                <c:pt idx="41">
                  <c:v>74.395438846752256</c:v>
                </c:pt>
                <c:pt idx="42">
                  <c:v>75.810803814385707</c:v>
                </c:pt>
                <c:pt idx="43">
                  <c:v>66.289751279810872</c:v>
                </c:pt>
                <c:pt idx="44">
                  <c:v>67.821941275338204</c:v>
                </c:pt>
                <c:pt idx="45">
                  <c:v>69.33036586279573</c:v>
                </c:pt>
                <c:pt idx="46">
                  <c:v>70.816123583508002</c:v>
                </c:pt>
                <c:pt idx="47">
                  <c:v>72.280294403366881</c:v>
                </c:pt>
                <c:pt idx="48">
                  <c:v>62.805502847263789</c:v>
                </c:pt>
                <c:pt idx="49">
                  <c:v>64.39434001672339</c:v>
                </c:pt>
                <c:pt idx="50">
                  <c:v>65.956913195193408</c:v>
                </c:pt>
                <c:pt idx="51">
                  <c:v>67.494361283289422</c:v>
                </c:pt>
                <c:pt idx="52">
                  <c:v>69.007805210068724</c:v>
                </c:pt>
                <c:pt idx="53">
                  <c:v>59.579910537623476</c:v>
                </c:pt>
                <c:pt idx="54">
                  <c:v>61.224135968549959</c:v>
                </c:pt>
                <c:pt idx="55">
                  <c:v>62.83979414591473</c:v>
                </c:pt>
                <c:pt idx="56">
                  <c:v>64.428057098940442</c:v>
                </c:pt>
                <c:pt idx="57">
                  <c:v>65.990080622392497</c:v>
                </c:pt>
                <c:pt idx="58">
                  <c:v>56.608566270688932</c:v>
                </c:pt>
                <c:pt idx="59">
                  <c:v>58.306042979049145</c:v>
                </c:pt>
                <c:pt idx="60">
                  <c:v>59.972851587740188</c:v>
                </c:pt>
                <c:pt idx="61">
                  <c:v>61.61018906411325</c:v>
                </c:pt>
                <c:pt idx="62">
                  <c:v>63.219238894513779</c:v>
                </c:pt>
                <c:pt idx="63">
                  <c:v>53.882732399419588</c:v>
                </c:pt>
                <c:pt idx="64">
                  <c:v>55.63072428684567</c:v>
                </c:pt>
                <c:pt idx="65">
                  <c:v>57.34614976056384</c:v>
                </c:pt>
                <c:pt idx="66">
                  <c:v>59.030222368791151</c:v>
                </c:pt>
                <c:pt idx="67">
                  <c:v>60.684145798819365</c:v>
                </c:pt>
                <c:pt idx="68">
                  <c:v>51.390674461253397</c:v>
                </c:pt>
                <c:pt idx="69">
                  <c:v>53.186076421693876</c:v>
                </c:pt>
                <c:pt idx="70">
                  <c:v>54.947210441932825</c:v>
                </c:pt>
                <c:pt idx="71">
                  <c:v>56.675298704316916</c:v>
                </c:pt>
                <c:pt idx="72">
                  <c:v>58.371557849184079</c:v>
                </c:pt>
                <c:pt idx="73">
                  <c:v>49.118758794579755</c:v>
                </c:pt>
                <c:pt idx="74">
                  <c:v>50.958277901891968</c:v>
                </c:pt>
                <c:pt idx="75">
                  <c:v>52.762014185779925</c:v>
                </c:pt>
                <c:pt idx="76">
                  <c:v>54.531191303008903</c:v>
                </c:pt>
                <c:pt idx="77">
                  <c:v>56.267032214486051</c:v>
                </c:pt>
                <c:pt idx="78">
                  <c:v>47.052318224798796</c:v>
                </c:pt>
                <c:pt idx="79">
                  <c:v>48.932610501231125</c:v>
                </c:pt>
                <c:pt idx="80">
                  <c:v>50.775778639220896</c:v>
                </c:pt>
                <c:pt idx="81">
                  <c:v>52.583041605187283</c:v>
                </c:pt>
                <c:pt idx="82">
                  <c:v>54.355622879152051</c:v>
                </c:pt>
                <c:pt idx="83">
                  <c:v>45.176308714655498</c:v>
                </c:pt>
                <c:pt idx="84">
                  <c:v>47.094078096955378</c:v>
                </c:pt>
                <c:pt idx="85">
                  <c:v>48.973540877915184</c:v>
                </c:pt>
                <c:pt idx="86">
                  <c:v>50.815906241922846</c:v>
                </c:pt>
                <c:pt idx="87">
                  <c:v>52.622393311405922</c:v>
                </c:pt>
                <c:pt idx="88">
                  <c:v>43.475788641340934</c:v>
                </c:pt>
                <c:pt idx="89">
                  <c:v>45.427855268632982</c:v>
                </c:pt>
                <c:pt idx="90">
                  <c:v>47.340576357748084</c:v>
                </c:pt>
                <c:pt idx="91">
                  <c:v>49.215147278565013</c:v>
                </c:pt>
                <c:pt idx="92">
                  <c:v>51.052778850161666</c:v>
                </c:pt>
                <c:pt idx="93">
                  <c:v>41.936254094944175</c:v>
                </c:pt>
                <c:pt idx="94">
                  <c:v>43.919598620300121</c:v>
                </c:pt>
                <c:pt idx="95">
                  <c:v>45.862687022915424</c:v>
                </c:pt>
                <c:pt idx="96">
                  <c:v>47.766697811567646</c:v>
                </c:pt>
                <c:pt idx="97">
                  <c:v>49.632830435636627</c:v>
                </c:pt>
                <c:pt idx="98">
                  <c:v>40.543861331892707</c:v>
                </c:pt>
                <c:pt idx="99">
                  <c:v>42.555651088029734</c:v>
                </c:pt>
                <c:pt idx="100">
                  <c:v>44.526387988858765</c:v>
                </c:pt>
                <c:pt idx="101">
                  <c:v>46.457231514280011</c:v>
                </c:pt>
                <c:pt idx="102">
                  <c:v>48.349367471416251</c:v>
                </c:pt>
                <c:pt idx="103">
                  <c:v>39.285563372579091</c:v>
                </c:pt>
                <c:pt idx="104">
                  <c:v>41.323165206252149</c:v>
                </c:pt>
                <c:pt idx="105">
                  <c:v>43.319017801176905</c:v>
                </c:pt>
                <c:pt idx="106">
                  <c:v>45.274260197469204</c:v>
                </c:pt>
                <c:pt idx="107">
                  <c:v>47.190062979112234</c:v>
                </c:pt>
                <c:pt idx="108">
                  <c:v>38.149183024940221</c:v>
                </c:pt>
                <c:pt idx="109">
                  <c:v>40.210166627612885</c:v>
                </c:pt>
                <c:pt idx="110">
                  <c:v>42.228792624568044</c:v>
                </c:pt>
                <c:pt idx="111">
                  <c:v>44.206178838206341</c:v>
                </c:pt>
                <c:pt idx="112">
                  <c:v>46.143479633780942</c:v>
                </c:pt>
                <c:pt idx="113">
                  <c:v>37.123440086803178</c:v>
                </c:pt>
                <c:pt idx="114">
                  <c:v>39.205574775794609</c:v>
                </c:pt>
                <c:pt idx="115">
                  <c:v>41.244820409713441</c:v>
                </c:pt>
                <c:pt idx="116">
                  <c:v>43.242273330648146</c:v>
                </c:pt>
                <c:pt idx="117">
                  <c:v>45.199071172085574</c:v>
                </c:pt>
                <c:pt idx="118">
                  <c:v>36.197946486342111</c:v>
                </c:pt>
                <c:pt idx="119">
                  <c:v>38.299193661159563</c:v>
                </c:pt>
                <c:pt idx="120">
                  <c:v>40.357087373113202</c:v>
                </c:pt>
                <c:pt idx="121">
                  <c:v>42.372702629990613</c:v>
                </c:pt>
                <c:pt idx="122">
                  <c:v>44.347160208612969</c:v>
                </c:pt>
                <c:pt idx="123">
                  <c:v>35.363179785075438</c:v>
                </c:pt>
                <c:pt idx="124">
                  <c:v>37.481682698019526</c:v>
                </c:pt>
                <c:pt idx="125">
                  <c:v>39.556426069996085</c:v>
                </c:pt>
                <c:pt idx="126">
                  <c:v>41.588464035482367</c:v>
                </c:pt>
                <c:pt idx="127">
                  <c:v>43.578900694136394</c:v>
                </c:pt>
                <c:pt idx="128">
                  <c:v>34.610442785084189</c:v>
                </c:pt>
                <c:pt idx="129">
                  <c:v>36.744514808607903</c:v>
                </c:pt>
                <c:pt idx="130">
                  <c:v>38.834471908718704</c:v>
                </c:pt>
                <c:pt idx="131">
                  <c:v>40.881348042547742</c:v>
                </c:pt>
                <c:pt idx="132">
                  <c:v>42.886231044238258</c:v>
                </c:pt>
                <c:pt idx="133">
                  <c:v>33.931814882484524</c:v>
                </c:pt>
                <c:pt idx="134">
                  <c:v>36.079927107786659</c:v>
                </c:pt>
                <c:pt idx="135">
                  <c:v>38.183613066830688</c:v>
                </c:pt>
                <c:pt idx="136">
                  <c:v>40.243887403454558</c:v>
                </c:pt>
                <c:pt idx="137">
                  <c:v>42.261822269106005</c:v>
                </c:pt>
                <c:pt idx="138">
                  <c:v>33.320099200506633</c:v>
                </c:pt>
                <c:pt idx="139">
                  <c:v>35.48086794154375</c:v>
                </c:pt>
                <c:pt idx="140">
                  <c:v>37.596937331164874</c:v>
                </c:pt>
                <c:pt idx="141">
                  <c:v>39.669303677205775</c:v>
                </c:pt>
                <c:pt idx="142">
                  <c:v>41.699024151931859</c:v>
                </c:pt>
                <c:pt idx="143">
                  <c:v>43.687205292158055</c:v>
                </c:pt>
                <c:pt idx="144">
                  <c:v>45.634992706170848</c:v>
                </c:pt>
                <c:pt idx="145">
                  <c:v>47.543561919863478</c:v>
                </c:pt>
                <c:pt idx="146">
                  <c:v>49.414110289070159</c:v>
                </c:pt>
                <c:pt idx="147">
                  <c:v>51.247849902263063</c:v>
                </c:pt>
                <c:pt idx="148">
                  <c:v>53.046001397042815</c:v>
                </c:pt>
                <c:pt idx="149">
                  <c:v>54.809788614759931</c:v>
                </c:pt>
                <c:pt idx="150">
                  <c:v>56.540434019763524</c:v>
                </c:pt>
              </c:numCache>
            </c:numRef>
          </c:yVal>
          <c:smooth val="1"/>
        </c:ser>
        <c:ser>
          <c:idx val="1"/>
          <c:order val="1"/>
          <c:spPr>
            <a:ln w="19050">
              <a:prstDash val="sysDash"/>
            </a:ln>
          </c:spPr>
          <c:marker>
            <c:symbol val="none"/>
          </c:marker>
          <c:xVal>
            <c:numLit>
              <c:formatCode>General</c:formatCode>
              <c:ptCount val="2"/>
              <c:pt idx="0">
                <c:v>0</c:v>
              </c:pt>
              <c:pt idx="1">
                <c:v>150</c:v>
              </c:pt>
            </c:numLit>
          </c:xVal>
          <c:yVal>
            <c:numRef>
              <c:f>(´ÒÉÙÑÅØÍÇ×!$I$40,´ÒÉÙÑÅØÍÇ×!$I$40)</c:f>
              <c:numCache>
                <c:formatCode>0</c:formatCode>
                <c:ptCount val="2"/>
                <c:pt idx="0">
                  <c:v>40</c:v>
                </c:pt>
                <c:pt idx="1">
                  <c:v>40</c:v>
                </c:pt>
              </c:numCache>
            </c:numRef>
          </c:yVal>
          <c:smooth val="1"/>
        </c:ser>
        <c:dLbls>
          <c:showLegendKey val="0"/>
          <c:showVal val="0"/>
          <c:showCatName val="0"/>
          <c:showSerName val="0"/>
          <c:showPercent val="0"/>
          <c:showBubbleSize val="0"/>
        </c:dLbls>
        <c:axId val="77000064"/>
        <c:axId val="77002240"/>
      </c:scatterChart>
      <c:valAx>
        <c:axId val="77000064"/>
        <c:scaling>
          <c:orientation val="minMax"/>
        </c:scaling>
        <c:delete val="0"/>
        <c:axPos val="b"/>
        <c:title>
          <c:tx>
            <c:rich>
              <a:bodyPr/>
              <a:lstStyle/>
              <a:p>
                <a:pPr>
                  <a:defRPr/>
                </a:pPr>
                <a:r>
                  <a:rPr lang="en-US"/>
                  <a:t>Time (s)</a:t>
                </a:r>
              </a:p>
            </c:rich>
          </c:tx>
          <c:overlay val="0"/>
        </c:title>
        <c:numFmt formatCode="General" sourceLinked="1"/>
        <c:majorTickMark val="out"/>
        <c:minorTickMark val="none"/>
        <c:tickLblPos val="nextTo"/>
        <c:crossAx val="77002240"/>
        <c:crosses val="autoZero"/>
        <c:crossBetween val="midCat"/>
      </c:valAx>
      <c:valAx>
        <c:axId val="77002240"/>
        <c:scaling>
          <c:orientation val="minMax"/>
        </c:scaling>
        <c:delete val="0"/>
        <c:axPos val="l"/>
        <c:majorGridlines/>
        <c:title>
          <c:tx>
            <c:rich>
              <a:bodyPr rot="-5400000" vert="horz"/>
              <a:lstStyle/>
              <a:p>
                <a:pPr>
                  <a:defRPr/>
                </a:pPr>
                <a:r>
                  <a:rPr lang="en-US"/>
                  <a:t>Pressure (psig)</a:t>
                </a:r>
              </a:p>
            </c:rich>
          </c:tx>
          <c:overlay val="0"/>
        </c:title>
        <c:numFmt formatCode="General" sourceLinked="1"/>
        <c:majorTickMark val="out"/>
        <c:minorTickMark val="none"/>
        <c:tickLblPos val="nextTo"/>
        <c:crossAx val="77000064"/>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10"/>
          <c:order val="0"/>
          <c:spPr>
            <a:ln>
              <a:solidFill>
                <a:schemeClr val="tx1">
                  <a:lumMod val="50000"/>
                  <a:lumOff val="50000"/>
                </a:schemeClr>
              </a:solidFill>
              <a:prstDash val="sysDash"/>
            </a:ln>
          </c:spPr>
          <c:marker>
            <c:symbol val="none"/>
          </c:marker>
          <c:xVal>
            <c:numRef>
              <c:f>(´ÒÉÙ°ÍÒÏÅËÉ!$K$41,´ÒÉÙ°ÍÒÏÅËÉ!$K$41)</c:f>
              <c:numCache>
                <c:formatCode>General</c:formatCode>
                <c:ptCount val="2"/>
                <c:pt idx="0">
                  <c:v>0</c:v>
                </c:pt>
                <c:pt idx="1">
                  <c:v>0</c:v>
                </c:pt>
              </c:numCache>
            </c:numRef>
          </c:xVal>
          <c:yVal>
            <c:numRef>
              <c:f>(´ÒÉÙ°ÍÒÏÅËÉ!$L$41,´ÒÉÙ°ÍÒÏÅËÉ!$M$41)</c:f>
              <c:numCache>
                <c:formatCode>General</c:formatCode>
                <c:ptCount val="2"/>
                <c:pt idx="0">
                  <c:v>-34.382339178052213</c:v>
                </c:pt>
                <c:pt idx="1">
                  <c:v>197.24655022216564</c:v>
                </c:pt>
              </c:numCache>
            </c:numRef>
          </c:yVal>
          <c:smooth val="0"/>
        </c:ser>
        <c:ser>
          <c:idx val="11"/>
          <c:order val="1"/>
          <c:spPr>
            <a:ln>
              <a:solidFill>
                <a:schemeClr val="tx1">
                  <a:lumMod val="50000"/>
                  <a:lumOff val="50000"/>
                </a:schemeClr>
              </a:solidFill>
              <a:prstDash val="sysDash"/>
            </a:ln>
          </c:spPr>
          <c:marker>
            <c:symbol val="none"/>
          </c:marker>
          <c:xVal>
            <c:numRef>
              <c:f>(´ÒÉÙ°ÍÒÏÅËÉ!$L$41,´ÒÉÙ°ÍÒÏÅËÉ!$M$41)</c:f>
              <c:numCache>
                <c:formatCode>General</c:formatCode>
                <c:ptCount val="2"/>
                <c:pt idx="0">
                  <c:v>-34.382339178052213</c:v>
                </c:pt>
                <c:pt idx="1">
                  <c:v>197.24655022216564</c:v>
                </c:pt>
              </c:numCache>
            </c:numRef>
          </c:xVal>
          <c:yVal>
            <c:numRef>
              <c:f>(´ÒÉÙ°ÍÒÏÅËÉ!$K$41,´ÒÉÙ°ÍÒÏÅËÉ!$K$41)</c:f>
              <c:numCache>
                <c:formatCode>General</c:formatCode>
                <c:ptCount val="2"/>
                <c:pt idx="0">
                  <c:v>0</c:v>
                </c:pt>
                <c:pt idx="1">
                  <c:v>0</c:v>
                </c:pt>
              </c:numCache>
            </c:numRef>
          </c:yVal>
          <c:smooth val="0"/>
        </c:ser>
        <c:ser>
          <c:idx val="0"/>
          <c:order val="2"/>
          <c:spPr>
            <a:ln>
              <a:solidFill>
                <a:schemeClr val="tx1"/>
              </a:solidFill>
            </a:ln>
          </c:spPr>
          <c:marker>
            <c:symbol val="none"/>
          </c:marker>
          <c:xVal>
            <c:numRef>
              <c:f>(´ÒÉÙ°ÍÒÏÅËÉ!$K$35,´ÒÉÙ°ÍÒÏÅËÉ!$M$35)</c:f>
              <c:numCache>
                <c:formatCode>General</c:formatCode>
                <c:ptCount val="2"/>
                <c:pt idx="0">
                  <c:v>0</c:v>
                </c:pt>
                <c:pt idx="1">
                  <c:v>-15.688033694578483</c:v>
                </c:pt>
              </c:numCache>
            </c:numRef>
          </c:xVal>
          <c:yVal>
            <c:numRef>
              <c:f>(´ÒÉÙ°ÍÒÏÅËÉ!$L$35,´ÒÉÙ°ÍÒÏÅËÉ!$N$35)</c:f>
              <c:numCache>
                <c:formatCode>General</c:formatCode>
                <c:ptCount val="2"/>
                <c:pt idx="0">
                  <c:v>0</c:v>
                </c:pt>
                <c:pt idx="1">
                  <c:v>179.3150456565142</c:v>
                </c:pt>
              </c:numCache>
            </c:numRef>
          </c:yVal>
          <c:smooth val="0"/>
        </c:ser>
        <c:ser>
          <c:idx val="1"/>
          <c:order val="3"/>
          <c:spPr>
            <a:ln>
              <a:solidFill>
                <a:schemeClr val="tx1"/>
              </a:solidFill>
            </a:ln>
          </c:spPr>
          <c:marker>
            <c:symbol val="none"/>
          </c:marker>
          <c:xVal>
            <c:numRef>
              <c:f>(´ÒÉÙ°ÍÒÏÅËÉ!$K$36,´ÒÉÙ°ÍÒÏÅËÉ!$M$36)</c:f>
              <c:numCache>
                <c:formatCode>General</c:formatCode>
                <c:ptCount val="2"/>
                <c:pt idx="0">
                  <c:v>-10.458689129718989</c:v>
                </c:pt>
                <c:pt idx="1">
                  <c:v>-20.420636110636444</c:v>
                </c:pt>
              </c:numCache>
            </c:numRef>
          </c:xVal>
          <c:yVal>
            <c:numRef>
              <c:f>(´ÒÉÙ°ÍÒÏÅËÉ!$L$36,´ÒÉÙ°ÍÒÏÅËÉ!$N$36)</c:f>
              <c:numCache>
                <c:formatCode>General</c:formatCode>
                <c:ptCount val="2"/>
                <c:pt idx="0">
                  <c:v>119.54336377100947</c:v>
                </c:pt>
                <c:pt idx="1">
                  <c:v>118.67180634353288</c:v>
                </c:pt>
              </c:numCache>
            </c:numRef>
          </c:yVal>
          <c:smooth val="0"/>
        </c:ser>
        <c:ser>
          <c:idx val="2"/>
          <c:order val="4"/>
          <c:spPr>
            <a:ln w="127000" cap="sq">
              <a:solidFill>
                <a:schemeClr val="tx1"/>
              </a:solidFill>
            </a:ln>
          </c:spPr>
          <c:marker>
            <c:symbol val="none"/>
          </c:marker>
          <c:dPt>
            <c:idx val="1"/>
            <c:bubble3D val="0"/>
            <c:spPr>
              <a:ln w="127000" cap="sq">
                <a:solidFill>
                  <a:schemeClr val="tx1">
                    <a:lumMod val="65000"/>
                    <a:lumOff val="35000"/>
                  </a:schemeClr>
                </a:solidFill>
              </a:ln>
            </c:spPr>
          </c:dPt>
          <c:xVal>
            <c:numRef>
              <c:f>(´ÒÉÙ°ÍÒÏÅËÉ!$K$37,´ÒÉÙ°ÍÒÏÅËÉ!$M$37)</c:f>
              <c:numCache>
                <c:formatCode>General</c:formatCode>
                <c:ptCount val="2"/>
                <c:pt idx="0" formatCode="0.0">
                  <c:v>-27.079710328018926</c:v>
                </c:pt>
                <c:pt idx="1">
                  <c:v>-21.086543532374691</c:v>
                </c:pt>
              </c:numCache>
            </c:numRef>
          </c:xVal>
          <c:yVal>
            <c:numRef>
              <c:f>(´ÒÉÙ°ÍÒÏÅËÉ!$L$37,´ÒÉÙ°ÍÒÏÅËÉ!$N$37)</c:f>
              <c:numCache>
                <c:formatCode>General</c:formatCode>
                <c:ptCount val="2"/>
                <c:pt idx="0" formatCode="0.0">
                  <c:v>18.893769027862092</c:v>
                </c:pt>
                <c:pt idx="1">
                  <c:v>108.6940026119658</c:v>
                </c:pt>
              </c:numCache>
            </c:numRef>
          </c:yVal>
          <c:smooth val="0"/>
        </c:ser>
        <c:ser>
          <c:idx val="3"/>
          <c:order val="5"/>
          <c:spPr>
            <a:ln>
              <a:solidFill>
                <a:schemeClr val="tx1"/>
              </a:solidFill>
            </a:ln>
          </c:spPr>
          <c:marker>
            <c:symbol val="none"/>
          </c:marker>
          <c:xVal>
            <c:numRef>
              <c:f>(´ÒÉÙ°ÍÒÏÅËÉ!$K$38,´ÒÉÙ°ÍÒÏÅËÉ!$M$38)</c:f>
              <c:numCache>
                <c:formatCode>General</c:formatCode>
                <c:ptCount val="2"/>
                <c:pt idx="0">
                  <c:v>0</c:v>
                </c:pt>
                <c:pt idx="1">
                  <c:v>177.26539554219744</c:v>
                </c:pt>
              </c:numCache>
            </c:numRef>
          </c:xVal>
          <c:yVal>
            <c:numRef>
              <c:f>(´ÒÉÙ°ÍÒÏÅËÉ!$L$38,´ÒÉÙ°ÍÒÏÅËÉ!$N$38)</c:f>
              <c:numCache>
                <c:formatCode>General</c:formatCode>
                <c:ptCount val="2"/>
                <c:pt idx="0">
                  <c:v>0</c:v>
                </c:pt>
                <c:pt idx="1">
                  <c:v>-31.256671980047461</c:v>
                </c:pt>
              </c:numCache>
            </c:numRef>
          </c:yVal>
          <c:smooth val="0"/>
        </c:ser>
        <c:ser>
          <c:idx val="4"/>
          <c:order val="6"/>
          <c:spPr>
            <a:ln>
              <a:solidFill>
                <a:schemeClr val="tx1"/>
              </a:solidFill>
            </a:ln>
          </c:spPr>
          <c:marker>
            <c:symbol val="none"/>
          </c:marker>
          <c:xVal>
            <c:numRef>
              <c:f>(´ÒÉÙ°ÍÒÏÅËÉ!$K$39,´ÒÉÙ°ÍÒÏÅËÉ!$M$39)</c:f>
              <c:numCache>
                <c:formatCode>General</c:formatCode>
                <c:ptCount val="2"/>
                <c:pt idx="0">
                  <c:v>118.17693036146497</c:v>
                </c:pt>
                <c:pt idx="1">
                  <c:v>119.91341213813428</c:v>
                </c:pt>
              </c:numCache>
            </c:numRef>
          </c:xVal>
          <c:yVal>
            <c:numRef>
              <c:f>(´ÒÉÙ°ÍÒÏÅËÉ!$L$39,´ÒÉÙ°ÍÒÏÅËÉ!$N$39)</c:f>
              <c:numCache>
                <c:formatCode>General</c:formatCode>
                <c:ptCount val="2"/>
                <c:pt idx="0">
                  <c:v>-20.837781320031638</c:v>
                </c:pt>
                <c:pt idx="1">
                  <c:v>-10.989703789909559</c:v>
                </c:pt>
              </c:numCache>
            </c:numRef>
          </c:yVal>
          <c:smooth val="0"/>
        </c:ser>
        <c:ser>
          <c:idx val="5"/>
          <c:order val="7"/>
          <c:spPr>
            <a:ln w="127000" cap="sq">
              <a:solidFill>
                <a:schemeClr val="tx1">
                  <a:lumMod val="65000"/>
                  <a:lumOff val="35000"/>
                </a:schemeClr>
              </a:solidFill>
            </a:ln>
          </c:spPr>
          <c:marker>
            <c:symbol val="none"/>
          </c:marker>
          <c:xVal>
            <c:numRef>
              <c:f>(´ÒÉÙ°ÍÒÏÅËÉ!$K$40,´ÒÉÙ°ÍÒÏÅËÉ!$M$40)</c:f>
              <c:numCache>
                <c:formatCode>General</c:formatCode>
                <c:ptCount val="2"/>
                <c:pt idx="0" formatCode="0.0">
                  <c:v>-27.079710328018926</c:v>
                </c:pt>
                <c:pt idx="1">
                  <c:v>61.116163151673</c:v>
                </c:pt>
              </c:numCache>
            </c:numRef>
          </c:xVal>
          <c:yVal>
            <c:numRef>
              <c:f>(´ÒÉÙ°ÍÒÏÅËÉ!$L$40,´ÒÉÙ°ÍÒÏÅËÉ!$N$40)</c:f>
              <c:numCache>
                <c:formatCode>General</c:formatCode>
                <c:ptCount val="2"/>
                <c:pt idx="0" formatCode="0.0">
                  <c:v>18.893769027862092</c:v>
                </c:pt>
                <c:pt idx="1">
                  <c:v>0.96368533719910232</c:v>
                </c:pt>
              </c:numCache>
            </c:numRef>
          </c:yVal>
          <c:smooth val="0"/>
        </c:ser>
        <c:ser>
          <c:idx val="6"/>
          <c:order val="8"/>
          <c:marker>
            <c:symbol val="circle"/>
            <c:size val="13"/>
            <c:spPr>
              <a:ln>
                <a:noFill/>
              </a:ln>
            </c:spPr>
          </c:marker>
          <c:dPt>
            <c:idx val="0"/>
            <c:marker>
              <c:spPr>
                <a:solidFill>
                  <a:schemeClr val="tx1"/>
                </a:solidFill>
                <a:ln>
                  <a:noFill/>
                </a:ln>
              </c:spPr>
            </c:marker>
            <c:bubble3D val="0"/>
          </c:dPt>
          <c:xVal>
            <c:numRef>
              <c:f>´ÒÉÙ°ÍÒÏÅËÉ!$K$35</c:f>
              <c:numCache>
                <c:formatCode>General</c:formatCode>
                <c:ptCount val="1"/>
                <c:pt idx="0">
                  <c:v>0</c:v>
                </c:pt>
              </c:numCache>
            </c:numRef>
          </c:xVal>
          <c:yVal>
            <c:numRef>
              <c:f>´ÒÉÙ°ÍÒÏÅËÉ!$L$35</c:f>
              <c:numCache>
                <c:formatCode>General</c:formatCode>
                <c:ptCount val="1"/>
                <c:pt idx="0">
                  <c:v>0</c:v>
                </c:pt>
              </c:numCache>
            </c:numRef>
          </c:yVal>
          <c:smooth val="0"/>
        </c:ser>
        <c:ser>
          <c:idx val="14"/>
          <c:order val="9"/>
          <c:spPr>
            <a:ln w="60325">
              <a:solidFill>
                <a:schemeClr val="tx1">
                  <a:lumMod val="65000"/>
                  <a:lumOff val="35000"/>
                </a:schemeClr>
              </a:solidFill>
            </a:ln>
          </c:spPr>
          <c:marker>
            <c:symbol val="none"/>
          </c:marker>
          <c:xVal>
            <c:numRef>
              <c:f>(´ÒÉÙ°ÍÒÏÅËÉ!$M$37,´ÒÉÙ°ÍÒÏÅËÉ!$M$36)</c:f>
              <c:numCache>
                <c:formatCode>General</c:formatCode>
                <c:ptCount val="2"/>
                <c:pt idx="0">
                  <c:v>-21.086543532374691</c:v>
                </c:pt>
                <c:pt idx="1">
                  <c:v>-20.420636110636444</c:v>
                </c:pt>
              </c:numCache>
            </c:numRef>
          </c:xVal>
          <c:yVal>
            <c:numRef>
              <c:f>(´ÒÉÙ°ÍÒÏÅËÉ!$N$37,´ÒÉÙ°ÍÒÏÅËÉ!$N$36)</c:f>
              <c:numCache>
                <c:formatCode>General</c:formatCode>
                <c:ptCount val="2"/>
                <c:pt idx="0">
                  <c:v>108.6940026119658</c:v>
                </c:pt>
                <c:pt idx="1">
                  <c:v>118.67180634353288</c:v>
                </c:pt>
              </c:numCache>
            </c:numRef>
          </c:yVal>
          <c:smooth val="0"/>
        </c:ser>
        <c:ser>
          <c:idx val="7"/>
          <c:order val="10"/>
          <c:spPr>
            <a:ln>
              <a:solidFill>
                <a:schemeClr val="tx1"/>
              </a:solidFill>
            </a:ln>
          </c:spPr>
          <c:marker>
            <c:symbol val="circle"/>
            <c:size val="13"/>
            <c:spPr>
              <a:solidFill>
                <a:schemeClr val="tx1"/>
              </a:solidFill>
              <a:ln>
                <a:noFill/>
              </a:ln>
            </c:spPr>
          </c:marker>
          <c:xVal>
            <c:numRef>
              <c:f>´ÒÉÙ°ÍÒÏÅËÉ!$P$37</c:f>
              <c:numCache>
                <c:formatCode>0.0</c:formatCode>
                <c:ptCount val="1"/>
                <c:pt idx="0">
                  <c:v>-27.079710328018926</c:v>
                </c:pt>
              </c:numCache>
            </c:numRef>
          </c:xVal>
          <c:yVal>
            <c:numRef>
              <c:f>´ÒÉÙ°ÍÒÏÅËÉ!$Q$37</c:f>
              <c:numCache>
                <c:formatCode>0.0</c:formatCode>
                <c:ptCount val="1"/>
                <c:pt idx="0">
                  <c:v>18.893769027862092</c:v>
                </c:pt>
              </c:numCache>
            </c:numRef>
          </c:yVal>
          <c:smooth val="0"/>
        </c:ser>
        <c:ser>
          <c:idx val="8"/>
          <c:order val="11"/>
          <c:marker>
            <c:symbol val="circle"/>
            <c:size val="9"/>
          </c:marker>
          <c:dPt>
            <c:idx val="0"/>
            <c:marker>
              <c:spPr>
                <a:solidFill>
                  <a:schemeClr val="tx1"/>
                </a:solidFill>
                <a:ln>
                  <a:noFill/>
                </a:ln>
              </c:spPr>
            </c:marker>
            <c:bubble3D val="0"/>
          </c:dPt>
          <c:xVal>
            <c:numRef>
              <c:f>´ÒÉÙ°ÍÒÏÅËÉ!$M$36</c:f>
              <c:numCache>
                <c:formatCode>General</c:formatCode>
                <c:ptCount val="1"/>
                <c:pt idx="0">
                  <c:v>-20.420636110636444</c:v>
                </c:pt>
              </c:numCache>
            </c:numRef>
          </c:xVal>
          <c:yVal>
            <c:numRef>
              <c:f>´ÒÉÙ°ÍÒÏÅËÉ!$N$36</c:f>
              <c:numCache>
                <c:formatCode>General</c:formatCode>
                <c:ptCount val="1"/>
                <c:pt idx="0">
                  <c:v>118.67180634353288</c:v>
                </c:pt>
              </c:numCache>
            </c:numRef>
          </c:yVal>
          <c:smooth val="0"/>
        </c:ser>
        <c:ser>
          <c:idx val="13"/>
          <c:order val="12"/>
          <c:spPr>
            <a:ln w="60325">
              <a:solidFill>
                <a:schemeClr val="tx1">
                  <a:lumMod val="65000"/>
                  <a:lumOff val="35000"/>
                </a:schemeClr>
              </a:solidFill>
            </a:ln>
          </c:spPr>
          <c:marker>
            <c:symbol val="none"/>
          </c:marker>
          <c:xVal>
            <c:numRef>
              <c:f>(´ÒÉÙ°ÍÒÏÅËÉ!$M$40,´ÒÉÙ°ÍÒÏÅËÉ!$M$39)</c:f>
              <c:numCache>
                <c:formatCode>General</c:formatCode>
                <c:ptCount val="2"/>
                <c:pt idx="0">
                  <c:v>61.116163151673</c:v>
                </c:pt>
                <c:pt idx="1">
                  <c:v>119.91341213813428</c:v>
                </c:pt>
              </c:numCache>
            </c:numRef>
          </c:xVal>
          <c:yVal>
            <c:numRef>
              <c:f>(´ÒÉÙ°ÍÒÏÅËÉ!$N$40,´ÒÉÙ°ÍÒÏÅËÉ!$N$39)</c:f>
              <c:numCache>
                <c:formatCode>General</c:formatCode>
                <c:ptCount val="2"/>
                <c:pt idx="0">
                  <c:v>0.96368533719910232</c:v>
                </c:pt>
                <c:pt idx="1">
                  <c:v>-10.989703789909559</c:v>
                </c:pt>
              </c:numCache>
            </c:numRef>
          </c:yVal>
          <c:smooth val="0"/>
        </c:ser>
        <c:ser>
          <c:idx val="9"/>
          <c:order val="13"/>
          <c:marker>
            <c:symbol val="circle"/>
            <c:size val="9"/>
            <c:spPr>
              <a:ln>
                <a:noFill/>
              </a:ln>
            </c:spPr>
          </c:marker>
          <c:dPt>
            <c:idx val="0"/>
            <c:marker>
              <c:spPr>
                <a:solidFill>
                  <a:schemeClr val="tx1"/>
                </a:solidFill>
                <a:ln>
                  <a:noFill/>
                </a:ln>
              </c:spPr>
            </c:marker>
            <c:bubble3D val="0"/>
          </c:dPt>
          <c:xVal>
            <c:numRef>
              <c:f>´ÒÉÙ°ÍÒÏÅËÉ!$M$39</c:f>
              <c:numCache>
                <c:formatCode>General</c:formatCode>
                <c:ptCount val="1"/>
                <c:pt idx="0">
                  <c:v>119.91341213813428</c:v>
                </c:pt>
              </c:numCache>
            </c:numRef>
          </c:xVal>
          <c:yVal>
            <c:numRef>
              <c:f>´ÒÉÙ°ÍÒÏÅËÉ!$N$39</c:f>
              <c:numCache>
                <c:formatCode>General</c:formatCode>
                <c:ptCount val="1"/>
                <c:pt idx="0">
                  <c:v>-10.989703789909559</c:v>
                </c:pt>
              </c:numCache>
            </c:numRef>
          </c:yVal>
          <c:smooth val="0"/>
        </c:ser>
        <c:ser>
          <c:idx val="12"/>
          <c:order val="14"/>
          <c:marker>
            <c:symbol val="none"/>
          </c:marker>
          <c:xVal>
            <c:numRef>
              <c:f>´ÒÉÙ°ÍÒÏÅËÉ!$M$41</c:f>
              <c:numCache>
                <c:formatCode>General</c:formatCode>
                <c:ptCount val="1"/>
                <c:pt idx="0">
                  <c:v>197.24655022216564</c:v>
                </c:pt>
              </c:numCache>
            </c:numRef>
          </c:xVal>
          <c:yVal>
            <c:numRef>
              <c:f>´ÒÉÙ°ÍÒÏÅËÉ!$M$41</c:f>
              <c:numCache>
                <c:formatCode>General</c:formatCode>
                <c:ptCount val="1"/>
                <c:pt idx="0">
                  <c:v>197.24655022216564</c:v>
                </c:pt>
              </c:numCache>
            </c:numRef>
          </c:yVal>
          <c:smooth val="0"/>
        </c:ser>
        <c:dLbls>
          <c:showLegendKey val="0"/>
          <c:showVal val="0"/>
          <c:showCatName val="0"/>
          <c:showSerName val="0"/>
          <c:showPercent val="0"/>
          <c:showBubbleSize val="0"/>
        </c:dLbls>
        <c:axId val="119856128"/>
        <c:axId val="119862016"/>
      </c:scatterChart>
      <c:valAx>
        <c:axId val="119856128"/>
        <c:scaling>
          <c:orientation val="minMax"/>
        </c:scaling>
        <c:delete val="1"/>
        <c:axPos val="b"/>
        <c:numFmt formatCode="General" sourceLinked="1"/>
        <c:majorTickMark val="out"/>
        <c:minorTickMark val="none"/>
        <c:tickLblPos val="nextTo"/>
        <c:crossAx val="119862016"/>
        <c:crosses val="autoZero"/>
        <c:crossBetween val="midCat"/>
      </c:valAx>
      <c:valAx>
        <c:axId val="119862016"/>
        <c:scaling>
          <c:orientation val="minMax"/>
        </c:scaling>
        <c:delete val="1"/>
        <c:axPos val="l"/>
        <c:numFmt formatCode="General" sourceLinked="1"/>
        <c:majorTickMark val="out"/>
        <c:minorTickMark val="none"/>
        <c:tickLblPos val="nextTo"/>
        <c:crossAx val="119856128"/>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CheckBox" fmlaLink="$B$4" lockText="1" noThreeD="1"/>
</file>

<file path=xl/ctrlProps/ctrlProp13.xml><?xml version="1.0" encoding="utf-8"?>
<formControlPr xmlns="http://schemas.microsoft.com/office/spreadsheetml/2009/9/main" objectType="CheckBox" fmlaLink="$B$4" lockText="1" noThreeD="1"/>
</file>

<file path=xl/ctrlProps/ctrlProp14.xml><?xml version="1.0" encoding="utf-8"?>
<formControlPr xmlns="http://schemas.microsoft.com/office/spreadsheetml/2009/9/main" objectType="CheckBox" fmlaLink="$B$4" lockText="1" noThreeD="1"/>
</file>

<file path=xl/ctrlProps/ctrlProp15.xml><?xml version="1.0" encoding="utf-8"?>
<formControlPr xmlns="http://schemas.microsoft.com/office/spreadsheetml/2009/9/main" objectType="CheckBox" fmlaLink="$D$23" lockText="1" noThreeD="1"/>
</file>

<file path=xl/ctrlProps/ctrlProp16.xml><?xml version="1.0" encoding="utf-8"?>
<formControlPr xmlns="http://schemas.microsoft.com/office/spreadsheetml/2009/9/main" objectType="CheckBox" fmlaLink="$D$24" lockText="1" noThreeD="1"/>
</file>

<file path=xl/ctrlProps/ctrlProp17.xml><?xml version="1.0" encoding="utf-8"?>
<formControlPr xmlns="http://schemas.microsoft.com/office/spreadsheetml/2009/9/main" objectType="CheckBox" fmlaLink="$B$4" lockText="1" noThreeD="1"/>
</file>

<file path=xl/ctrlProps/ctrlProp18.xml><?xml version="1.0" encoding="utf-8"?>
<formControlPr xmlns="http://schemas.microsoft.com/office/spreadsheetml/2009/9/main" objectType="CheckBox" checked="Checked" fmlaLink="$B$4" lockText="1" noThreeD="1"/>
</file>

<file path=xl/ctrlProps/ctrlProp19.xml><?xml version="1.0" encoding="utf-8"?>
<formControlPr xmlns="http://schemas.microsoft.com/office/spreadsheetml/2009/9/main" objectType="CheckBox" checked="Checked" fmlaLink="$B$4" lockText="1" noThreeD="1"/>
</file>

<file path=xl/ctrlProps/ctrlProp20.xml><?xml version="1.0" encoding="utf-8"?>
<formControlPr xmlns="http://schemas.microsoft.com/office/spreadsheetml/2009/9/main" objectType="CheckBox" checked="Checked" fmlaLink="$B$4" lockText="1" noThreeD="1"/>
</file>

<file path=xl/ctrlProps/ctrlProp21.xml><?xml version="1.0" encoding="utf-8"?>
<formControlPr xmlns="http://schemas.microsoft.com/office/spreadsheetml/2009/9/main" objectType="CheckBox" fmlaLink="$B$4" lockText="1" noThreeD="1"/>
</file>

<file path=xl/ctrlProps/ctrlProp22.xml><?xml version="1.0" encoding="utf-8"?>
<formControlPr xmlns="http://schemas.microsoft.com/office/spreadsheetml/2009/9/main" objectType="CheckBox" fmlaLink="$B$4" lockText="1" noThreeD="1"/>
</file>

<file path=xl/ctrlProps/ctrlProp23.xml><?xml version="1.0" encoding="utf-8"?>
<formControlPr xmlns="http://schemas.microsoft.com/office/spreadsheetml/2009/9/main" objectType="CheckBox" checked="Checked" fmlaLink="M3" lockText="1" noThreeD="1"/>
</file>

<file path=xl/ctrlProps/ctrlProp24.xml><?xml version="1.0" encoding="utf-8"?>
<formControlPr xmlns="http://schemas.microsoft.com/office/spreadsheetml/2009/9/main" objectType="CheckBox" checked="Checked" fmlaLink="O3" lockText="1" noThreeD="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6.JPG"/></Relationships>
</file>

<file path=xl/drawings/_rels/vmlDrawing5.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11</xdr:row>
          <xdr:rowOff>0</xdr:rowOff>
        </xdr:from>
        <xdr:to>
          <xdr:col>5</xdr:col>
          <xdr:colOff>0</xdr:colOff>
          <xdr:row>14</xdr:row>
          <xdr:rowOff>0</xdr:rowOff>
        </xdr:to>
        <xdr:sp macro="" textlink="">
          <xdr:nvSpPr>
            <xdr:cNvPr id="16385" name="Button 1" hidden="1">
              <a:extLst>
                <a:ext uri="{63B3BB69-23CF-44E3-9099-C40C66FF867C}">
                  <a14:compatExt spid="_x0000_s16385"/>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15</xdr:row>
          <xdr:rowOff>0</xdr:rowOff>
        </xdr:from>
        <xdr:to>
          <xdr:col>5</xdr:col>
          <xdr:colOff>0</xdr:colOff>
          <xdr:row>17</xdr:row>
          <xdr:rowOff>0</xdr:rowOff>
        </xdr:to>
        <xdr:sp macro="" textlink="">
          <xdr:nvSpPr>
            <xdr:cNvPr id="16386" name="Button 2" hidden="1">
              <a:extLst>
                <a:ext uri="{63B3BB69-23CF-44E3-9099-C40C66FF867C}">
                  <a14:compatExt spid="_x0000_s1638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18</xdr:row>
          <xdr:rowOff>0</xdr:rowOff>
        </xdr:from>
        <xdr:to>
          <xdr:col>5</xdr:col>
          <xdr:colOff>0</xdr:colOff>
          <xdr:row>20</xdr:row>
          <xdr:rowOff>0</xdr:rowOff>
        </xdr:to>
        <xdr:sp macro="" textlink="">
          <xdr:nvSpPr>
            <xdr:cNvPr id="16387" name="Button 3" hidden="1">
              <a:extLst>
                <a:ext uri="{63B3BB69-23CF-44E3-9099-C40C66FF867C}">
                  <a14:compatExt spid="_x0000_s16387"/>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21</xdr:row>
          <xdr:rowOff>0</xdr:rowOff>
        </xdr:from>
        <xdr:to>
          <xdr:col>5</xdr:col>
          <xdr:colOff>0</xdr:colOff>
          <xdr:row>23</xdr:row>
          <xdr:rowOff>0</xdr:rowOff>
        </xdr:to>
        <xdr:sp macro="" textlink="">
          <xdr:nvSpPr>
            <xdr:cNvPr id="16388" name="Button 4" hidden="1">
              <a:extLst>
                <a:ext uri="{63B3BB69-23CF-44E3-9099-C40C66FF867C}">
                  <a14:compatExt spid="_x0000_s16388"/>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24</xdr:row>
          <xdr:rowOff>0</xdr:rowOff>
        </xdr:from>
        <xdr:to>
          <xdr:col>5</xdr:col>
          <xdr:colOff>0</xdr:colOff>
          <xdr:row>26</xdr:row>
          <xdr:rowOff>0</xdr:rowOff>
        </xdr:to>
        <xdr:sp macro="" textlink="">
          <xdr:nvSpPr>
            <xdr:cNvPr id="16389" name="Button 5" hidden="1">
              <a:extLst>
                <a:ext uri="{63B3BB69-23CF-44E3-9099-C40C66FF867C}">
                  <a14:compatExt spid="_x0000_s16389"/>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27</xdr:row>
          <xdr:rowOff>0</xdr:rowOff>
        </xdr:from>
        <xdr:to>
          <xdr:col>5</xdr:col>
          <xdr:colOff>0</xdr:colOff>
          <xdr:row>29</xdr:row>
          <xdr:rowOff>0</xdr:rowOff>
        </xdr:to>
        <xdr:sp macro="" textlink="">
          <xdr:nvSpPr>
            <xdr:cNvPr id="16390" name="Button 6" hidden="1">
              <a:extLst>
                <a:ext uri="{63B3BB69-23CF-44E3-9099-C40C66FF867C}">
                  <a14:compatExt spid="_x0000_s16390"/>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30</xdr:row>
          <xdr:rowOff>0</xdr:rowOff>
        </xdr:from>
        <xdr:to>
          <xdr:col>5</xdr:col>
          <xdr:colOff>0</xdr:colOff>
          <xdr:row>32</xdr:row>
          <xdr:rowOff>0</xdr:rowOff>
        </xdr:to>
        <xdr:sp macro="" textlink="">
          <xdr:nvSpPr>
            <xdr:cNvPr id="16391" name="Button 7" hidden="1">
              <a:extLst>
                <a:ext uri="{63B3BB69-23CF-44E3-9099-C40C66FF867C}">
                  <a14:compatExt spid="_x0000_s16391"/>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33</xdr:row>
          <xdr:rowOff>0</xdr:rowOff>
        </xdr:from>
        <xdr:to>
          <xdr:col>5</xdr:col>
          <xdr:colOff>0</xdr:colOff>
          <xdr:row>35</xdr:row>
          <xdr:rowOff>0</xdr:rowOff>
        </xdr:to>
        <xdr:sp macro="" textlink="">
          <xdr:nvSpPr>
            <xdr:cNvPr id="16392" name="Button 8" hidden="1">
              <a:extLst>
                <a:ext uri="{63B3BB69-23CF-44E3-9099-C40C66FF867C}">
                  <a14:compatExt spid="_x0000_s16392"/>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36</xdr:row>
          <xdr:rowOff>0</xdr:rowOff>
        </xdr:from>
        <xdr:to>
          <xdr:col>5</xdr:col>
          <xdr:colOff>0</xdr:colOff>
          <xdr:row>38</xdr:row>
          <xdr:rowOff>0</xdr:rowOff>
        </xdr:to>
        <xdr:sp macro="" textlink="">
          <xdr:nvSpPr>
            <xdr:cNvPr id="16393" name="Button 9" hidden="1">
              <a:extLst>
                <a:ext uri="{63B3BB69-23CF-44E3-9099-C40C66FF867C}">
                  <a14:compatExt spid="_x0000_s16393"/>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39</xdr:row>
          <xdr:rowOff>0</xdr:rowOff>
        </xdr:from>
        <xdr:to>
          <xdr:col>5</xdr:col>
          <xdr:colOff>0</xdr:colOff>
          <xdr:row>41</xdr:row>
          <xdr:rowOff>0</xdr:rowOff>
        </xdr:to>
        <xdr:sp macro="" textlink="">
          <xdr:nvSpPr>
            <xdr:cNvPr id="16394" name="Button 10" hidden="1">
              <a:extLst>
                <a:ext uri="{63B3BB69-23CF-44E3-9099-C40C66FF867C}">
                  <a14:compatExt spid="_x0000_s16394"/>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5</xdr:row>
          <xdr:rowOff>180975</xdr:rowOff>
        </xdr:from>
        <xdr:to>
          <xdr:col>7</xdr:col>
          <xdr:colOff>514350</xdr:colOff>
          <xdr:row>9</xdr:row>
          <xdr:rowOff>180975</xdr:rowOff>
        </xdr:to>
        <xdr:sp macro="" textlink="">
          <xdr:nvSpPr>
            <xdr:cNvPr id="16395" name="Button 11" hidden="1">
              <a:extLst>
                <a:ext uri="{63B3BB69-23CF-44E3-9099-C40C66FF867C}">
                  <a14:compatExt spid="_x0000_s1639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Calibri"/>
                </a:rPr>
                <a:t>ADD ALL</a:t>
              </a:r>
            </a:p>
            <a:p>
              <a:pPr algn="ctr" rtl="0">
                <a:defRPr sz="1000"/>
              </a:pPr>
              <a:r>
                <a:rPr lang="en-US" sz="2000" b="1" i="0" u="none" strike="noStrike" baseline="0">
                  <a:solidFill>
                    <a:srgbClr val="000000"/>
                  </a:solidFill>
                  <a:latin typeface="Calibri"/>
                </a:rPr>
                <a:t>WORKSHEETS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2</xdr:col>
          <xdr:colOff>9525</xdr:colOff>
          <xdr:row>4</xdr:row>
          <xdr:rowOff>9525</xdr:rowOff>
        </xdr:to>
        <xdr:sp macro="" textlink="">
          <xdr:nvSpPr>
            <xdr:cNvPr id="1025" name="Metric" hidden="1">
              <a:extLst>
                <a:ext uri="{63B3BB69-23CF-44E3-9099-C40C66FF867C}">
                  <a14:compatExt spid="_x0000_s1025"/>
                </a:ext>
              </a:extLst>
            </xdr:cNvPr>
            <xdr:cNvSpPr/>
          </xdr:nvSpPr>
          <xdr:spPr>
            <a:xfrm>
              <a:off x="0" y="0"/>
              <a:ext cx="0" cy="0"/>
            </a:xfrm>
            <a:prstGeom prst="rect">
              <a:avLst/>
            </a:prstGeom>
          </xdr:spPr>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3073" name="Metric" hidden="1">
              <a:extLst>
                <a:ext uri="{63B3BB69-23CF-44E3-9099-C40C66FF867C}">
                  <a14:compatExt spid="_x0000_s3073"/>
                </a:ext>
              </a:extLst>
            </xdr:cNvPr>
            <xdr:cNvSpPr/>
          </xdr:nvSpPr>
          <xdr:spPr>
            <a:xfrm>
              <a:off x="0" y="0"/>
              <a:ext cx="0" cy="0"/>
            </a:xfrm>
            <a:prstGeom prst="rect">
              <a:avLst/>
            </a:prstGeom>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171450</xdr:rowOff>
        </xdr:from>
        <xdr:to>
          <xdr:col>2</xdr:col>
          <xdr:colOff>9525</xdr:colOff>
          <xdr:row>4</xdr:row>
          <xdr:rowOff>0</xdr:rowOff>
        </xdr:to>
        <xdr:sp macro="" textlink="">
          <xdr:nvSpPr>
            <xdr:cNvPr id="5121" name="Metric" hidden="1">
              <a:extLst>
                <a:ext uri="{63B3BB69-23CF-44E3-9099-C40C66FF867C}">
                  <a14:compatExt spid="_x0000_s512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180975</xdr:rowOff>
        </xdr:from>
        <xdr:to>
          <xdr:col>3</xdr:col>
          <xdr:colOff>228600</xdr:colOff>
          <xdr:row>22</xdr:row>
          <xdr:rowOff>180975</xdr:rowOff>
        </xdr:to>
        <xdr:sp macro="" textlink="">
          <xdr:nvSpPr>
            <xdr:cNvPr id="5126" name="Shifting" hidden="1">
              <a:extLst>
                <a:ext uri="{63B3BB69-23CF-44E3-9099-C40C66FF867C}">
                  <a14:compatExt spid="_x0000_s51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180975</xdr:rowOff>
        </xdr:from>
        <xdr:to>
          <xdr:col>3</xdr:col>
          <xdr:colOff>228600</xdr:colOff>
          <xdr:row>23</xdr:row>
          <xdr:rowOff>180975</xdr:rowOff>
        </xdr:to>
        <xdr:sp macro="" textlink="">
          <xdr:nvSpPr>
            <xdr:cNvPr id="5127" name="2Wheels" hidden="1">
              <a:extLst>
                <a:ext uri="{63B3BB69-23CF-44E3-9099-C40C66FF867C}">
                  <a14:compatExt spid="_x0000_s5127"/>
                </a:ext>
              </a:extLst>
            </xdr:cNvPr>
            <xdr:cNvSpPr/>
          </xdr:nvSpPr>
          <xdr:spPr>
            <a:xfrm>
              <a:off x="0" y="0"/>
              <a:ext cx="0" cy="0"/>
            </a:xfrm>
            <a:prstGeom prst="rect">
              <a:avLst/>
            </a:prstGeom>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6145" name="Metric" hidden="1">
              <a:extLst>
                <a:ext uri="{63B3BB69-23CF-44E3-9099-C40C66FF867C}">
                  <a14:compatExt spid="_x0000_s6145"/>
                </a:ext>
              </a:extLst>
            </xdr:cNvPr>
            <xdr:cNvSpPr/>
          </xdr:nvSpPr>
          <xdr:spPr>
            <a:xfrm>
              <a:off x="0" y="0"/>
              <a:ext cx="0" cy="0"/>
            </a:xfrm>
            <a:prstGeom prst="rect">
              <a:avLst/>
            </a:prstGeom>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7169" name="Metric" hidden="1">
              <a:extLst>
                <a:ext uri="{63B3BB69-23CF-44E3-9099-C40C66FF867C}">
                  <a14:compatExt spid="_x0000_s7169"/>
                </a:ext>
              </a:extLst>
            </xdr:cNvPr>
            <xdr:cNvSpPr/>
          </xdr:nvSpPr>
          <xdr:spPr>
            <a:xfrm>
              <a:off x="0" y="0"/>
              <a:ext cx="0" cy="0"/>
            </a:xfrm>
            <a:prstGeom prst="rect">
              <a:avLst/>
            </a:prstGeom>
          </xdr:spPr>
        </xdr:sp>
        <xdr:clientData fLocksWithSheet="0"/>
      </xdr:twoCellAnchor>
    </mc:Choice>
    <mc:Fallback/>
  </mc:AlternateContent>
  <xdr:twoCellAnchor>
    <xdr:from>
      <xdr:col>7</xdr:col>
      <xdr:colOff>609598</xdr:colOff>
      <xdr:row>5</xdr:row>
      <xdr:rowOff>238124</xdr:rowOff>
    </xdr:from>
    <xdr:to>
      <xdr:col>16</xdr:col>
      <xdr:colOff>200023</xdr:colOff>
      <xdr:row>29</xdr:row>
      <xdr:rowOff>190499</xdr:rowOff>
    </xdr:to>
    <xdr:graphicFrame macro="">
      <xdr:nvGraphicFramePr>
        <xdr:cNvPr id="2" name="Chart 1">
          <a:extLst>
            <a:ext uri="{FF2B5EF4-FFF2-40B4-BE49-F238E27FC236}">
              <a16:creationId xmlns:a16="http://schemas.microsoft.com/office/drawing/2014/main" xmlns=""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9217" name="Metric" hidden="1">
              <a:extLst>
                <a:ext uri="{63B3BB69-23CF-44E3-9099-C40C66FF867C}">
                  <a14:compatExt spid="_x0000_s9217"/>
                </a:ext>
              </a:extLst>
            </xdr:cNvPr>
            <xdr:cNvSpPr/>
          </xdr:nvSpPr>
          <xdr:spPr>
            <a:xfrm>
              <a:off x="0" y="0"/>
              <a:ext cx="0" cy="0"/>
            </a:xfrm>
            <a:prstGeom prst="rect">
              <a:avLst/>
            </a:prstGeom>
          </xdr:spPr>
        </xdr:sp>
        <xdr:clientData fLock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0241" name="Metric" hidden="1">
              <a:extLst>
                <a:ext uri="{63B3BB69-23CF-44E3-9099-C40C66FF867C}">
                  <a14:compatExt spid="_x0000_s10241"/>
                </a:ext>
              </a:extLst>
            </xdr:cNvPr>
            <xdr:cNvSpPr/>
          </xdr:nvSpPr>
          <xdr:spPr>
            <a:xfrm>
              <a:off x="0" y="0"/>
              <a:ext cx="0" cy="0"/>
            </a:xfrm>
            <a:prstGeom prst="rect">
              <a:avLst/>
            </a:prstGeom>
          </xdr:spPr>
        </xdr:sp>
        <xdr:clientData fLocksWithSheet="0"/>
      </xdr:twoCellAnchor>
    </mc:Choice>
    <mc:Fallback/>
  </mc:AlternateContent>
  <xdr:twoCellAnchor editAs="oneCell">
    <xdr:from>
      <xdr:col>5</xdr:col>
      <xdr:colOff>0</xdr:colOff>
      <xdr:row>12</xdr:row>
      <xdr:rowOff>133350</xdr:rowOff>
    </xdr:from>
    <xdr:to>
      <xdr:col>8</xdr:col>
      <xdr:colOff>482882</xdr:colOff>
      <xdr:row>33</xdr:row>
      <xdr:rowOff>133350</xdr:rowOff>
    </xdr:to>
    <xdr:pic>
      <xdr:nvPicPr>
        <xdr:cNvPr id="3" name="Picture 2">
          <a:extLst>
            <a:ext uri="{FF2B5EF4-FFF2-40B4-BE49-F238E27FC236}">
              <a16:creationId xmlns:a16="http://schemas.microsoft.com/office/drawing/2014/main" xmlns=""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52775" y="2676525"/>
          <a:ext cx="2997482" cy="4000500"/>
        </a:xfrm>
        <a:prstGeom prst="rect">
          <a:avLst/>
        </a:prstGeom>
        <a:ln w="19050">
          <a:solidFill>
            <a:sysClr val="windowText" lastClr="000000"/>
          </a:solidFill>
        </a:ln>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2289" name="Metric" hidden="1">
              <a:extLst>
                <a:ext uri="{63B3BB69-23CF-44E3-9099-C40C66FF867C}">
                  <a14:compatExt spid="_x0000_s12289"/>
                </a:ext>
              </a:extLst>
            </xdr:cNvPr>
            <xdr:cNvSpPr/>
          </xdr:nvSpPr>
          <xdr:spPr>
            <a:xfrm>
              <a:off x="0" y="0"/>
              <a:ext cx="0" cy="0"/>
            </a:xfrm>
            <a:prstGeom prst="rect">
              <a:avLst/>
            </a:prstGeom>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4337" name="Metric" hidden="1">
              <a:extLst>
                <a:ext uri="{63B3BB69-23CF-44E3-9099-C40C66FF867C}">
                  <a14:compatExt spid="_x0000_s14337"/>
                </a:ext>
              </a:extLst>
            </xdr:cNvPr>
            <xdr:cNvSpPr/>
          </xdr:nvSpPr>
          <xdr:spPr>
            <a:xfrm>
              <a:off x="0" y="0"/>
              <a:ext cx="0" cy="0"/>
            </a:xfrm>
            <a:prstGeom prst="rect">
              <a:avLst/>
            </a:prstGeom>
          </xdr:spPr>
        </xdr:sp>
        <xdr:clientData fLocksWithSheet="0"/>
      </xdr:twoCellAnchor>
    </mc:Choice>
    <mc:Fallback/>
  </mc:AlternateContent>
  <xdr:twoCellAnchor>
    <xdr:from>
      <xdr:col>1</xdr:col>
      <xdr:colOff>219074</xdr:colOff>
      <xdr:row>17</xdr:row>
      <xdr:rowOff>0</xdr:rowOff>
    </xdr:from>
    <xdr:to>
      <xdr:col>10</xdr:col>
      <xdr:colOff>723899</xdr:colOff>
      <xdr:row>38</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9525</xdr:colOff>
      <xdr:row>14</xdr:row>
      <xdr:rowOff>9127</xdr:rowOff>
    </xdr:from>
    <xdr:to>
      <xdr:col>8</xdr:col>
      <xdr:colOff>1276350</xdr:colOff>
      <xdr:row>34</xdr:row>
      <xdr:rowOff>129920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04850" y="2933302"/>
          <a:ext cx="5391150" cy="3930793"/>
        </a:xfrm>
        <a:prstGeom prst="rect">
          <a:avLst/>
        </a:prstGeom>
      </xdr:spPr>
    </xdr:pic>
    <xdr:clientData/>
  </xdr:twoCellAnchor>
  <xdr:twoCellAnchor>
    <xdr:from>
      <xdr:col>10</xdr:col>
      <xdr:colOff>0</xdr:colOff>
      <xdr:row>3</xdr:row>
      <xdr:rowOff>0</xdr:rowOff>
    </xdr:from>
    <xdr:to>
      <xdr:col>18</xdr:col>
      <xdr:colOff>123825</xdr:colOff>
      <xdr:row>29</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9525</xdr:rowOff>
        </xdr:from>
        <xdr:to>
          <xdr:col>13</xdr:col>
          <xdr:colOff>409575</xdr:colOff>
          <xdr:row>2</xdr:row>
          <xdr:rowOff>180975</xdr:rowOff>
        </xdr:to>
        <xdr:sp macro="" textlink="">
          <xdr:nvSpPr>
            <xdr:cNvPr id="26626" name="Check Box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Retracted?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409575</xdr:colOff>
          <xdr:row>2</xdr:row>
          <xdr:rowOff>9525</xdr:rowOff>
        </xdr:from>
        <xdr:to>
          <xdr:col>15</xdr:col>
          <xdr:colOff>209550</xdr:colOff>
          <xdr:row>2</xdr:row>
          <xdr:rowOff>180975</xdr:rowOff>
        </xdr:to>
        <xdr:sp macro="" textlink="">
          <xdr:nvSpPr>
            <xdr:cNvPr id="26627" name="Check Box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Extended?</a:t>
              </a:r>
            </a:p>
          </xdr:txBody>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MB%20Design%20Spreadsheet%20v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ME"/>
      <sheetName val="MechanismRatio"/>
      <sheetName val="Leadscrew"/>
      <sheetName val="Drivetrain"/>
      <sheetName val="SprintDistance"/>
      <sheetName val="BeamBend"/>
      <sheetName val="Projectile"/>
      <sheetName val="ChainBelt"/>
      <sheetName val="Gears"/>
      <sheetName val="Pneumatics"/>
      <sheetName val="PneuLinkage"/>
      <sheetName val="UsefulValu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ow r="5">
          <cell r="H5" t="str">
            <v>CIM</v>
          </cell>
        </row>
        <row r="6">
          <cell r="H6" t="str">
            <v>Mini CIM</v>
          </cell>
        </row>
        <row r="7">
          <cell r="H7" t="str">
            <v>BAG Motor</v>
          </cell>
        </row>
        <row r="8">
          <cell r="H8" t="str">
            <v>775pro/Redline</v>
          </cell>
        </row>
        <row r="9">
          <cell r="H9" t="str">
            <v>NEO</v>
          </cell>
        </row>
        <row r="10">
          <cell r="H10" t="str">
            <v>AM 775</v>
          </cell>
        </row>
        <row r="11">
          <cell r="H11" t="str">
            <v>AM 9015</v>
          </cell>
        </row>
        <row r="12">
          <cell r="H12" t="str">
            <v>CIM + Mini</v>
          </cell>
        </row>
        <row r="13">
          <cell r="H13" t="str">
            <v>CIM + 2 Mini</v>
          </cell>
        </row>
        <row r="14">
          <cell r="H14" t="str">
            <v>2 CIM + Mini</v>
          </cell>
        </row>
        <row r="15">
          <cell r="H15" t="str">
            <v>BB RS-775-18</v>
          </cell>
        </row>
        <row r="16">
          <cell r="H16" t="str">
            <v xml:space="preserve">Snowblower </v>
          </cell>
        </row>
        <row r="17">
          <cell r="H17" t="str">
            <v>Neverest</v>
          </cell>
        </row>
        <row r="18">
          <cell r="H18" t="str">
            <v>Throttle Motor</v>
          </cell>
        </row>
        <row r="19">
          <cell r="H19" t="str">
            <v>Bosch Motor</v>
          </cell>
        </row>
        <row r="20">
          <cell r="H20" t="str">
            <v>Dynamo</v>
          </cell>
        </row>
        <row r="21">
          <cell r="H21" t="str">
            <v>Window Motor</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13" Type="http://schemas.openxmlformats.org/officeDocument/2006/relationships/ctrlProp" Target="../ctrlProps/ctrlProp5.xml"/><Relationship Id="rId18" Type="http://schemas.openxmlformats.org/officeDocument/2006/relationships/ctrlProp" Target="../ctrlProps/ctrlProp10.xml"/><Relationship Id="rId3" Type="http://schemas.openxmlformats.org/officeDocument/2006/relationships/hyperlink" Target="https://www.chiefdelphi.com/t/paper-simple-motor-calculator/108165" TargetMode="External"/><Relationship Id="rId7" Type="http://schemas.openxmlformats.org/officeDocument/2006/relationships/drawing" Target="../drawings/drawing1.xml"/><Relationship Id="rId12" Type="http://schemas.openxmlformats.org/officeDocument/2006/relationships/ctrlProp" Target="../ctrlProps/ctrlProp4.xml"/><Relationship Id="rId17" Type="http://schemas.openxmlformats.org/officeDocument/2006/relationships/ctrlProp" Target="../ctrlProps/ctrlProp9.xml"/><Relationship Id="rId2" Type="http://schemas.openxmlformats.org/officeDocument/2006/relationships/hyperlink" Target="https://www.chiefdelphi.com/t/paper-chain-belt-calculator/168971" TargetMode="External"/><Relationship Id="rId16" Type="http://schemas.openxmlformats.org/officeDocument/2006/relationships/ctrlProp" Target="../ctrlProps/ctrlProp8.xml"/><Relationship Id="rId1" Type="http://schemas.openxmlformats.org/officeDocument/2006/relationships/hyperlink" Target="https://www.chiefdelphi.com/t/paper-jvns-mechanical-design-calculator-2016/146281" TargetMode="Externa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fac.ksu.edu.sa/sites/default/files/mechanical-disgin-shigley.pdf" TargetMode="External"/><Relationship Id="rId15" Type="http://schemas.openxmlformats.org/officeDocument/2006/relationships/ctrlProp" Target="../ctrlProps/ctrlProp7.xml"/><Relationship Id="rId10" Type="http://schemas.openxmlformats.org/officeDocument/2006/relationships/ctrlProp" Target="../ctrlProps/ctrlProp2.xml"/><Relationship Id="rId19" Type="http://schemas.openxmlformats.org/officeDocument/2006/relationships/ctrlProp" Target="../ctrlProps/ctrlProp11.xml"/><Relationship Id="rId4" Type="http://schemas.openxmlformats.org/officeDocument/2006/relationships/hyperlink" Target="https://www.chiefdelphi.com/t/paper-pneumatic-system-simulator/168272" TargetMode="External"/><Relationship Id="rId9" Type="http://schemas.openxmlformats.org/officeDocument/2006/relationships/ctrlProp" Target="../ctrlProps/ctrlProp1.xml"/><Relationship Id="rId14"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1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2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2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2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E48"/>
  <sheetViews>
    <sheetView tabSelected="1" workbookViewId="0"/>
  </sheetViews>
  <sheetFormatPr defaultColWidth="9.140625" defaultRowHeight="15" x14ac:dyDescent="0.25"/>
  <cols>
    <col min="1" max="1" width="9.140625" style="81"/>
    <col min="2" max="2" width="2.7109375" style="81" customWidth="1"/>
    <col min="3" max="3" width="70.7109375" style="81" customWidth="1"/>
    <col min="4" max="4" width="9.140625" style="81"/>
    <col min="5" max="5" width="8.5703125" style="81" customWidth="1"/>
    <col min="6" max="16384" width="9.140625" style="81"/>
  </cols>
  <sheetData>
    <row r="2" spans="2:5" ht="31.5" x14ac:dyDescent="0.5">
      <c r="C2" s="82" t="s">
        <v>183</v>
      </c>
    </row>
    <row r="3" spans="2:5" ht="15.75" x14ac:dyDescent="0.25">
      <c r="C3" s="83" t="s">
        <v>203</v>
      </c>
    </row>
    <row r="4" spans="2:5" ht="15.75" x14ac:dyDescent="0.25">
      <c r="C4" s="83" t="s">
        <v>184</v>
      </c>
    </row>
    <row r="5" spans="2:5" x14ac:dyDescent="0.25">
      <c r="D5" s="126" t="s">
        <v>219</v>
      </c>
      <c r="E5" s="127"/>
    </row>
    <row r="6" spans="2:5" ht="15" customHeight="1" x14ac:dyDescent="0.25">
      <c r="C6" s="84" t="s">
        <v>185</v>
      </c>
      <c r="D6" s="128"/>
      <c r="E6" s="129"/>
    </row>
    <row r="7" spans="2:5" ht="15" customHeight="1" x14ac:dyDescent="0.25">
      <c r="B7" s="85" t="s">
        <v>173</v>
      </c>
      <c r="C7" s="81" t="s">
        <v>186</v>
      </c>
      <c r="D7" s="128"/>
      <c r="E7" s="129"/>
    </row>
    <row r="8" spans="2:5" ht="15" customHeight="1" x14ac:dyDescent="0.25">
      <c r="B8" s="113" t="s">
        <v>173</v>
      </c>
      <c r="C8" s="81" t="s">
        <v>187</v>
      </c>
      <c r="D8" s="128"/>
      <c r="E8" s="129"/>
    </row>
    <row r="9" spans="2:5" ht="15" customHeight="1" x14ac:dyDescent="0.25">
      <c r="B9" s="114" t="s">
        <v>173</v>
      </c>
      <c r="C9" s="81" t="s">
        <v>188</v>
      </c>
      <c r="D9" s="128"/>
      <c r="E9" s="129"/>
    </row>
    <row r="10" spans="2:5" ht="15" customHeight="1" x14ac:dyDescent="0.25">
      <c r="B10" s="115" t="s">
        <v>173</v>
      </c>
      <c r="C10" s="86" t="s">
        <v>189</v>
      </c>
      <c r="D10" s="130"/>
      <c r="E10" s="131"/>
    </row>
    <row r="12" spans="2:5" x14ac:dyDescent="0.25">
      <c r="C12" s="87" t="s">
        <v>191</v>
      </c>
    </row>
    <row r="13" spans="2:5" ht="60.75" customHeight="1" x14ac:dyDescent="0.25">
      <c r="C13" s="88" t="s">
        <v>210</v>
      </c>
    </row>
    <row r="14" spans="2:5" x14ac:dyDescent="0.25">
      <c r="C14" s="89"/>
    </row>
    <row r="15" spans="2:5" x14ac:dyDescent="0.25">
      <c r="C15" s="87" t="s">
        <v>205</v>
      </c>
    </row>
    <row r="16" spans="2:5" ht="90" x14ac:dyDescent="0.25">
      <c r="C16" s="88" t="s">
        <v>206</v>
      </c>
    </row>
    <row r="17" spans="3:3" x14ac:dyDescent="0.25">
      <c r="C17" s="89"/>
    </row>
    <row r="18" spans="3:3" x14ac:dyDescent="0.25">
      <c r="C18" s="87" t="s">
        <v>190</v>
      </c>
    </row>
    <row r="19" spans="3:3" ht="75" x14ac:dyDescent="0.25">
      <c r="C19" s="88" t="s">
        <v>209</v>
      </c>
    </row>
    <row r="20" spans="3:3" x14ac:dyDescent="0.25">
      <c r="C20" s="89"/>
    </row>
    <row r="21" spans="3:3" x14ac:dyDescent="0.25">
      <c r="C21" s="87" t="s">
        <v>207</v>
      </c>
    </row>
    <row r="22" spans="3:3" ht="75" x14ac:dyDescent="0.25">
      <c r="C22" s="88" t="s">
        <v>208</v>
      </c>
    </row>
    <row r="23" spans="3:3" x14ac:dyDescent="0.25">
      <c r="C23" s="89"/>
    </row>
    <row r="24" spans="3:3" x14ac:dyDescent="0.25">
      <c r="C24" s="87" t="s">
        <v>98</v>
      </c>
    </row>
    <row r="25" spans="3:3" ht="104.25" customHeight="1" x14ac:dyDescent="0.25">
      <c r="C25" s="88" t="s">
        <v>192</v>
      </c>
    </row>
    <row r="26" spans="3:3" x14ac:dyDescent="0.25">
      <c r="C26" s="89"/>
    </row>
    <row r="27" spans="3:3" x14ac:dyDescent="0.25">
      <c r="C27" s="87" t="s">
        <v>193</v>
      </c>
    </row>
    <row r="28" spans="3:3" ht="105" x14ac:dyDescent="0.25">
      <c r="C28" s="88" t="s">
        <v>194</v>
      </c>
    </row>
    <row r="29" spans="3:3" x14ac:dyDescent="0.25">
      <c r="C29" s="89"/>
    </row>
    <row r="30" spans="3:3" x14ac:dyDescent="0.25">
      <c r="C30" s="87" t="s">
        <v>211</v>
      </c>
    </row>
    <row r="31" spans="3:3" ht="45.75" customHeight="1" x14ac:dyDescent="0.25">
      <c r="C31" s="88" t="s">
        <v>212</v>
      </c>
    </row>
    <row r="32" spans="3:3" x14ac:dyDescent="0.25">
      <c r="C32" s="89"/>
    </row>
    <row r="33" spans="2:3" x14ac:dyDescent="0.25">
      <c r="C33" s="87" t="s">
        <v>218</v>
      </c>
    </row>
    <row r="34" spans="2:3" ht="30" customHeight="1" x14ac:dyDescent="0.25">
      <c r="C34" s="88" t="s">
        <v>213</v>
      </c>
    </row>
    <row r="35" spans="2:3" x14ac:dyDescent="0.25">
      <c r="C35" s="89"/>
    </row>
    <row r="36" spans="2:3" x14ac:dyDescent="0.25">
      <c r="C36" s="87" t="s">
        <v>195</v>
      </c>
    </row>
    <row r="37" spans="2:3" ht="105" x14ac:dyDescent="0.25">
      <c r="C37" s="88" t="s">
        <v>196</v>
      </c>
    </row>
    <row r="38" spans="2:3" x14ac:dyDescent="0.25">
      <c r="C38" s="89"/>
    </row>
    <row r="39" spans="2:3" x14ac:dyDescent="0.25">
      <c r="C39" s="87" t="s">
        <v>214</v>
      </c>
    </row>
    <row r="40" spans="2:3" ht="75" x14ac:dyDescent="0.25">
      <c r="C40" s="88" t="s">
        <v>215</v>
      </c>
    </row>
    <row r="41" spans="2:3" x14ac:dyDescent="0.25">
      <c r="C41" s="89"/>
    </row>
    <row r="43" spans="2:3" x14ac:dyDescent="0.25">
      <c r="C43" s="87" t="s">
        <v>197</v>
      </c>
    </row>
    <row r="44" spans="2:3" x14ac:dyDescent="0.25">
      <c r="C44" s="90" t="s">
        <v>198</v>
      </c>
    </row>
    <row r="45" spans="2:3" x14ac:dyDescent="0.25">
      <c r="C45" s="90" t="s">
        <v>199</v>
      </c>
    </row>
    <row r="46" spans="2:3" x14ac:dyDescent="0.25">
      <c r="C46" s="90" t="s">
        <v>200</v>
      </c>
    </row>
    <row r="47" spans="2:3" x14ac:dyDescent="0.25">
      <c r="B47" s="92"/>
      <c r="C47" s="91" t="s">
        <v>201</v>
      </c>
    </row>
    <row r="48" spans="2:3" x14ac:dyDescent="0.25">
      <c r="B48" s="92"/>
      <c r="C48" s="93" t="s">
        <v>202</v>
      </c>
    </row>
  </sheetData>
  <sheetProtection sheet="1" objects="1" scenarios="1"/>
  <mergeCells count="1">
    <mergeCell ref="D5:E10"/>
  </mergeCells>
  <hyperlinks>
    <hyperlink ref="C44" r:id="rId1"/>
    <hyperlink ref="C46" r:id="rId2"/>
    <hyperlink ref="C45" r:id="rId3"/>
    <hyperlink ref="C47" r:id="rId4"/>
    <hyperlink ref="C48" r:id="rId5"/>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6385" r:id="rId9" name="Button 1">
              <controlPr defaultSize="0" print="0" autoFill="0" autoPict="0" macro="[0]!Add_MechanismRatio">
                <anchor moveWithCells="1" sizeWithCells="1">
                  <from>
                    <xdr:col>3</xdr:col>
                    <xdr:colOff>28575</xdr:colOff>
                    <xdr:row>11</xdr:row>
                    <xdr:rowOff>0</xdr:rowOff>
                  </from>
                  <to>
                    <xdr:col>5</xdr:col>
                    <xdr:colOff>0</xdr:colOff>
                    <xdr:row>14</xdr:row>
                    <xdr:rowOff>0</xdr:rowOff>
                  </to>
                </anchor>
              </controlPr>
            </control>
          </mc:Choice>
        </mc:AlternateContent>
        <mc:AlternateContent xmlns:mc="http://schemas.openxmlformats.org/markup-compatibility/2006">
          <mc:Choice Requires="x14">
            <control shapeId="16386" r:id="rId10" name="Button 2">
              <controlPr defaultSize="0" print="0" autoFill="0" autoPict="0" macro="[0]!Add_LeadScrew">
                <anchor moveWithCells="1" sizeWithCells="1">
                  <from>
                    <xdr:col>3</xdr:col>
                    <xdr:colOff>28575</xdr:colOff>
                    <xdr:row>15</xdr:row>
                    <xdr:rowOff>0</xdr:rowOff>
                  </from>
                  <to>
                    <xdr:col>5</xdr:col>
                    <xdr:colOff>0</xdr:colOff>
                    <xdr:row>17</xdr:row>
                    <xdr:rowOff>0</xdr:rowOff>
                  </to>
                </anchor>
              </controlPr>
            </control>
          </mc:Choice>
        </mc:AlternateContent>
        <mc:AlternateContent xmlns:mc="http://schemas.openxmlformats.org/markup-compatibility/2006">
          <mc:Choice Requires="x14">
            <control shapeId="16387" r:id="rId11" name="Button 3">
              <controlPr defaultSize="0" print="0" autoFill="0" autoPict="0" macro="[0]!Add_Drivetrain">
                <anchor moveWithCells="1" sizeWithCells="1">
                  <from>
                    <xdr:col>3</xdr:col>
                    <xdr:colOff>28575</xdr:colOff>
                    <xdr:row>18</xdr:row>
                    <xdr:rowOff>0</xdr:rowOff>
                  </from>
                  <to>
                    <xdr:col>5</xdr:col>
                    <xdr:colOff>0</xdr:colOff>
                    <xdr:row>20</xdr:row>
                    <xdr:rowOff>0</xdr:rowOff>
                  </to>
                </anchor>
              </controlPr>
            </control>
          </mc:Choice>
        </mc:AlternateContent>
        <mc:AlternateContent xmlns:mc="http://schemas.openxmlformats.org/markup-compatibility/2006">
          <mc:Choice Requires="x14">
            <control shapeId="16388" r:id="rId12" name="Button 4">
              <controlPr defaultSize="0" print="0" autoFill="0" autoPict="0" macro="[0]!Add_BeamBend">
                <anchor moveWithCells="1" sizeWithCells="1">
                  <from>
                    <xdr:col>3</xdr:col>
                    <xdr:colOff>28575</xdr:colOff>
                    <xdr:row>21</xdr:row>
                    <xdr:rowOff>0</xdr:rowOff>
                  </from>
                  <to>
                    <xdr:col>5</xdr:col>
                    <xdr:colOff>0</xdr:colOff>
                    <xdr:row>23</xdr:row>
                    <xdr:rowOff>0</xdr:rowOff>
                  </to>
                </anchor>
              </controlPr>
            </control>
          </mc:Choice>
        </mc:AlternateContent>
        <mc:AlternateContent xmlns:mc="http://schemas.openxmlformats.org/markup-compatibility/2006">
          <mc:Choice Requires="x14">
            <control shapeId="16389" r:id="rId13" name="Button 5">
              <controlPr defaultSize="0" print="0" autoFill="0" autoPict="0" macro="[0]!Add_Projectile">
                <anchor moveWithCells="1" sizeWithCells="1">
                  <from>
                    <xdr:col>3</xdr:col>
                    <xdr:colOff>28575</xdr:colOff>
                    <xdr:row>24</xdr:row>
                    <xdr:rowOff>0</xdr:rowOff>
                  </from>
                  <to>
                    <xdr:col>5</xdr:col>
                    <xdr:colOff>0</xdr:colOff>
                    <xdr:row>26</xdr:row>
                    <xdr:rowOff>0</xdr:rowOff>
                  </to>
                </anchor>
              </controlPr>
            </control>
          </mc:Choice>
        </mc:AlternateContent>
        <mc:AlternateContent xmlns:mc="http://schemas.openxmlformats.org/markup-compatibility/2006">
          <mc:Choice Requires="x14">
            <control shapeId="16390" r:id="rId14" name="Button 6">
              <controlPr defaultSize="0" print="0" autoFill="0" autoPict="0" macro="[0]!Add_ChainBelt">
                <anchor moveWithCells="1" sizeWithCells="1">
                  <from>
                    <xdr:col>3</xdr:col>
                    <xdr:colOff>28575</xdr:colOff>
                    <xdr:row>27</xdr:row>
                    <xdr:rowOff>0</xdr:rowOff>
                  </from>
                  <to>
                    <xdr:col>5</xdr:col>
                    <xdr:colOff>0</xdr:colOff>
                    <xdr:row>29</xdr:row>
                    <xdr:rowOff>0</xdr:rowOff>
                  </to>
                </anchor>
              </controlPr>
            </control>
          </mc:Choice>
        </mc:AlternateContent>
        <mc:AlternateContent xmlns:mc="http://schemas.openxmlformats.org/markup-compatibility/2006">
          <mc:Choice Requires="x14">
            <control shapeId="16391" r:id="rId15" name="Button 7">
              <controlPr defaultSize="0" print="0" autoFill="0" autoPict="0" macro="[0]!Add_GearClear">
                <anchor moveWithCells="1" sizeWithCells="1">
                  <from>
                    <xdr:col>3</xdr:col>
                    <xdr:colOff>28575</xdr:colOff>
                    <xdr:row>30</xdr:row>
                    <xdr:rowOff>0</xdr:rowOff>
                  </from>
                  <to>
                    <xdr:col>5</xdr:col>
                    <xdr:colOff>0</xdr:colOff>
                    <xdr:row>32</xdr:row>
                    <xdr:rowOff>0</xdr:rowOff>
                  </to>
                </anchor>
              </controlPr>
            </control>
          </mc:Choice>
        </mc:AlternateContent>
        <mc:AlternateContent xmlns:mc="http://schemas.openxmlformats.org/markup-compatibility/2006">
          <mc:Choice Requires="x14">
            <control shapeId="16392" r:id="rId16" name="Button 8">
              <controlPr defaultSize="0" print="0" autoFill="0" autoPict="0" macro="[0]!Add_RatioDist">
                <anchor moveWithCells="1" sizeWithCells="1">
                  <from>
                    <xdr:col>3</xdr:col>
                    <xdr:colOff>28575</xdr:colOff>
                    <xdr:row>33</xdr:row>
                    <xdr:rowOff>0</xdr:rowOff>
                  </from>
                  <to>
                    <xdr:col>5</xdr:col>
                    <xdr:colOff>0</xdr:colOff>
                    <xdr:row>35</xdr:row>
                    <xdr:rowOff>0</xdr:rowOff>
                  </to>
                </anchor>
              </controlPr>
            </control>
          </mc:Choice>
        </mc:AlternateContent>
        <mc:AlternateContent xmlns:mc="http://schemas.openxmlformats.org/markup-compatibility/2006">
          <mc:Choice Requires="x14">
            <control shapeId="16393" r:id="rId17" name="Button 9">
              <controlPr defaultSize="0" print="0" autoFill="0" autoPict="0" macro="[0]!Add_Pneumatics">
                <anchor moveWithCells="1" sizeWithCells="1">
                  <from>
                    <xdr:col>3</xdr:col>
                    <xdr:colOff>28575</xdr:colOff>
                    <xdr:row>36</xdr:row>
                    <xdr:rowOff>0</xdr:rowOff>
                  </from>
                  <to>
                    <xdr:col>5</xdr:col>
                    <xdr:colOff>0</xdr:colOff>
                    <xdr:row>38</xdr:row>
                    <xdr:rowOff>0</xdr:rowOff>
                  </to>
                </anchor>
              </controlPr>
            </control>
          </mc:Choice>
        </mc:AlternateContent>
        <mc:AlternateContent xmlns:mc="http://schemas.openxmlformats.org/markup-compatibility/2006">
          <mc:Choice Requires="x14">
            <control shapeId="16394" r:id="rId18" name="Button 10">
              <controlPr defaultSize="0" print="0" autoFill="0" autoPict="0" macro="[0]!Add_PneuLinkage">
                <anchor moveWithCells="1" sizeWithCells="1">
                  <from>
                    <xdr:col>3</xdr:col>
                    <xdr:colOff>28575</xdr:colOff>
                    <xdr:row>39</xdr:row>
                    <xdr:rowOff>0</xdr:rowOff>
                  </from>
                  <to>
                    <xdr:col>5</xdr:col>
                    <xdr:colOff>0</xdr:colOff>
                    <xdr:row>41</xdr:row>
                    <xdr:rowOff>0</xdr:rowOff>
                  </to>
                </anchor>
              </controlPr>
            </control>
          </mc:Choice>
        </mc:AlternateContent>
        <mc:AlternateContent xmlns:mc="http://schemas.openxmlformats.org/markup-compatibility/2006">
          <mc:Choice Requires="x14">
            <control shapeId="16395" r:id="rId19" name="Button 11">
              <controlPr defaultSize="0" print="0" autoFill="0" autoPict="0" macro="[0]!Add_All">
                <anchor moveWithCells="1" sizeWithCells="1">
                  <from>
                    <xdr:col>5</xdr:col>
                    <xdr:colOff>123825</xdr:colOff>
                    <xdr:row>5</xdr:row>
                    <xdr:rowOff>180975</xdr:rowOff>
                  </from>
                  <to>
                    <xdr:col>7</xdr:col>
                    <xdr:colOff>514350</xdr:colOff>
                    <xdr:row>9</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P27"/>
  <sheetViews>
    <sheetView zoomScaleNormal="100" workbookViewId="0"/>
  </sheetViews>
  <sheetFormatPr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 style="1" customWidth="1"/>
    <col min="8" max="15" width="11.42578125" style="1" customWidth="1"/>
    <col min="16" max="16" width="12" style="1" customWidth="1"/>
    <col min="17" max="16384" width="9.140625" style="1"/>
  </cols>
  <sheetData>
    <row r="2" spans="2:16" ht="31.5" x14ac:dyDescent="0.25">
      <c r="C2" s="2" t="s">
        <v>204</v>
      </c>
    </row>
    <row r="4" spans="2:16" x14ac:dyDescent="0.25">
      <c r="B4" s="8" t="b">
        <v>0</v>
      </c>
      <c r="C4" s="1" t="s">
        <v>0</v>
      </c>
    </row>
    <row r="6" spans="2:16" x14ac:dyDescent="0.25">
      <c r="C6" s="141" t="s">
        <v>9</v>
      </c>
      <c r="D6" s="142"/>
      <c r="E6" s="22" t="s">
        <v>34</v>
      </c>
      <c r="G6" s="97"/>
      <c r="H6" s="98" t="s">
        <v>43</v>
      </c>
      <c r="I6" s="98" t="s">
        <v>44</v>
      </c>
      <c r="J6" s="98" t="s">
        <v>45</v>
      </c>
      <c r="K6" s="98" t="s">
        <v>46</v>
      </c>
      <c r="L6" s="98" t="s">
        <v>47</v>
      </c>
      <c r="M6" s="98" t="s">
        <v>48</v>
      </c>
      <c r="N6" s="98" t="s">
        <v>49</v>
      </c>
      <c r="O6" s="98" t="s">
        <v>50</v>
      </c>
      <c r="P6" s="98" t="s">
        <v>51</v>
      </c>
    </row>
    <row r="7" spans="2:16" x14ac:dyDescent="0.25">
      <c r="C7" s="24" t="s">
        <v>1</v>
      </c>
      <c r="D7" s="25">
        <f>VLOOKUP($C$6, MotorSpecs, 2, FALSE)</f>
        <v>18730</v>
      </c>
      <c r="E7" s="26">
        <f>D7*(D14/12)</f>
        <v>17169.166666666664</v>
      </c>
      <c r="G7" s="99" t="s">
        <v>38</v>
      </c>
      <c r="H7" s="100">
        <f>I17</f>
        <v>20</v>
      </c>
      <c r="I7" s="100">
        <f>$E$17*I13*IF($B$4, 2.205, 1)/$E$8*0.113</f>
        <v>38.283994878361071</v>
      </c>
      <c r="J7" s="100">
        <f>$E$17*$E$18/8.8507/((SQRT($E$9)*$E$8)/(SQRT($E$10)+SQRT($E$9)))</f>
        <v>283.9496410754104</v>
      </c>
      <c r="K7" s="100">
        <f>$E$17*K13*IF($B$4, 2.205, 1)/$E$8*0.113</f>
        <v>19.141997439180535</v>
      </c>
      <c r="L7" s="100">
        <f>($E$7*$E$8+SQRT(($E$7*$E$8)^2-27.119*$E$18*$E$17*L9*$E$7*$E$8))/(120*L9*$E$8)</f>
        <v>265.52441579042636</v>
      </c>
      <c r="M7" s="100">
        <f>($E$7*$E$8+SQRT(($E$7*$E$8)^2-27.119*$E$18*$E$17*M9*$E$7*$E$8))/(120*M9*$E$8)</f>
        <v>127.30045354142241</v>
      </c>
      <c r="N7" s="100">
        <f>($E$10-$E$9)/$E$8*$E$17*$E$18/$D$13/0.2248/39.37/(N12-$E$9/$D$13)</f>
        <v>79.663114221412812</v>
      </c>
      <c r="O7" s="100">
        <f>$E$17*O13*IF($B$4, 2.205, 1)/$E$8*0.113</f>
        <v>65.108834827144676</v>
      </c>
      <c r="P7" s="100">
        <f>12*0.113*$E$17*$E$18/($D$15*$D$8*$D$13*P14)</f>
        <v>21.056197183098586</v>
      </c>
    </row>
    <row r="8" spans="2:16" x14ac:dyDescent="0.25">
      <c r="C8" s="30" t="s">
        <v>2</v>
      </c>
      <c r="D8" s="31">
        <f>VLOOKUP($C$6, MotorSpecs, 3, FALSE)</f>
        <v>0.71</v>
      </c>
      <c r="E8" s="32">
        <f>D8*D13*(D14/12)*D15</f>
        <v>1.0413333333333332</v>
      </c>
      <c r="G8" s="66" t="s">
        <v>39</v>
      </c>
      <c r="H8" s="101">
        <f t="shared" ref="H8:P8" si="0">$E$7/H7/60</f>
        <v>14.307638888888887</v>
      </c>
      <c r="I8" s="101">
        <f t="shared" si="0"/>
        <v>7.47447539597069</v>
      </c>
      <c r="J8" s="101">
        <f t="shared" si="0"/>
        <v>1.0077588994091464</v>
      </c>
      <c r="K8" s="101">
        <f t="shared" si="0"/>
        <v>14.94895079194138</v>
      </c>
      <c r="L8" s="101">
        <f t="shared" si="0"/>
        <v>1.0776891342588735</v>
      </c>
      <c r="M8" s="101">
        <f t="shared" si="0"/>
        <v>2.247853560746869</v>
      </c>
      <c r="N8" s="101">
        <f t="shared" si="0"/>
        <v>3.5920360454708682</v>
      </c>
      <c r="O8" s="101">
        <f t="shared" si="0"/>
        <v>4.3949915328307663</v>
      </c>
      <c r="P8" s="101">
        <f t="shared" si="0"/>
        <v>13.589955265401256</v>
      </c>
    </row>
    <row r="9" spans="2:16" x14ac:dyDescent="0.25">
      <c r="C9" s="30" t="s">
        <v>3</v>
      </c>
      <c r="D9" s="33">
        <f>VLOOKUP($C$6, MotorSpecs, 4, FALSE)</f>
        <v>0.7</v>
      </c>
      <c r="E9" s="34">
        <f>D9*D13*(D14/12)</f>
        <v>1.2833333333333332</v>
      </c>
      <c r="G9" s="66" t="s">
        <v>40</v>
      </c>
      <c r="H9" s="102">
        <f>H8*(1-$D$18/H13)</f>
        <v>0.61506593898433159</v>
      </c>
      <c r="I9" s="102">
        <f t="shared" ref="I9:K9" si="1">I8*(1-$D$18/I13)</f>
        <v>3.737237697985345</v>
      </c>
      <c r="J9" s="102">
        <f t="shared" si="1"/>
        <v>0.93982877552418209</v>
      </c>
      <c r="K9" s="102">
        <f t="shared" si="1"/>
        <v>0</v>
      </c>
      <c r="L9" s="9">
        <v>1</v>
      </c>
      <c r="M9" s="102">
        <f>M11*IF($B$4, 3.281, 1)/$E$17/2/PI()*12</f>
        <v>1.909859317102744</v>
      </c>
      <c r="N9" s="102">
        <f>N8*(1-$D$18/N13)</f>
        <v>2.7289969001258592</v>
      </c>
      <c r="O9" s="102">
        <f>O8*(1-$D$18/O13)</f>
        <v>3.1028640221785206</v>
      </c>
      <c r="P9" s="102">
        <f>P8*(1-$D$18/P13)</f>
        <v>1.2365930164405228</v>
      </c>
    </row>
    <row r="10" spans="2:16" x14ac:dyDescent="0.25">
      <c r="C10" s="30" t="s">
        <v>4</v>
      </c>
      <c r="D10" s="35">
        <f>VLOOKUP($C$6, MotorSpecs, 5, FALSE)</f>
        <v>134</v>
      </c>
      <c r="E10" s="36">
        <f>D10*D13*(D14/12)</f>
        <v>245.66666666666666</v>
      </c>
      <c r="G10" s="66" t="str">
        <f>"Free Lin. Speed (" &amp; IF($B$4, "m", "ft") &amp; "/s)"</f>
        <v>Free Lin. Speed (ft/s)</v>
      </c>
      <c r="H10" s="102">
        <f>H8*2*PI()*$E$17/12/IF($B$4, 3.281, 1)</f>
        <v>14.982924407849646</v>
      </c>
      <c r="I10" s="102">
        <f t="shared" ref="I10:L10" si="2">I8*2*PI()*$E$17/12/IF($B$4, 3.281, 1)</f>
        <v>7.8272523311397242</v>
      </c>
      <c r="J10" s="102">
        <f t="shared" si="2"/>
        <v>1.0553226516578362</v>
      </c>
      <c r="K10" s="102">
        <f t="shared" si="2"/>
        <v>15.654504662279448</v>
      </c>
      <c r="L10" s="102">
        <f t="shared" si="2"/>
        <v>1.1285534223470732</v>
      </c>
      <c r="M10" s="102">
        <f t="shared" ref="M10" si="3">M8*2*PI()*$D$17/12/IF($B$4, 3.281, 1)</f>
        <v>2.3539467442626729</v>
      </c>
      <c r="N10" s="102">
        <f t="shared" ref="N10:P11" si="4">N8*2*PI()*$E$17/12/IF($B$4, 3.281, 1)</f>
        <v>3.7615713506270025</v>
      </c>
      <c r="O10" s="102">
        <f t="shared" si="4"/>
        <v>4.6024243707101578</v>
      </c>
      <c r="P10" s="102">
        <f t="shared" si="4"/>
        <v>14.231367874799501</v>
      </c>
    </row>
    <row r="11" spans="2:16" x14ac:dyDescent="0.25">
      <c r="C11" s="37" t="s">
        <v>5</v>
      </c>
      <c r="D11" s="38">
        <f>VLOOKUP($C$6, MotorSpecs, 6, FALSE)</f>
        <v>348.14867987694288</v>
      </c>
      <c r="E11" s="39">
        <f>(E7/60*2*PI())*E8/4</f>
        <v>468.06655850122308</v>
      </c>
      <c r="G11" s="66" t="str">
        <f>"Loaded Lin. Speed (" &amp; IF($B$4, "m", "ft") &amp; "/s)"</f>
        <v>Loaded Lin. Speed (ft/s)</v>
      </c>
      <c r="H11" s="102">
        <f>H9*2*PI()*$E$17/12/IF($B$4, 3.281, 1)</f>
        <v>0.64409554512882783</v>
      </c>
      <c r="I11" s="102">
        <f t="shared" ref="I11:L11" si="5">I9*2*PI()*$E$17/12/IF($B$4, 3.281, 1)</f>
        <v>3.9136261655698621</v>
      </c>
      <c r="J11" s="102">
        <f t="shared" si="5"/>
        <v>0.98418639227302007</v>
      </c>
      <c r="K11" s="102">
        <f t="shared" si="5"/>
        <v>0</v>
      </c>
      <c r="L11" s="102">
        <f t="shared" si="5"/>
        <v>1.0471975511965974</v>
      </c>
      <c r="M11" s="9">
        <v>1.9999999999999996</v>
      </c>
      <c r="N11" s="102">
        <f t="shared" si="4"/>
        <v>2.8577988710349049</v>
      </c>
      <c r="O11" s="102">
        <f t="shared" si="4"/>
        <v>3.2493116057213709</v>
      </c>
      <c r="P11" s="102">
        <f t="shared" si="4"/>
        <v>1.2949571786433292</v>
      </c>
    </row>
    <row r="12" spans="2:16" x14ac:dyDescent="0.25">
      <c r="G12" s="66" t="s">
        <v>41</v>
      </c>
      <c r="H12" s="77">
        <f t="shared" ref="H12:M12" si="6">($E$10-$E$9)/$E$8*$E$17*$E$18/H7/$D$13/0.2248/39.37 + $E$9/$D$13</f>
        <v>117.58047975084887</v>
      </c>
      <c r="I12" s="77">
        <f t="shared" si="6"/>
        <v>61.731849891133926</v>
      </c>
      <c r="J12" s="77">
        <f t="shared" si="6"/>
        <v>8.8782548617632742</v>
      </c>
      <c r="K12" s="77">
        <f t="shared" si="6"/>
        <v>122.82203311560119</v>
      </c>
      <c r="L12" s="77">
        <f t="shared" si="6"/>
        <v>9.4498067946524777</v>
      </c>
      <c r="M12" s="77">
        <f t="shared" si="6"/>
        <v>19.013763518015491</v>
      </c>
      <c r="N12" s="10">
        <v>30</v>
      </c>
      <c r="O12" s="77">
        <f t="shared" ref="O12:P12" si="7">($E$10-$E$9)/$E$8*$E$17*$E$18/O7/$D$13/0.2248/39.37 + $E$9/$D$13</f>
        <v>36.56269440265342</v>
      </c>
      <c r="P12" s="77">
        <f t="shared" si="7"/>
        <v>111.71472707478898</v>
      </c>
    </row>
    <row r="13" spans="2:16" x14ac:dyDescent="0.25">
      <c r="C13" s="41" t="s">
        <v>35</v>
      </c>
      <c r="D13" s="11">
        <v>2</v>
      </c>
      <c r="G13" s="66" t="str">
        <f>"Stall Load (" &amp; IF($B$4, "kgf", "lbf") &amp; ")"</f>
        <v>Stall Load (lbf)</v>
      </c>
      <c r="H13" s="103">
        <f>$E$8*H7*39.37*0.2248/$E$17/IF($B$4, 2.205, 1)</f>
        <v>92.161915413333347</v>
      </c>
      <c r="I13" s="103">
        <f>2*D18</f>
        <v>176.4</v>
      </c>
      <c r="J13" s="103">
        <f>$E$8*J7*39.37*0.2248/$E$17/IF($B$4, 2.205, 1)</f>
        <v>1308.4671401219168</v>
      </c>
      <c r="K13" s="103">
        <f>D18</f>
        <v>88.2</v>
      </c>
      <c r="L13" s="103">
        <f>$E$8*L7*39.37*0.2248/$E$17/IF($B$4, 2.205, 1)</f>
        <v>1223.5619374126015</v>
      </c>
      <c r="M13" s="103">
        <f>$E$8*M7*39.37*0.2248/$E$17/IF($B$4, 2.205, 1)</f>
        <v>586.61268156817721</v>
      </c>
      <c r="N13" s="103">
        <f>$E$8*N7*39.37*0.2248/$E$17/IF($B$4, 2.205, 1)</f>
        <v>367.09525972182803</v>
      </c>
      <c r="O13" s="12">
        <v>300</v>
      </c>
      <c r="P13" s="103">
        <f>$E$8*P7*39.37*0.2248/$E$17/IF($B$4, 2.205, 1)</f>
        <v>97.028973185759995</v>
      </c>
    </row>
    <row r="14" spans="2:16" x14ac:dyDescent="0.25">
      <c r="C14" s="41" t="s">
        <v>36</v>
      </c>
      <c r="D14" s="11">
        <v>11</v>
      </c>
      <c r="G14" s="67" t="s">
        <v>42</v>
      </c>
      <c r="H14" s="104">
        <f t="shared" ref="H14:O14" si="8">12*0.113*$E$17*$E$18/($D$15*$D$8*$D$13*H7)</f>
        <v>10.528098591549293</v>
      </c>
      <c r="I14" s="104">
        <f t="shared" si="8"/>
        <v>5.5</v>
      </c>
      <c r="J14" s="104">
        <f t="shared" si="8"/>
        <v>0.74154688498114896</v>
      </c>
      <c r="K14" s="104">
        <f t="shared" si="8"/>
        <v>11</v>
      </c>
      <c r="L14" s="104">
        <f t="shared" si="8"/>
        <v>0.79300418081770174</v>
      </c>
      <c r="M14" s="104">
        <f t="shared" si="8"/>
        <v>1.654055158275386</v>
      </c>
      <c r="N14" s="104">
        <f t="shared" ref="N14" si="9">12*0.113*$E$17*$E$18/($D$15*$D$8*$D$13*N7)</f>
        <v>2.6431551652093024</v>
      </c>
      <c r="O14" s="104">
        <f t="shared" si="8"/>
        <v>3.234</v>
      </c>
      <c r="P14" s="13">
        <v>10</v>
      </c>
    </row>
    <row r="15" spans="2:16" x14ac:dyDescent="0.25">
      <c r="C15" s="41" t="s">
        <v>37</v>
      </c>
      <c r="D15" s="14">
        <v>0.8</v>
      </c>
    </row>
    <row r="17" spans="3:15" x14ac:dyDescent="0.25">
      <c r="C17" s="41" t="str">
        <f>"Radius (" &amp; IF($B$4, "mm", "in") &amp; ")"</f>
        <v>Radius (in)</v>
      </c>
      <c r="D17" s="15">
        <v>1.9999999999999993</v>
      </c>
      <c r="E17" s="3">
        <f>D17/IF($B$4, 25.4, 1)</f>
        <v>1.9999999999999993</v>
      </c>
      <c r="H17" s="22" t="s">
        <v>52</v>
      </c>
      <c r="I17" s="105">
        <f>IF(PRODUCT(I18:I21)&gt;0,PRODUCT(I18:I21),1)/IF(PRODUCT(H18:H21)&gt;0,PRODUCT(H18:H21), 1)</f>
        <v>20</v>
      </c>
    </row>
    <row r="18" spans="3:15" x14ac:dyDescent="0.25">
      <c r="C18" s="41" t="str">
        <f>"Load (" &amp; IF($B$4, "kgf", "lbf") &amp; ")"</f>
        <v>Load (lbf)</v>
      </c>
      <c r="D18" s="16">
        <v>88.2</v>
      </c>
      <c r="E18" s="3">
        <f>D18*IF($B$4, 2.205, 1)</f>
        <v>88.2</v>
      </c>
      <c r="H18" s="17"/>
      <c r="I18" s="18">
        <v>6</v>
      </c>
    </row>
    <row r="19" spans="3:15" x14ac:dyDescent="0.25">
      <c r="H19" s="17">
        <v>18</v>
      </c>
      <c r="I19" s="18">
        <v>60</v>
      </c>
    </row>
    <row r="20" spans="3:15" x14ac:dyDescent="0.25">
      <c r="H20" s="17"/>
      <c r="I20" s="18"/>
    </row>
    <row r="21" spans="3:15" x14ac:dyDescent="0.25">
      <c r="H21" s="17"/>
      <c r="I21" s="18"/>
    </row>
    <row r="23" spans="3:15" ht="15.75" thickBot="1" x14ac:dyDescent="0.3"/>
    <row r="24" spans="3:15" ht="18.75" customHeight="1" x14ac:dyDescent="0.25">
      <c r="D24" s="135" t="s">
        <v>53</v>
      </c>
      <c r="E24" s="136"/>
      <c r="F24" s="136"/>
      <c r="G24" s="136"/>
      <c r="H24" s="136"/>
      <c r="I24" s="136"/>
      <c r="J24" s="136"/>
      <c r="K24" s="136"/>
      <c r="L24" s="136"/>
      <c r="M24" s="136"/>
      <c r="N24" s="136"/>
      <c r="O24" s="137"/>
    </row>
    <row r="25" spans="3:15" ht="75" customHeight="1" x14ac:dyDescent="0.25">
      <c r="D25" s="138" t="s">
        <v>54</v>
      </c>
      <c r="E25" s="139"/>
      <c r="F25" s="139"/>
      <c r="G25" s="139"/>
      <c r="H25" s="139"/>
      <c r="I25" s="139"/>
      <c r="J25" s="139"/>
      <c r="K25" s="139"/>
      <c r="L25" s="139"/>
      <c r="M25" s="139"/>
      <c r="N25" s="139"/>
      <c r="O25" s="140"/>
    </row>
    <row r="26" spans="3:15" ht="72" customHeight="1" x14ac:dyDescent="0.25">
      <c r="D26" s="138" t="s">
        <v>55</v>
      </c>
      <c r="E26" s="139"/>
      <c r="F26" s="139"/>
      <c r="G26" s="139"/>
      <c r="H26" s="139"/>
      <c r="I26" s="139"/>
      <c r="J26" s="139"/>
      <c r="K26" s="139"/>
      <c r="L26" s="139"/>
      <c r="M26" s="139"/>
      <c r="N26" s="139"/>
      <c r="O26" s="140"/>
    </row>
    <row r="27" spans="3:15" ht="73.5" customHeight="1" thickBot="1" x14ac:dyDescent="0.3">
      <c r="D27" s="132" t="s">
        <v>56</v>
      </c>
      <c r="E27" s="133"/>
      <c r="F27" s="133"/>
      <c r="G27" s="133"/>
      <c r="H27" s="133"/>
      <c r="I27" s="133"/>
      <c r="J27" s="133"/>
      <c r="K27" s="133"/>
      <c r="L27" s="133"/>
      <c r="M27" s="133"/>
      <c r="N27" s="133"/>
      <c r="O27" s="134"/>
    </row>
  </sheetData>
  <sheetProtection sheet="1" objects="1" scenarios="1" formatCells="0" formatColumns="0" formatRows="0"/>
  <dataConsolidate/>
  <mergeCells count="5">
    <mergeCell ref="D27:O27"/>
    <mergeCell ref="D24:O24"/>
    <mergeCell ref="D25:O25"/>
    <mergeCell ref="D26:O26"/>
    <mergeCell ref="C6:D6"/>
  </mergeCells>
  <conditionalFormatting sqref="H7:H14 I9:K9 I10:L11">
    <cfRule type="expression" dxfId="75" priority="18">
      <formula>$H$9&lt;=0</formula>
    </cfRule>
  </conditionalFormatting>
  <conditionalFormatting sqref="L7:L8 L12:L14">
    <cfRule type="expression" dxfId="74" priority="17">
      <formula>ISERROR($L$7)</formula>
    </cfRule>
  </conditionalFormatting>
  <conditionalFormatting sqref="M7:M10 M12:M14">
    <cfRule type="expression" dxfId="73" priority="16">
      <formula>ISERROR($M$7)</formula>
    </cfRule>
  </conditionalFormatting>
  <conditionalFormatting sqref="N7">
    <cfRule type="expression" dxfId="72" priority="15">
      <formula>$N$9&lt;0</formula>
    </cfRule>
  </conditionalFormatting>
  <conditionalFormatting sqref="P14 O13 N12 M11 L9 D13:D15 D17:D18">
    <cfRule type="containsBlanks" dxfId="71" priority="19">
      <formula>LEN(TRIM(D9))=0</formula>
    </cfRule>
  </conditionalFormatting>
  <conditionalFormatting sqref="O7">
    <cfRule type="expression" dxfId="70" priority="13">
      <formula>ISERROR($O$8)</formula>
    </cfRule>
  </conditionalFormatting>
  <conditionalFormatting sqref="P7">
    <cfRule type="expression" dxfId="69" priority="12">
      <formula>ISERROR($P$7)</formula>
    </cfRule>
  </conditionalFormatting>
  <conditionalFormatting sqref="H18:I21">
    <cfRule type="expression" dxfId="68" priority="11">
      <formula>$I$17=1</formula>
    </cfRule>
  </conditionalFormatting>
  <conditionalFormatting sqref="D14">
    <cfRule type="cellIs" dxfId="67" priority="10" operator="greaterThan">
      <formula>12</formula>
    </cfRule>
  </conditionalFormatting>
  <conditionalFormatting sqref="P14">
    <cfRule type="cellIs" dxfId="66" priority="9" operator="greaterThan">
      <formula>$D$14</formula>
    </cfRule>
  </conditionalFormatting>
  <conditionalFormatting sqref="D15">
    <cfRule type="cellIs" dxfId="65" priority="8" operator="greaterThan">
      <formula>1</formula>
    </cfRule>
  </conditionalFormatting>
  <conditionalFormatting sqref="D13:D15 D17:D18 L9 M11 N12 O13 P14">
    <cfRule type="cellIs" dxfId="64" priority="7" operator="lessThanOrEqual">
      <formula>0</formula>
    </cfRule>
  </conditionalFormatting>
  <conditionalFormatting sqref="N8:N11">
    <cfRule type="expression" dxfId="63" priority="6">
      <formula>$H$9&lt;=0</formula>
    </cfRule>
  </conditionalFormatting>
  <conditionalFormatting sqref="N13:N14">
    <cfRule type="expression" dxfId="62" priority="5">
      <formula>$H$9&lt;=0</formula>
    </cfRule>
  </conditionalFormatting>
  <conditionalFormatting sqref="O8:O12">
    <cfRule type="expression" dxfId="61" priority="4">
      <formula>$H$9&lt;=0</formula>
    </cfRule>
  </conditionalFormatting>
  <conditionalFormatting sqref="O14">
    <cfRule type="expression" dxfId="60" priority="3">
      <formula>$H$9&lt;=0</formula>
    </cfRule>
  </conditionalFormatting>
  <conditionalFormatting sqref="P8:P13">
    <cfRule type="expression" dxfId="59" priority="2">
      <formula>$H$9&lt;=0</formula>
    </cfRule>
  </conditionalFormatting>
  <conditionalFormatting sqref="D13:D15 D17:D18 H18:I21 L9 M11 N12 O13 P14">
    <cfRule type="expression" dxfId="58" priority="1">
      <formula>ISTEXT(D9)</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ignoredErrors>
    <ignoredError sqref="I13 K13 M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Metric">
              <controlPr locked="0" defaultSize="0" autoFill="0" autoLine="0" autoPict="0" macro="[0]!MechanismRatio_Metric">
                <anchor moveWithCells="1">
                  <from>
                    <xdr:col>1</xdr:col>
                    <xdr:colOff>0</xdr:colOff>
                    <xdr:row>2</xdr:row>
                    <xdr:rowOff>180975</xdr:rowOff>
                  </from>
                  <to>
                    <xdr:col>2</xdr:col>
                    <xdr:colOff>9525</xdr:colOff>
                    <xdr:row>4</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2:J23"/>
  <sheetViews>
    <sheetView zoomScaleNormal="100" workbookViewId="0"/>
  </sheetViews>
  <sheetFormatPr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7109375" style="1" customWidth="1"/>
    <col min="8" max="16384" width="9.140625" style="1"/>
  </cols>
  <sheetData>
    <row r="2" spans="2:10" ht="31.5" x14ac:dyDescent="0.25">
      <c r="C2" s="2" t="s">
        <v>57</v>
      </c>
    </row>
    <row r="4" spans="2:10" x14ac:dyDescent="0.25">
      <c r="B4" s="8" t="b">
        <v>0</v>
      </c>
      <c r="C4" s="1" t="s">
        <v>0</v>
      </c>
    </row>
    <row r="6" spans="2:10" x14ac:dyDescent="0.25">
      <c r="C6" s="106" t="str">
        <f>"Diameter (" &amp; IF($B$4,"mm","in") &amp; ")"</f>
        <v>Diameter (in)</v>
      </c>
      <c r="D6" s="112">
        <v>0.375</v>
      </c>
      <c r="G6" s="95" t="s">
        <v>66</v>
      </c>
      <c r="H6" s="107">
        <f>(D7*D8/(PI()*(D6-D7/2)))/((PI()*(D6-D7/2)*D14+D7*D8*COS(0.5*RADIANS(D9)))/(PI()*(D6-D7/2)*COS(0.5*RADIANS(D9))-D14*D7*D8))</f>
        <v>0.41621760320185969</v>
      </c>
    </row>
    <row r="7" spans="2:10" x14ac:dyDescent="0.25">
      <c r="C7" s="106" t="str">
        <f>"Pitch (" &amp; IF($B$4, "mm", "in") &amp; "/rev)"</f>
        <v>Pitch (in/rev)</v>
      </c>
      <c r="D7" s="112">
        <v>0.1</v>
      </c>
      <c r="G7" s="95" t="str">
        <f>"Equivalent Radius (" &amp; IF($B$4, "mm", "in") &amp; ")"</f>
        <v>Equivalent Radius (in)</v>
      </c>
      <c r="H7" s="42">
        <f>D7*D8/(2*PI())</f>
        <v>1.5915494309189534E-2</v>
      </c>
    </row>
    <row r="8" spans="2:10" x14ac:dyDescent="0.25">
      <c r="C8" s="106" t="s">
        <v>58</v>
      </c>
      <c r="D8" s="18">
        <v>1</v>
      </c>
    </row>
    <row r="9" spans="2:10" x14ac:dyDescent="0.25">
      <c r="C9" s="106" t="s">
        <v>59</v>
      </c>
      <c r="D9" s="18">
        <v>29</v>
      </c>
      <c r="G9" s="65" t="str">
        <f>"Applied Force (" &amp; IF($B$4, "N", "lbf") &amp; ")"</f>
        <v>Applied Force (lbf)</v>
      </c>
      <c r="H9" s="19">
        <v>889.60000000000048</v>
      </c>
      <c r="I9" s="108">
        <f>I10/(($D$6-$D$7/2)/2*((PI()*($D$6-$D$7/2)*$D$14+$D$7*$D$8*COS(0.5*RADIANS($D$9)))/(PI()*($D$6-$D$7/2)*COS(0.5*RADIANS($D$9))-$D$14*$D$7*$D$8)))</f>
        <v>46.294429616346761</v>
      </c>
      <c r="J9" s="108">
        <f>J11/(($D$6-$D$7/2)/2*((PI()*$D$14*($D$6-$D$7/2)-$D$7*$D$8*COS(0.5*RADIANS($D$9)))/(PI()*($D$6-$D$7/2)*COS(0.5*RADIANS($D$9))+$D$14*$D$7*$D$8)))</f>
        <v>45.562656592416822</v>
      </c>
    </row>
    <row r="10" spans="2:10" x14ac:dyDescent="0.25">
      <c r="G10" s="66" t="str">
        <f>"Raise Torque (" &amp; IF($B$4, "Nmm", "in-lb") &amp; ")"</f>
        <v>Raise Torque (in-lb)</v>
      </c>
      <c r="H10" s="77">
        <f>H9*($D$6-$D$7/2)/2*((PI()*($D$6-$D$7/2)*$D$14+$D$7*$D$8*COS(0.5*RADIANS($D$9)))/(PI()*($D$6-$D$7/2)*COS(0.5*RADIANS($D$9))-$D$14*$D$7*$D$8))</f>
        <v>34.016878739721115</v>
      </c>
      <c r="I10" s="9">
        <v>1.7702248185519569</v>
      </c>
      <c r="J10" s="77">
        <f>J9*($D$6-$D$7/2)/2*((PI()*($D$6-$D$7/2)*$D$14+$D$7*$D$8*COS(0.5*RADIANS($D$9)))/(PI()*($D$6-$D$7/2)*COS(0.5*RADIANS($D$9))-$D$14*$D$7*$D$8))</f>
        <v>1.7422429905168582</v>
      </c>
    </row>
    <row r="11" spans="2:10" x14ac:dyDescent="0.25">
      <c r="C11" s="106" t="s">
        <v>60</v>
      </c>
      <c r="D11" s="18" t="s">
        <v>63</v>
      </c>
      <c r="G11" s="66" t="str">
        <f>"Lower Torque (" &amp; IF($B$4, "Nmm", "in-lb") &amp; ")"</f>
        <v>Lower Torque (in-lb)</v>
      </c>
      <c r="H11" s="77">
        <f>H9*($D$6-$D$7/2)/2*((PI()*$D$14*($D$6-$D$7/2)-$D$7*$D$8*COS(0.5*RADIANS($D$9)))/(PI()*($D$6-$D$7/2)*COS(0.5*RADIANS($D$9))+$D$14*$D$7*$D$8))</f>
        <v>5.1844825884645189</v>
      </c>
      <c r="I11" s="77">
        <f>I9*($D$6-$D$7/2)/2*((PI()*$D$14*($D$6-$D$7/2)-$D$7*$D$8*COS(0.5*RADIANS($D$9)))/(PI()*($D$6-$D$7/2)*COS(0.5*RADIANS($D$9))+$D$14*$D$7*$D$8))</f>
        <v>0.26979840859807303</v>
      </c>
      <c r="J11" s="9">
        <v>0.26553372278279341</v>
      </c>
    </row>
    <row r="12" spans="2:10" x14ac:dyDescent="0.25">
      <c r="C12" s="106" t="s">
        <v>61</v>
      </c>
      <c r="D12" s="18" t="s">
        <v>68</v>
      </c>
      <c r="G12" s="66" t="str">
        <f>"Eq. Raise Load (" &amp; IF($B$4, "kgf", "lbf") &amp; ")"</f>
        <v>Eq. Raise Load (lbf)</v>
      </c>
      <c r="H12" s="77">
        <f t="shared" ref="H12:J13" si="0">H10/$H$7/9.8</f>
        <v>218.09627825869933</v>
      </c>
      <c r="I12" s="77">
        <f t="shared" si="0"/>
        <v>11.349643439112555</v>
      </c>
      <c r="J12" s="77">
        <f t="shared" si="0"/>
        <v>11.170240366889946</v>
      </c>
    </row>
    <row r="13" spans="2:10" x14ac:dyDescent="0.25">
      <c r="C13" s="106" t="s">
        <v>62</v>
      </c>
      <c r="D13" s="18" t="s">
        <v>64</v>
      </c>
      <c r="G13" s="67" t="str">
        <f>"Eq. Lower Load (" &amp; IF($B$4, "kgf", "lbf") &amp; ")"</f>
        <v>Eq. Lower Load (lbf)</v>
      </c>
      <c r="H13" s="104">
        <f t="shared" si="0"/>
        <v>33.239862066498624</v>
      </c>
      <c r="I13" s="104">
        <f t="shared" si="0"/>
        <v>1.7297891804120888</v>
      </c>
      <c r="J13" s="104">
        <f t="shared" si="0"/>
        <v>1.7024465158668827</v>
      </c>
    </row>
    <row r="14" spans="2:10" x14ac:dyDescent="0.25">
      <c r="D14" s="3">
        <f>IF($D$11="Steel", IF($D$13="No",IF($D$12="Steel",0.2,IF($D$12="Bronze",0.19,IF($D$12="Brass",0.17,0.2))), IF($D$12="Steel",0.14,IF($D$12="Bronze",0.13,IF($D$12="Brass",0.13,0.14)))), IF($D$12="Steel",0.1,IF($D$12="Bronze",0.05,IF($D$12="Brass",0.05,0.08))))</f>
        <v>0.13</v>
      </c>
    </row>
    <row r="15" spans="2:10" x14ac:dyDescent="0.25">
      <c r="G15" s="65" t="s">
        <v>67</v>
      </c>
      <c r="H15" s="20">
        <v>5000</v>
      </c>
      <c r="I15" s="109">
        <f>I16*60/$D$7/$D$8*IF($B$4, 1000, 12)</f>
        <v>7200</v>
      </c>
    </row>
    <row r="16" spans="2:10" x14ac:dyDescent="0.25">
      <c r="C16" s="106" t="s">
        <v>65</v>
      </c>
      <c r="D16" s="110" t="b">
        <f>((PI()*$D$14*($D$6-$D$7/2)-$D$7*$D$8*COS(0.5*RADIANS($D$9)))/(PI()*($D$6-$D$7/2)*COS(0.5*RADIANS($D$9))+$D$14*$D$7*$D$8))&lt;0</f>
        <v>0</v>
      </c>
      <c r="G16" s="67" t="str">
        <f>"Linear Speed (" &amp; IF($B$4, "m", "ft") &amp; "/s)"</f>
        <v>Linear Speed (ft/s)</v>
      </c>
      <c r="H16" s="111">
        <f>H15/60*$D$7*$D$8/IF($B$4, 1000, 12)</f>
        <v>0.69444444444444453</v>
      </c>
      <c r="I16" s="21">
        <v>1</v>
      </c>
    </row>
    <row r="19" spans="3:10" ht="43.5" customHeight="1" x14ac:dyDescent="0.25">
      <c r="C19" s="143" t="s">
        <v>69</v>
      </c>
      <c r="D19" s="144"/>
      <c r="E19" s="144"/>
      <c r="F19" s="144"/>
      <c r="G19" s="144"/>
      <c r="H19" s="144"/>
      <c r="I19" s="144"/>
      <c r="J19" s="145"/>
    </row>
    <row r="20" spans="3:10" x14ac:dyDescent="0.25">
      <c r="C20" s="146" t="s">
        <v>70</v>
      </c>
      <c r="D20" s="147"/>
      <c r="E20" s="147"/>
      <c r="F20" s="147"/>
      <c r="G20" s="147"/>
      <c r="H20" s="147"/>
      <c r="I20" s="147"/>
      <c r="J20" s="148"/>
    </row>
    <row r="22" spans="3:10" ht="43.5" customHeight="1" x14ac:dyDescent="0.25">
      <c r="C22" s="143" t="s">
        <v>71</v>
      </c>
      <c r="D22" s="144"/>
      <c r="E22" s="144"/>
      <c r="F22" s="144"/>
      <c r="G22" s="144"/>
      <c r="H22" s="144"/>
      <c r="I22" s="144"/>
      <c r="J22" s="145"/>
    </row>
    <row r="23" spans="3:10" ht="29.25" customHeight="1" x14ac:dyDescent="0.25">
      <c r="C23" s="146" t="s">
        <v>72</v>
      </c>
      <c r="D23" s="147"/>
      <c r="E23" s="147"/>
      <c r="F23" s="147"/>
      <c r="G23" s="147"/>
      <c r="H23" s="147"/>
      <c r="I23" s="147"/>
      <c r="J23" s="148"/>
    </row>
  </sheetData>
  <sheetProtection sheet="1" objects="1" scenarios="1" formatCells="0" formatColumns="0" formatRows="0"/>
  <mergeCells count="4">
    <mergeCell ref="C19:J19"/>
    <mergeCell ref="C20:J20"/>
    <mergeCell ref="C22:J22"/>
    <mergeCell ref="C23:J23"/>
  </mergeCells>
  <conditionalFormatting sqref="J9:J10 J12:J13">
    <cfRule type="expression" dxfId="57" priority="6">
      <formula>$J$9&lt;0</formula>
    </cfRule>
  </conditionalFormatting>
  <conditionalFormatting sqref="I9 I11:I13">
    <cfRule type="expression" dxfId="56" priority="5">
      <formula>$I$9&lt;0</formula>
    </cfRule>
  </conditionalFormatting>
  <conditionalFormatting sqref="H9 I10 I16 H15 D6:D9">
    <cfRule type="cellIs" dxfId="55" priority="4" operator="lessThan">
      <formula>0</formula>
    </cfRule>
  </conditionalFormatting>
  <conditionalFormatting sqref="J11 I10 H9 I16 H15 D6:D9 D11:D13">
    <cfRule type="containsBlanks" dxfId="54" priority="3">
      <formula>LEN(TRIM(D6))=0</formula>
    </cfRule>
  </conditionalFormatting>
  <conditionalFormatting sqref="D9">
    <cfRule type="cellIs" dxfId="53" priority="2" operator="greaterThan">
      <formula>90</formula>
    </cfRule>
  </conditionalFormatting>
  <conditionalFormatting sqref="D6:D9 H9 I10 J11 H15 I16">
    <cfRule type="expression" dxfId="52" priority="1">
      <formula>ISTEXT(D6)</formula>
    </cfRule>
  </conditionalFormatting>
  <dataValidations count="4">
    <dataValidation type="list" allowBlank="1" showInputMessage="1" prompt="You can choose a common thread angle or enter a custom angle" sqref="D9">
      <formula1>"29,30,90"</formula1>
    </dataValidation>
    <dataValidation type="list" allowBlank="1" showInputMessage="1" showErrorMessage="1" sqref="D11">
      <formula1>"Steel,Bronze"</formula1>
    </dataValidation>
    <dataValidation type="list" allowBlank="1" showInputMessage="1" showErrorMessage="1" sqref="D12">
      <formula1>"Steel,Bronze,Brass,Cast Iron"</formula1>
    </dataValidation>
    <dataValidation type="list" allowBlank="1" showInputMessage="1" showErrorMessage="1" sqref="D13">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Metric">
              <controlPr locked="0" defaultSize="0" autoFill="0" autoLine="0" autoPict="0" macro="[0]!LeadScrew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2:N27"/>
  <sheetViews>
    <sheetView zoomScaleNormal="100" workbookViewId="0">
      <selection activeCell="I16" sqref="I16"/>
    </sheetView>
  </sheetViews>
  <sheetFormatPr defaultColWidth="9.140625" defaultRowHeight="15" x14ac:dyDescent="0.25"/>
  <cols>
    <col min="1" max="1" width="7.140625" style="1" customWidth="1"/>
    <col min="2" max="2" width="3.28515625" style="1" customWidth="1"/>
    <col min="3" max="3" width="21.5703125" style="1" customWidth="1"/>
    <col min="4" max="4" width="9.140625" style="1" customWidth="1"/>
    <col min="5" max="5" width="9.140625" style="1"/>
    <col min="6" max="6" width="14.28515625" style="1" customWidth="1"/>
    <col min="7" max="8" width="11.42578125" style="1" customWidth="1"/>
    <col min="9" max="9" width="9.140625" style="1" customWidth="1"/>
    <col min="10" max="10" width="11.85546875" style="1" customWidth="1"/>
    <col min="11" max="11" width="9" style="1" customWidth="1"/>
    <col min="12" max="12" width="9.140625" style="1" customWidth="1"/>
    <col min="13" max="16384" width="9.140625" style="1"/>
  </cols>
  <sheetData>
    <row r="2" spans="2:14" ht="31.5" x14ac:dyDescent="0.25">
      <c r="C2" s="2" t="s">
        <v>73</v>
      </c>
    </row>
    <row r="4" spans="2:14" x14ac:dyDescent="0.25">
      <c r="B4" s="8" t="b">
        <v>0</v>
      </c>
      <c r="C4" s="1" t="s">
        <v>0</v>
      </c>
    </row>
    <row r="6" spans="2:14" x14ac:dyDescent="0.25">
      <c r="C6" s="141" t="s">
        <v>6</v>
      </c>
      <c r="D6" s="149"/>
      <c r="E6" s="22" t="s">
        <v>34</v>
      </c>
      <c r="G6" s="95" t="s">
        <v>79</v>
      </c>
      <c r="H6" s="96" t="s">
        <v>80</v>
      </c>
      <c r="I6" s="96" t="s">
        <v>81</v>
      </c>
      <c r="J6" s="23" t="str">
        <f>"C-C dist. (" &amp; IF($B$4, "mm", "in") &amp; ")"</f>
        <v>C-C dist. (in)</v>
      </c>
    </row>
    <row r="7" spans="2:14" x14ac:dyDescent="0.25">
      <c r="C7" s="24" t="s">
        <v>1</v>
      </c>
      <c r="D7" s="25">
        <f>VLOOKUP($C$6, MotorSpecs, 2, FALSE)</f>
        <v>5330</v>
      </c>
      <c r="E7" s="26">
        <f>D7*(D14/12)</f>
        <v>4885.833333333333</v>
      </c>
      <c r="G7" s="27">
        <v>12</v>
      </c>
      <c r="H7" s="28">
        <v>54</v>
      </c>
      <c r="I7" s="28">
        <v>20</v>
      </c>
      <c r="J7" s="29">
        <f>IF(COUNTBLANK(G7:I7)&gt;0, "", ((G7+H7)/(2*I7)+0.003)*IF($B$4, 25.4, 1))</f>
        <v>1.6529999999999998</v>
      </c>
    </row>
    <row r="8" spans="2:14" x14ac:dyDescent="0.25">
      <c r="C8" s="30" t="s">
        <v>2</v>
      </c>
      <c r="D8" s="31">
        <f>VLOOKUP($C$6, MotorSpecs, 3, FALSE)</f>
        <v>2.41</v>
      </c>
      <c r="E8" s="32">
        <f>D8*D13*(D14/12)*D15</f>
        <v>10.604000000000001</v>
      </c>
      <c r="G8" s="27">
        <v>18</v>
      </c>
      <c r="H8" s="28">
        <v>50</v>
      </c>
      <c r="I8" s="28">
        <v>20</v>
      </c>
      <c r="J8" s="29">
        <f t="shared" ref="J8:J10" si="0">IF(COUNTBLANK(G8:I8)&gt;0, "", ((G8+H8)/(2*I8)+0.003)*IF($B$4, 25.4, 1))</f>
        <v>1.7029999999999998</v>
      </c>
    </row>
    <row r="9" spans="2:14" x14ac:dyDescent="0.25">
      <c r="C9" s="30" t="s">
        <v>3</v>
      </c>
      <c r="D9" s="33">
        <f>VLOOKUP($C$6, MotorSpecs, 4, FALSE)</f>
        <v>2.7</v>
      </c>
      <c r="E9" s="34">
        <f>D9*D13*(D14/12)</f>
        <v>14.850000000000001</v>
      </c>
      <c r="G9" s="27"/>
      <c r="H9" s="28"/>
      <c r="I9" s="28"/>
      <c r="J9" s="29" t="str">
        <f t="shared" si="0"/>
        <v/>
      </c>
    </row>
    <row r="10" spans="2:14" x14ac:dyDescent="0.25">
      <c r="C10" s="30" t="s">
        <v>4</v>
      </c>
      <c r="D10" s="35">
        <f>VLOOKUP($C$6, MotorSpecs, 5, FALSE)</f>
        <v>131</v>
      </c>
      <c r="E10" s="36">
        <f>D10*D13*(D14/12)</f>
        <v>720.5</v>
      </c>
      <c r="G10" s="27"/>
      <c r="H10" s="28"/>
      <c r="I10" s="28"/>
      <c r="J10" s="29" t="str">
        <f t="shared" si="0"/>
        <v/>
      </c>
    </row>
    <row r="11" spans="2:14" x14ac:dyDescent="0.25">
      <c r="C11" s="37" t="s">
        <v>5</v>
      </c>
      <c r="D11" s="38">
        <f>VLOOKUP($C$6, MotorSpecs, 6, FALSE)</f>
        <v>336.28916760964142</v>
      </c>
      <c r="E11" s="39">
        <f>(E7/60*2*PI())*E8/4</f>
        <v>1356.3663093588871</v>
      </c>
    </row>
    <row r="12" spans="2:14" x14ac:dyDescent="0.25">
      <c r="G12" s="152" t="s">
        <v>82</v>
      </c>
      <c r="H12" s="153"/>
      <c r="I12" s="40">
        <f>IF(COUNTBLANK($H$7:$H$10)&lt;4, PRODUCT($H$7:$H$10), 1)/IF(COUNTBLANK($G$7:$G$10)&lt;4, PRODUCT($G$7:$G$10), 1)</f>
        <v>12.5</v>
      </c>
    </row>
    <row r="13" spans="2:14" x14ac:dyDescent="0.25">
      <c r="C13" s="41" t="s">
        <v>84</v>
      </c>
      <c r="D13" s="11">
        <v>6</v>
      </c>
      <c r="G13" s="152" t="str">
        <f>"Adjusted Speed (" &amp; IF($B$4, "m", "ft") &amp; "/s)"</f>
        <v>Adjusted Speed (ft/s)</v>
      </c>
      <c r="H13" s="153"/>
      <c r="I13" s="42">
        <f>I14*$D$16</f>
        <v>6.0715001399693671</v>
      </c>
      <c r="N13" s="43"/>
    </row>
    <row r="14" spans="2:14" x14ac:dyDescent="0.25">
      <c r="C14" s="41" t="s">
        <v>36</v>
      </c>
      <c r="D14" s="11">
        <v>11</v>
      </c>
      <c r="G14" s="152" t="str">
        <f>"Free Speed (" &amp; IF($B$4, "m", "ft") &amp; "/s)"</f>
        <v>Free Speed (ft/s)</v>
      </c>
      <c r="H14" s="153"/>
      <c r="I14" s="42">
        <f>($E$7/60)/I12*(D20*PI()/12)/IF($B$4, 3.281, 1)</f>
        <v>6.8219102696285026</v>
      </c>
    </row>
    <row r="15" spans="2:14" x14ac:dyDescent="0.25">
      <c r="C15" s="41" t="s">
        <v>74</v>
      </c>
      <c r="D15" s="14">
        <v>0.8</v>
      </c>
      <c r="G15" s="152" t="s">
        <v>83</v>
      </c>
      <c r="H15" s="153"/>
      <c r="I15" s="44">
        <f>(($E$10-$E$9)/$E$8)*$D$19*$D$17*D21/$D$13*(D20/2)/I12*4.448*0.0254 + $E$9/$D$13</f>
        <v>33.350043284094049</v>
      </c>
    </row>
    <row r="16" spans="2:14" x14ac:dyDescent="0.25">
      <c r="C16" s="41" t="s">
        <v>75</v>
      </c>
      <c r="D16" s="14">
        <v>0.89</v>
      </c>
    </row>
    <row r="17" spans="3:12" x14ac:dyDescent="0.25">
      <c r="C17" s="41" t="s">
        <v>76</v>
      </c>
      <c r="D17" s="14">
        <v>1</v>
      </c>
      <c r="E17" s="3"/>
      <c r="G17" s="45" t="s">
        <v>79</v>
      </c>
      <c r="H17" s="46" t="s">
        <v>80</v>
      </c>
      <c r="J17" s="150" t="s">
        <v>82</v>
      </c>
      <c r="K17" s="151"/>
      <c r="L17" s="40">
        <f>IF(COUNTBLANK($H$7:$H$10)&lt;4, PRODUCT($H$7:$H$10), 1)*IF(ISBLANK(H18), 1, H18) / (IF(COUNTBLANK($G$7:$G$10)&lt;4, PRODUCT($G$7:$G$10), 1)*IF(ISBLANK(G18), 1, G18))</f>
        <v>15.625</v>
      </c>
    </row>
    <row r="18" spans="3:12" x14ac:dyDescent="0.25">
      <c r="D18" s="5"/>
      <c r="E18" s="3"/>
      <c r="G18" s="47">
        <v>12</v>
      </c>
      <c r="H18" s="48">
        <v>15</v>
      </c>
      <c r="J18" s="150" t="str">
        <f>"Adjusted Speed (" &amp; IF($B$4, "m", "ft") &amp; "/s)"</f>
        <v>Adjusted Speed (ft/s)</v>
      </c>
      <c r="K18" s="151"/>
      <c r="L18" s="42">
        <f>L19*$D$16</f>
        <v>4.8572001119754944</v>
      </c>
    </row>
    <row r="19" spans="3:12" x14ac:dyDescent="0.25">
      <c r="C19" s="41" t="str">
        <f>"Robot Weight  (" &amp; IF($B$4, "kg", "lbs") &amp; ")"</f>
        <v>Robot Weight  (lbs)</v>
      </c>
      <c r="D19" s="49">
        <v>154</v>
      </c>
      <c r="G19" s="50" t="s">
        <v>81</v>
      </c>
      <c r="H19" s="51"/>
      <c r="J19" s="150" t="str">
        <f>"Free Speed (" &amp; IF($B$4, "m", "ft") &amp; "/s)"</f>
        <v>Free Speed (ft/s)</v>
      </c>
      <c r="K19" s="151"/>
      <c r="L19" s="42">
        <f>($E$7/60)/L17*(D20*PI()/12)/IF($B$4, 3.281, 1)</f>
        <v>5.4575282157028022</v>
      </c>
    </row>
    <row r="20" spans="3:12" x14ac:dyDescent="0.25">
      <c r="C20" s="41" t="str">
        <f>"Wheel Diam. (" &amp; IF($B$4, "mm", "in") &amp; ")"</f>
        <v>Wheel Diam. (in)</v>
      </c>
      <c r="D20" s="52">
        <v>4</v>
      </c>
      <c r="G20" s="53" t="str">
        <f>"C-C (" &amp; IF($B$4, "mm", "in") &amp; ")"</f>
        <v>C-C (in)</v>
      </c>
      <c r="H20" s="54" t="str">
        <f>IF(COUNTBLANK(G18:H19)&gt;0, "", ((G18+H18)/(2*H19)+0.003)*IF($B$4, 25.4, 1))</f>
        <v/>
      </c>
      <c r="J20" s="150" t="s">
        <v>83</v>
      </c>
      <c r="K20" s="151"/>
      <c r="L20" s="44">
        <f>(($E$10-$E$9)/$E$8)*$D$19*$D$17*D21/$D$13*(D20/2)/L17*4.448*0.0254 + $E$9/$D$13</f>
        <v>27.175034627275242</v>
      </c>
    </row>
    <row r="21" spans="3:12" x14ac:dyDescent="0.25">
      <c r="C21" s="41" t="s">
        <v>77</v>
      </c>
      <c r="D21" s="52">
        <v>1</v>
      </c>
    </row>
    <row r="22" spans="3:12" x14ac:dyDescent="0.25">
      <c r="G22" s="45" t="s">
        <v>79</v>
      </c>
      <c r="H22" s="46" t="s">
        <v>80</v>
      </c>
      <c r="J22" s="154" t="s">
        <v>82</v>
      </c>
      <c r="K22" s="155"/>
      <c r="L22" s="40">
        <f>IF(COUNTBLANK($H$7:$H$10)&lt;4, PRODUCT($H$7:$H$10), 1)*IF(ISBLANK(H23), 1, H23) / (IF(COUNTBLANK($G$7:$G$10)&lt;4, PRODUCT($G$7:$G$10), 1)*IF(ISBLANK(G23), 1, G23))</f>
        <v>25</v>
      </c>
    </row>
    <row r="23" spans="3:12" x14ac:dyDescent="0.25">
      <c r="C23" s="55" t="s">
        <v>78</v>
      </c>
      <c r="D23" s="8" t="b">
        <v>0</v>
      </c>
      <c r="G23" s="47"/>
      <c r="H23" s="48">
        <v>2</v>
      </c>
      <c r="J23" s="154" t="str">
        <f>"Adjusted Speed (" &amp; IF($B$4, "m", "ft") &amp; "/s)"</f>
        <v>Adjusted Speed (ft/s)</v>
      </c>
      <c r="K23" s="155"/>
      <c r="L23" s="42">
        <f>L24*$D$16</f>
        <v>3.0357500699846836</v>
      </c>
    </row>
    <row r="24" spans="3:12" x14ac:dyDescent="0.25">
      <c r="C24" s="55" t="s">
        <v>221</v>
      </c>
      <c r="D24" s="8" t="b">
        <v>0</v>
      </c>
      <c r="G24" s="50" t="s">
        <v>81</v>
      </c>
      <c r="H24" s="51"/>
      <c r="J24" s="154" t="str">
        <f>"Free Speed (" &amp; IF($B$4, "m", "ft") &amp; "/s)"</f>
        <v>Free Speed (ft/s)</v>
      </c>
      <c r="K24" s="155"/>
      <c r="L24" s="42">
        <f>($E$7/60)/L22*(IF(D24,D26,D20)*PI()/12)/IF($B$4, 3.281, 1)</f>
        <v>3.4109551348142513</v>
      </c>
    </row>
    <row r="25" spans="3:12" x14ac:dyDescent="0.25">
      <c r="G25" s="53" t="str">
        <f>"C-C (" &amp; IF($B$4, "mm", "in") &amp; ")"</f>
        <v>C-C (in)</v>
      </c>
      <c r="H25" s="54" t="str">
        <f>IF(COUNTBLANK(G23:H24)&gt;0, "", ((G23+H23)/(2*H24)+0.003)*IF($B$4, 25.4, 1))</f>
        <v/>
      </c>
      <c r="J25" s="154" t="s">
        <v>83</v>
      </c>
      <c r="K25" s="155"/>
      <c r="L25" s="44">
        <f>(($E$10-$E$9)/$E$8)*$D$19*$D$17*IF(D24,D27,D21)/$D$13*(IF(D24,D26,D20)/2)/L22*4.448*0.0254 + $E$9/$D$13</f>
        <v>17.912521642047025</v>
      </c>
    </row>
    <row r="26" spans="3:12" x14ac:dyDescent="0.25">
      <c r="C26" s="94" t="str">
        <f>"2nd Wheel Diam. (" &amp; IF($B$4, "mm", "in") &amp; ")"</f>
        <v>2nd Wheel Diam. (in)</v>
      </c>
      <c r="D26" s="11">
        <v>6</v>
      </c>
    </row>
    <row r="27" spans="3:12" x14ac:dyDescent="0.25">
      <c r="C27" s="94" t="s">
        <v>104</v>
      </c>
      <c r="D27" s="11">
        <v>1.2</v>
      </c>
    </row>
  </sheetData>
  <sheetProtection sheet="1" objects="1" scenarios="1" formatCells="0" formatColumns="0" formatRows="0"/>
  <dataConsolidate/>
  <mergeCells count="13">
    <mergeCell ref="J25:K25"/>
    <mergeCell ref="J22:K22"/>
    <mergeCell ref="J24:K24"/>
    <mergeCell ref="G12:H12"/>
    <mergeCell ref="J23:K23"/>
    <mergeCell ref="C6:D6"/>
    <mergeCell ref="J20:K20"/>
    <mergeCell ref="G13:H13"/>
    <mergeCell ref="G14:H14"/>
    <mergeCell ref="G15:H15"/>
    <mergeCell ref="J18:K18"/>
    <mergeCell ref="J17:K17"/>
    <mergeCell ref="J19:K19"/>
  </mergeCells>
  <conditionalFormatting sqref="D14">
    <cfRule type="cellIs" dxfId="51" priority="23" operator="greaterThan">
      <formula>12</formula>
    </cfRule>
  </conditionalFormatting>
  <conditionalFormatting sqref="D13:D17 D19:D21">
    <cfRule type="cellIs" dxfId="50" priority="20" operator="lessThanOrEqual">
      <formula>0</formula>
    </cfRule>
  </conditionalFormatting>
  <conditionalFormatting sqref="D15:D17">
    <cfRule type="cellIs" dxfId="49" priority="13" operator="greaterThan">
      <formula>1</formula>
    </cfRule>
  </conditionalFormatting>
  <conditionalFormatting sqref="D13:D17 D19:D21">
    <cfRule type="containsBlanks" dxfId="48" priority="9">
      <formula>LEN(TRIM(D13))=0</formula>
    </cfRule>
  </conditionalFormatting>
  <conditionalFormatting sqref="G7:I10 G18:H18 H19 D26:D27 G23:H23 H24">
    <cfRule type="cellIs" dxfId="47" priority="7" operator="lessThan">
      <formula>0</formula>
    </cfRule>
  </conditionalFormatting>
  <conditionalFormatting sqref="C26:D27">
    <cfRule type="expression" dxfId="46" priority="24">
      <formula>NOT($D$24)</formula>
    </cfRule>
  </conditionalFormatting>
  <conditionalFormatting sqref="G17:L25">
    <cfRule type="expression" dxfId="45" priority="25">
      <formula>NOT($D$23)</formula>
    </cfRule>
  </conditionalFormatting>
  <conditionalFormatting sqref="G12:I15">
    <cfRule type="expression" dxfId="44" priority="2">
      <formula>$D$23</formula>
    </cfRule>
  </conditionalFormatting>
  <conditionalFormatting sqref="D13:D17 D19:D21 G7:I10 G18:H18 H19 G23:H23 H24">
    <cfRule type="expression" dxfId="43" priority="1">
      <formula>ISTEXT(D7)</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Metric">
              <controlPr locked="0" defaultSize="0" autoFill="0" autoLine="0" autoPict="0" macro="[0]!Drivetrain_Metric">
                <anchor moveWithCells="1">
                  <from>
                    <xdr:col>1</xdr:col>
                    <xdr:colOff>0</xdr:colOff>
                    <xdr:row>2</xdr:row>
                    <xdr:rowOff>171450</xdr:rowOff>
                  </from>
                  <to>
                    <xdr:col>2</xdr:col>
                    <xdr:colOff>9525</xdr:colOff>
                    <xdr:row>4</xdr:row>
                    <xdr:rowOff>0</xdr:rowOff>
                  </to>
                </anchor>
              </controlPr>
            </control>
          </mc:Choice>
        </mc:AlternateContent>
        <mc:AlternateContent xmlns:mc="http://schemas.openxmlformats.org/markup-compatibility/2006">
          <mc:Choice Requires="x14">
            <control shapeId="5126" r:id="rId5" name="Shifting">
              <controlPr locked="0" defaultSize="0" autoFill="0" autoLine="0" autoPict="0" macro="[0]!Drivetrain_Shifting">
                <anchor moveWithCells="1">
                  <from>
                    <xdr:col>3</xdr:col>
                    <xdr:colOff>0</xdr:colOff>
                    <xdr:row>21</xdr:row>
                    <xdr:rowOff>180975</xdr:rowOff>
                  </from>
                  <to>
                    <xdr:col>3</xdr:col>
                    <xdr:colOff>228600</xdr:colOff>
                    <xdr:row>22</xdr:row>
                    <xdr:rowOff>180975</xdr:rowOff>
                  </to>
                </anchor>
              </controlPr>
            </control>
          </mc:Choice>
        </mc:AlternateContent>
        <mc:AlternateContent xmlns:mc="http://schemas.openxmlformats.org/markup-compatibility/2006">
          <mc:Choice Requires="x14">
            <control shapeId="5127" r:id="rId6" name="2Wheels">
              <controlPr locked="0" defaultSize="0" autoFill="0" autoLine="0" autoPict="0" macro="[0]!Drivetrain_2Wheels">
                <anchor moveWithCells="1">
                  <from>
                    <xdr:col>3</xdr:col>
                    <xdr:colOff>0</xdr:colOff>
                    <xdr:row>22</xdr:row>
                    <xdr:rowOff>180975</xdr:rowOff>
                  </from>
                  <to>
                    <xdr:col>3</xdr:col>
                    <xdr:colOff>228600</xdr:colOff>
                    <xdr:row>23</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P23"/>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10.7109375" style="1" customWidth="1"/>
    <col min="5" max="5" width="12.85546875" style="1" customWidth="1"/>
    <col min="6" max="6" width="24.28515625" style="1" customWidth="1"/>
    <col min="7" max="7" width="9.140625" style="1"/>
    <col min="8" max="8" width="9.140625" style="1" customWidth="1"/>
    <col min="9" max="9" width="24.28515625" style="1" customWidth="1"/>
    <col min="10" max="10" width="9.140625" style="1"/>
    <col min="11" max="11" width="9.140625" style="1" customWidth="1"/>
    <col min="12" max="12" width="19.85546875" style="1" customWidth="1"/>
    <col min="13" max="13" width="9.140625" style="1"/>
    <col min="14" max="14" width="9.140625" style="1" customWidth="1"/>
    <col min="15" max="15" width="24.28515625" style="1" customWidth="1"/>
    <col min="16" max="16384" width="9.140625" style="1"/>
  </cols>
  <sheetData>
    <row r="2" spans="2:16" ht="31.5" x14ac:dyDescent="0.25">
      <c r="C2" s="2" t="s">
        <v>85</v>
      </c>
    </row>
    <row r="4" spans="2:16" x14ac:dyDescent="0.25">
      <c r="B4" s="8" t="b">
        <v>0</v>
      </c>
      <c r="C4" s="1" t="s">
        <v>0</v>
      </c>
    </row>
    <row r="6" spans="2:16" ht="18.75" x14ac:dyDescent="0.25">
      <c r="D6" s="5"/>
      <c r="F6" s="156" t="s">
        <v>90</v>
      </c>
      <c r="G6" s="156"/>
      <c r="I6" s="156" t="s">
        <v>89</v>
      </c>
      <c r="J6" s="156"/>
      <c r="L6" s="156" t="s">
        <v>91</v>
      </c>
      <c r="M6" s="156"/>
      <c r="O6" s="56" t="s">
        <v>92</v>
      </c>
      <c r="P6" s="56"/>
    </row>
    <row r="7" spans="2:16" x14ac:dyDescent="0.25">
      <c r="D7" s="5"/>
    </row>
    <row r="8" spans="2:16" x14ac:dyDescent="0.25">
      <c r="C8" s="95" t="s">
        <v>88</v>
      </c>
      <c r="D8" s="11" t="s">
        <v>227</v>
      </c>
      <c r="F8" s="95" t="str">
        <f>"Load Force (" &amp; IF($B$4, "kgf", "lbf") &amp; ")"</f>
        <v>Load Force (lbf)</v>
      </c>
      <c r="G8" s="52">
        <v>160</v>
      </c>
      <c r="I8" s="95" t="str">
        <f>"Load Force (" &amp; IF($B$4, "kgf", "lbf") &amp; ")"</f>
        <v>Load Force (lbf)</v>
      </c>
      <c r="J8" s="52">
        <v>160</v>
      </c>
      <c r="L8" s="95" t="str">
        <f>"Length (" &amp; IF($B$4, "mm", "in") &amp; ")"</f>
        <v>Length (in)</v>
      </c>
      <c r="M8" s="52">
        <v>20</v>
      </c>
      <c r="O8" s="95" t="str">
        <f>"Torque (" &amp; IF($B$4, "Nmm", "in-lbs") &amp; ")"</f>
        <v>Torque (in-lbs)</v>
      </c>
      <c r="P8" s="52">
        <v>1500</v>
      </c>
    </row>
    <row r="9" spans="2:16" x14ac:dyDescent="0.25">
      <c r="D9" s="57"/>
      <c r="F9" s="95" t="str">
        <f>"Distance To Support (" &amp; IF($B$4, "mm", "in") &amp; ")"</f>
        <v>Distance To Support (in)</v>
      </c>
      <c r="G9" s="52">
        <v>8</v>
      </c>
      <c r="H9" s="58"/>
      <c r="I9" s="95" t="str">
        <f>"Distance To Support (" &amp; IF($B$4, "mm", "in") &amp; ")"</f>
        <v>Distance To Support (in)</v>
      </c>
      <c r="J9" s="52">
        <v>3</v>
      </c>
      <c r="K9" s="58"/>
      <c r="L9" s="95" t="s">
        <v>226</v>
      </c>
      <c r="M9" s="16">
        <v>0.8</v>
      </c>
      <c r="N9" s="58"/>
      <c r="O9" s="95" t="str">
        <f>"Distance To Support (" &amp; IF($B$4, "mm", "in") &amp; ")"</f>
        <v>Distance To Support (in)</v>
      </c>
      <c r="P9" s="52">
        <v>3</v>
      </c>
    </row>
    <row r="10" spans="2:16" x14ac:dyDescent="0.25">
      <c r="C10" s="95" t="s">
        <v>86</v>
      </c>
      <c r="D10" s="11" t="s">
        <v>87</v>
      </c>
      <c r="F10" s="95" t="str">
        <f>"Dist. Btwn. Supports (" &amp; IF($B$4, "mm", "in") &amp; ")"</f>
        <v>Dist. Btwn. Supports (in)</v>
      </c>
      <c r="G10" s="52">
        <v>20</v>
      </c>
      <c r="I10" s="95" t="str">
        <f>"Length (" &amp; IF($B$4, "mm", "in") &amp; ")"</f>
        <v>Length (in)</v>
      </c>
      <c r="J10" s="52">
        <v>10</v>
      </c>
    </row>
    <row r="11" spans="2:16" x14ac:dyDescent="0.25">
      <c r="C11" s="95" t="str">
        <f>CHOOSE(MATCH($D$10,{"Hex","Round","Round Tube","Square","Rect. Tube"},0), "Size","Diameter","Outside Diam.","Size","║ Size") &amp; " (" &amp; IF($B$4,"mm","in") &amp; ")"</f>
        <v>Size (in)</v>
      </c>
      <c r="D11" s="15">
        <v>0.49999999999999983</v>
      </c>
    </row>
    <row r="12" spans="2:16" x14ac:dyDescent="0.25">
      <c r="C12" s="95" t="str">
        <f>CHOOSE(MATCH($D$10,{"Hex","Round","Round Tube","Square","Rect. Tube"},0), "","","Wall Thick. ("&amp;IF($B$4,"in","mm")&amp;")","","┴ Size ("&amp;IF($B$4,"mm","in")&amp;")")</f>
        <v/>
      </c>
      <c r="D12" s="15">
        <v>0.11811023622047244</v>
      </c>
    </row>
    <row r="13" spans="2:16" x14ac:dyDescent="0.25">
      <c r="C13" s="95" t="str">
        <f>CHOOSE(MATCH($D$10,{"Hex","Round","Round Tube","Square","Rect. Tube"},0), "","","","","Wall Thick. ("&amp;IF($B$4,"mm","in")&amp;")")</f>
        <v/>
      </c>
      <c r="D13" s="15">
        <v>0</v>
      </c>
      <c r="F13" s="95" t="str">
        <f>"Displacement (" &amp; IF($B$4, "mm", "in") &amp; ")"</f>
        <v>Displacement (in)</v>
      </c>
      <c r="G13" s="7">
        <f>4*G8*IF($B$4, 9.8, 1)*(MAX(G9,G10-G9))^3*(MIN(G9,G10-G9))^2 / (3*D20*D22*(3*MAX(G9,G10-G9)+MIN(G9,G10-G9))^2)</f>
        <v>0.31197632003203801</v>
      </c>
      <c r="I13" s="95" t="str">
        <f>"Displacement (" &amp; IF($B$4, "mm", "in") &amp; ")"</f>
        <v>Displacement (in)</v>
      </c>
      <c r="J13" s="42">
        <f>(J8*IF($B$4, 9.8, 1))*J9^2/(6*D22*D20)*(3*J10-J9)</f>
        <v>0.16588975220453583</v>
      </c>
      <c r="L13" s="95" t="str">
        <f>"Max. Force (" &amp; IF($B$4, "kgf", "lbf") &amp; ")"</f>
        <v>Max. Force (lbf)</v>
      </c>
      <c r="M13" s="6">
        <f>PI()^2*D22*D20/(M8*M9)^2 / IF($B$4, 9.8, 1)</f>
        <v>1505.9662099835457</v>
      </c>
      <c r="O13" s="95" t="s">
        <v>93</v>
      </c>
      <c r="P13" s="42">
        <f>DEGREES(P8*P9/(D23*D21))</f>
        <v>9.162526370559771</v>
      </c>
    </row>
    <row r="14" spans="2:16" x14ac:dyDescent="0.25">
      <c r="G14" s="57"/>
    </row>
    <row r="15" spans="2:16" ht="15" customHeight="1" x14ac:dyDescent="0.25">
      <c r="C15" s="157" t="s">
        <v>220</v>
      </c>
      <c r="D15" s="158"/>
    </row>
    <row r="16" spans="2:16" ht="15" customHeight="1" x14ac:dyDescent="0.25">
      <c r="C16" s="159"/>
      <c r="D16" s="160"/>
    </row>
    <row r="17" spans="3:4" ht="15" customHeight="1" x14ac:dyDescent="0.25">
      <c r="C17" s="159"/>
      <c r="D17" s="160"/>
    </row>
    <row r="18" spans="3:4" x14ac:dyDescent="0.25">
      <c r="C18" s="161"/>
      <c r="D18" s="162"/>
    </row>
    <row r="20" spans="3:4" x14ac:dyDescent="0.25">
      <c r="C20" s="59" t="s">
        <v>94</v>
      </c>
      <c r="D20" s="60">
        <f>CHOOSE(MATCH($D$10,{"Hex","Round","Round Tube","Square","Rect. Tube"},0), 0.0601*$D$11^4, PI()/64*$D$11^4, PI()*$D$11^3*$D$12, $D$11^4/12, $D$11^2*$D$12*$D$13/3)</f>
        <v>3.7562499999999948E-3</v>
      </c>
    </row>
    <row r="21" spans="3:4" x14ac:dyDescent="0.25">
      <c r="C21" s="59" t="s">
        <v>95</v>
      </c>
      <c r="D21" s="60">
        <f>CHOOSE(MATCH($D$10,{"Hex","Round","Round Tube","Square","Rect. Tube"},0), 0.1154*$D$11^4, PI()/32*$D$11^4, PI()/4*$D$11^3*$D$12, 9/64*$D$11^4, (2*$D$13^2*($D$12-$D$13)^2*($D$11-$D$13)^2)/($D$11*$D$13+$D$12*$D$13-2*$D$13^2))</f>
        <v>7.2124999999999906E-3</v>
      </c>
    </row>
    <row r="22" spans="3:4" x14ac:dyDescent="0.25">
      <c r="C22" s="59" t="s">
        <v>96</v>
      </c>
      <c r="D22" s="3">
        <f>VLOOKUP($D$8, MaterialSpecs, 2, 0)*IF($B$4, 1, 145.038)</f>
        <v>10399224.600000001</v>
      </c>
    </row>
    <row r="23" spans="3:4" x14ac:dyDescent="0.25">
      <c r="C23" s="59" t="s">
        <v>97</v>
      </c>
      <c r="D23" s="3">
        <f>VLOOKUP($D$8, MaterialSpecs, 3, 0)*IF($B$4, 1, 145.038)</f>
        <v>3901522.2</v>
      </c>
    </row>
  </sheetData>
  <sheetProtection sheet="1" objects="1" scenarios="1" formatCells="0" formatColumns="0" formatRows="0"/>
  <mergeCells count="4">
    <mergeCell ref="L6:M6"/>
    <mergeCell ref="F6:G6"/>
    <mergeCell ref="I6:J6"/>
    <mergeCell ref="C15:D18"/>
  </mergeCells>
  <conditionalFormatting sqref="C13:D13">
    <cfRule type="expression" dxfId="42" priority="4">
      <formula>NOT($D$10="Rect. Tube")</formula>
    </cfRule>
  </conditionalFormatting>
  <conditionalFormatting sqref="C12:D13">
    <cfRule type="expression" dxfId="41" priority="7">
      <formula>NOT(OR($D$10="Round Tube", $D$10="Rect. Tube"))</formula>
    </cfRule>
  </conditionalFormatting>
  <conditionalFormatting sqref="D11:D13 G8:G10 J8:J10 M8:M9 P8:P9">
    <cfRule type="cellIs" dxfId="40" priority="8" operator="lessThanOrEqual">
      <formula>0</formula>
    </cfRule>
  </conditionalFormatting>
  <conditionalFormatting sqref="G9">
    <cfRule type="cellIs" dxfId="39" priority="3" operator="greaterThanOrEqual">
      <formula>$G$10</formula>
    </cfRule>
  </conditionalFormatting>
  <conditionalFormatting sqref="D11 G8:G10 J8:J10 M8:M9 P8:P9">
    <cfRule type="expression" dxfId="38" priority="2">
      <formula>ISTEXT(D8)</formula>
    </cfRule>
  </conditionalFormatting>
  <conditionalFormatting sqref="D11">
    <cfRule type="containsBlanks" dxfId="37" priority="1">
      <formula>LEN(TRIM(D11))=0</formula>
    </cfRule>
  </conditionalFormatting>
  <dataValidations count="3">
    <dataValidation type="list" allowBlank="1" showInputMessage="1" showErrorMessage="1" sqref="D10">
      <formula1>"Hex,Round,Round Tube,Square,Rect. Tube"</formula1>
    </dataValidation>
    <dataValidation type="list" allowBlank="1" showInputMessage="1" showErrorMessage="1" sqref="D8">
      <formula1>Materials</formula1>
    </dataValidation>
    <dataValidation type="list" allowBlank="1" showInputMessage="1" showErrorMessage="1" prompt="Select a common value from the list or write in a custom value." sqref="M9">
      <formula1>"0.65,0.80,1.20,1.00,2.10,2.00"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Metric">
              <controlPr locked="0" defaultSize="0" autoFill="0" autoLine="0" autoPict="0" macro="[0]!BeamBend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2:Q135"/>
  <sheetViews>
    <sheetView zoomScaleNormal="100" workbookViewId="0"/>
  </sheetViews>
  <sheetFormatPr defaultColWidth="9.140625" defaultRowHeight="15" x14ac:dyDescent="0.25"/>
  <cols>
    <col min="1" max="1" width="7.140625" style="1" customWidth="1"/>
    <col min="2" max="2" width="3.28515625" style="1" customWidth="1"/>
    <col min="3" max="3" width="21.140625" style="1" customWidth="1"/>
    <col min="4" max="4" width="9.28515625" style="1" customWidth="1"/>
    <col min="5" max="5" width="9.140625" style="1" customWidth="1"/>
    <col min="6" max="6" width="21.140625" style="1" customWidth="1"/>
    <col min="7" max="8" width="9.140625" style="1"/>
    <col min="9" max="9" width="9.140625" style="1" customWidth="1"/>
    <col min="10" max="10" width="1.5703125" style="1" customWidth="1"/>
    <col min="11" max="16384" width="9.140625" style="1"/>
  </cols>
  <sheetData>
    <row r="2" spans="2:16" ht="31.5" x14ac:dyDescent="0.25">
      <c r="C2" s="2" t="s">
        <v>98</v>
      </c>
    </row>
    <row r="4" spans="2:16" x14ac:dyDescent="0.25">
      <c r="B4" s="8" t="b">
        <v>1</v>
      </c>
      <c r="C4" s="1" t="s">
        <v>0</v>
      </c>
    </row>
    <row r="6" spans="2:16" ht="18.75" x14ac:dyDescent="0.25">
      <c r="C6" s="156" t="s">
        <v>99</v>
      </c>
      <c r="D6" s="156"/>
      <c r="F6" s="156" t="s">
        <v>102</v>
      </c>
      <c r="G6" s="156"/>
      <c r="I6" s="163" t="s">
        <v>99</v>
      </c>
      <c r="J6" s="164"/>
    </row>
    <row r="7" spans="2:16" x14ac:dyDescent="0.25">
      <c r="C7" s="95" t="str">
        <f>"Distance to Target (" &amp; IF($B$4, "m", "ft") &amp; ")"</f>
        <v>Distance to Target (m)</v>
      </c>
      <c r="D7" s="52">
        <v>1.523925632429137</v>
      </c>
      <c r="F7" s="95" t="str">
        <f>"Distance to Target (" &amp; IF($B$4, "m", "ft") &amp; ")"</f>
        <v>Distance to Target (m)</v>
      </c>
      <c r="G7" s="52">
        <v>1.523925632429137</v>
      </c>
    </row>
    <row r="8" spans="2:16" x14ac:dyDescent="0.25">
      <c r="C8" s="95" t="str">
        <f>"Release Height (" &amp; IF($B$4, "m", "ft") &amp; ")"</f>
        <v>Release Height (m)</v>
      </c>
      <c r="D8" s="52">
        <v>0.3047851264858274</v>
      </c>
      <c r="F8" s="95" t="str">
        <f>"Release Height (" &amp; IF($B$4, "m", "ft") &amp; ")"</f>
        <v>Release Height (m)</v>
      </c>
      <c r="G8" s="52">
        <v>0.3047851264858274</v>
      </c>
      <c r="I8" s="58"/>
      <c r="J8" s="58">
        <v>0</v>
      </c>
      <c r="L8" s="58"/>
      <c r="M8" s="58">
        <v>0</v>
      </c>
      <c r="O8" s="58"/>
      <c r="P8" s="58">
        <v>0</v>
      </c>
    </row>
    <row r="9" spans="2:16" x14ac:dyDescent="0.25">
      <c r="C9" s="95" t="str">
        <f>"Release Velocity (" &amp; IF($B$4, "m", "ft") &amp; "/s)"</f>
        <v>Release Velocity (m/s)</v>
      </c>
      <c r="D9" s="52">
        <v>4.5717768972874122</v>
      </c>
      <c r="F9" s="95" t="str">
        <f>"Target Height (" &amp; IF($B$4, "m", "ft") &amp; ")"</f>
        <v>Target Height (m)</v>
      </c>
      <c r="G9" s="52">
        <v>1.2191405059433096</v>
      </c>
      <c r="I9" s="58"/>
      <c r="J9" s="58">
        <v>0</v>
      </c>
      <c r="O9" s="58"/>
      <c r="P9" s="58">
        <v>0</v>
      </c>
    </row>
    <row r="10" spans="2:16" x14ac:dyDescent="0.25">
      <c r="C10" s="95" t="s">
        <v>100</v>
      </c>
      <c r="D10" s="74">
        <v>70</v>
      </c>
      <c r="F10" s="95" t="s">
        <v>103</v>
      </c>
      <c r="G10" s="74">
        <v>-60</v>
      </c>
      <c r="I10" s="61"/>
      <c r="J10" s="58">
        <v>0</v>
      </c>
    </row>
    <row r="11" spans="2:16" x14ac:dyDescent="0.25">
      <c r="D11" s="57"/>
      <c r="G11" s="57"/>
    </row>
    <row r="12" spans="2:16" x14ac:dyDescent="0.25">
      <c r="D12" s="57"/>
      <c r="G12" s="57"/>
    </row>
    <row r="13" spans="2:16" x14ac:dyDescent="0.25">
      <c r="C13" s="95" t="str">
        <f>"Final Height (" &amp; IF($B$4, "m", "ft") &amp; ")"</f>
        <v>Final Height (m)</v>
      </c>
      <c r="D13" s="44">
        <v>10.079807336426413</v>
      </c>
      <c r="F13" s="95" t="str">
        <f>"Release Velocity (" &amp; IF($B$4, "m", "ft") &amp; "/s)"</f>
        <v>Release Velocity (m/s)</v>
      </c>
      <c r="G13" s="44">
        <f>SQRT((IF($B$4, 9.807, 32.174)*G7)/(ABS(TAN(RADIANS(G14))-TAN(RADIANS(G10)))))/COS(RADIANS(G14))</f>
        <v>5.5453881994838294</v>
      </c>
    </row>
    <row r="14" spans="2:16" x14ac:dyDescent="0.25">
      <c r="C14" s="95" t="s">
        <v>101</v>
      </c>
      <c r="D14" s="62">
        <f>DEGREES(ATAN(2*(D13-D8)/D7-TAN(RADIANS(D10))))</f>
        <v>84.335137472670056</v>
      </c>
      <c r="F14" s="95" t="s">
        <v>100</v>
      </c>
      <c r="G14" s="62">
        <f>DEGREES(ATAN(2*(G9-G8)/G7-TAN(RADIANS(G10))))</f>
        <v>71.167636014035594</v>
      </c>
    </row>
    <row r="33" spans="11:17" x14ac:dyDescent="0.25">
      <c r="K33" s="3">
        <f>IF($I$6="Forward", D8, G8)</f>
        <v>0.3047851264858274</v>
      </c>
      <c r="L33" s="3">
        <f>IF($I$6="Forward", D7, G7)</f>
        <v>1.523925632429137</v>
      </c>
      <c r="M33" s="3">
        <f>IF($I$6="Forward", D9, G13)</f>
        <v>4.5717768972874122</v>
      </c>
      <c r="N33" s="3">
        <f>RADIANS(IF($I$6="Forward", D10, G14))</f>
        <v>1.2217304763960306</v>
      </c>
      <c r="O33" s="3">
        <f>IF($B$4, 9.807, 32.174)</f>
        <v>9.8070000000000004</v>
      </c>
      <c r="P33" s="3"/>
      <c r="Q33" s="3">
        <f>MAX(L35:L135, M35:M135)</f>
        <v>1.523925632429137</v>
      </c>
    </row>
    <row r="34" spans="11:17" x14ac:dyDescent="0.25">
      <c r="K34" s="3"/>
      <c r="L34" s="3"/>
      <c r="M34" s="3"/>
      <c r="N34" s="3"/>
      <c r="O34" s="3"/>
      <c r="P34" s="3"/>
      <c r="Q34" s="3"/>
    </row>
    <row r="35" spans="11:17" x14ac:dyDescent="0.25">
      <c r="K35" s="3">
        <v>0</v>
      </c>
      <c r="L35" s="3">
        <f t="shared" ref="L35:L66" si="0">$L$33/100*K35</f>
        <v>0</v>
      </c>
      <c r="M35" s="3">
        <f>MAX(TAN($N$33)*L35 - $O$33*L35^2 / (2*($M$33*COS($N$33))^2) + $K$33, 0)</f>
        <v>0.3047851264858274</v>
      </c>
      <c r="N35" s="3"/>
      <c r="O35" s="3"/>
      <c r="P35" s="3"/>
      <c r="Q35" s="3"/>
    </row>
    <row r="36" spans="11:17" x14ac:dyDescent="0.25">
      <c r="K36" s="3">
        <v>1</v>
      </c>
      <c r="L36" s="3">
        <f t="shared" si="0"/>
        <v>1.5239256324291371E-2</v>
      </c>
      <c r="M36" s="3">
        <f t="shared" ref="M36:M99" si="1">MAX(TAN($N$33)*L36 - $O$33*L36^2 / (2*($M$33*COS($N$33))^2) + $K$33, 0)</f>
        <v>0.34618888115001428</v>
      </c>
      <c r="N36" s="3"/>
      <c r="O36" s="3"/>
      <c r="P36" s="3"/>
      <c r="Q36" s="3"/>
    </row>
    <row r="37" spans="11:17" x14ac:dyDescent="0.25">
      <c r="K37" s="3">
        <v>2</v>
      </c>
      <c r="L37" s="3">
        <f t="shared" si="0"/>
        <v>3.0478512648582742E-2</v>
      </c>
      <c r="M37" s="3">
        <f t="shared" si="1"/>
        <v>0.38666111986203189</v>
      </c>
      <c r="N37" s="3"/>
      <c r="O37" s="3"/>
      <c r="P37" s="3"/>
      <c r="Q37" s="3"/>
    </row>
    <row r="38" spans="11:17" x14ac:dyDescent="0.25">
      <c r="K38" s="3">
        <v>3</v>
      </c>
      <c r="L38" s="3">
        <f t="shared" si="0"/>
        <v>4.5717768972874114E-2</v>
      </c>
      <c r="M38" s="3">
        <f t="shared" si="1"/>
        <v>0.4262018426218801</v>
      </c>
      <c r="N38" s="3"/>
      <c r="O38" s="3"/>
      <c r="P38" s="3"/>
      <c r="Q38" s="3"/>
    </row>
    <row r="39" spans="11:17" x14ac:dyDescent="0.25">
      <c r="K39" s="3">
        <v>4</v>
      </c>
      <c r="L39" s="3">
        <f t="shared" si="0"/>
        <v>6.0957025297165485E-2</v>
      </c>
      <c r="M39" s="3">
        <f t="shared" si="1"/>
        <v>0.46481104942955898</v>
      </c>
      <c r="N39" s="3"/>
      <c r="O39" s="3"/>
      <c r="P39" s="3"/>
      <c r="Q39" s="3"/>
    </row>
    <row r="40" spans="11:17" x14ac:dyDescent="0.25">
      <c r="K40" s="3">
        <v>5</v>
      </c>
      <c r="L40" s="3">
        <f t="shared" si="0"/>
        <v>7.6196281621456863E-2</v>
      </c>
      <c r="M40" s="3">
        <f t="shared" si="1"/>
        <v>0.50248874028506862</v>
      </c>
      <c r="N40" s="3"/>
      <c r="O40" s="3"/>
      <c r="P40" s="3"/>
      <c r="Q40" s="3"/>
    </row>
    <row r="41" spans="11:17" x14ac:dyDescent="0.25">
      <c r="K41" s="3">
        <v>6</v>
      </c>
      <c r="L41" s="3">
        <f t="shared" si="0"/>
        <v>9.1435537945748227E-2</v>
      </c>
      <c r="M41" s="3">
        <f t="shared" si="1"/>
        <v>0.53923491518840883</v>
      </c>
      <c r="N41" s="3"/>
      <c r="O41" s="3"/>
      <c r="P41" s="3"/>
      <c r="Q41" s="3"/>
    </row>
    <row r="42" spans="11:17" x14ac:dyDescent="0.25">
      <c r="K42" s="3">
        <v>7</v>
      </c>
      <c r="L42" s="3">
        <f t="shared" si="0"/>
        <v>0.10667479427003959</v>
      </c>
      <c r="M42" s="3">
        <f t="shared" si="1"/>
        <v>0.57504957413957958</v>
      </c>
      <c r="N42" s="3"/>
      <c r="O42" s="3"/>
      <c r="P42" s="3"/>
      <c r="Q42" s="3"/>
    </row>
    <row r="43" spans="11:17" x14ac:dyDescent="0.25">
      <c r="K43" s="3">
        <v>8</v>
      </c>
      <c r="L43" s="3">
        <f t="shared" si="0"/>
        <v>0.12191405059433097</v>
      </c>
      <c r="M43" s="3">
        <f t="shared" si="1"/>
        <v>0.6099327171385811</v>
      </c>
      <c r="N43" s="3"/>
      <c r="O43" s="3"/>
      <c r="P43" s="3"/>
      <c r="Q43" s="3"/>
    </row>
    <row r="44" spans="11:17" x14ac:dyDescent="0.25">
      <c r="K44" s="3">
        <v>9</v>
      </c>
      <c r="L44" s="3">
        <f t="shared" si="0"/>
        <v>0.13715330691862235</v>
      </c>
      <c r="M44" s="3">
        <f t="shared" si="1"/>
        <v>0.6438843441854134</v>
      </c>
      <c r="N44" s="3"/>
      <c r="O44" s="3"/>
      <c r="P44" s="3"/>
      <c r="Q44" s="3"/>
    </row>
    <row r="45" spans="11:17" x14ac:dyDescent="0.25">
      <c r="K45" s="3">
        <v>10</v>
      </c>
      <c r="L45" s="3">
        <f t="shared" si="0"/>
        <v>0.15239256324291373</v>
      </c>
      <c r="M45" s="3">
        <f t="shared" si="1"/>
        <v>0.67690445528007626</v>
      </c>
      <c r="N45" s="3"/>
      <c r="O45" s="3"/>
      <c r="P45" s="3"/>
      <c r="Q45" s="3"/>
    </row>
    <row r="46" spans="11:17" x14ac:dyDescent="0.25">
      <c r="K46" s="3">
        <v>11</v>
      </c>
      <c r="L46" s="3">
        <f t="shared" si="0"/>
        <v>0.16763181956720508</v>
      </c>
      <c r="M46" s="3">
        <f t="shared" si="1"/>
        <v>0.70899305042256966</v>
      </c>
      <c r="N46" s="3"/>
      <c r="O46" s="3"/>
      <c r="P46" s="3"/>
      <c r="Q46" s="3"/>
    </row>
    <row r="47" spans="11:17" x14ac:dyDescent="0.25">
      <c r="K47" s="3">
        <v>12</v>
      </c>
      <c r="L47" s="3">
        <f t="shared" si="0"/>
        <v>0.18287107589149645</v>
      </c>
      <c r="M47" s="3">
        <f t="shared" si="1"/>
        <v>0.74015012961289406</v>
      </c>
      <c r="N47" s="3"/>
      <c r="O47" s="3"/>
      <c r="P47" s="3"/>
      <c r="Q47" s="3"/>
    </row>
    <row r="48" spans="11:17" x14ac:dyDescent="0.25">
      <c r="K48" s="3">
        <v>13</v>
      </c>
      <c r="L48" s="3">
        <f t="shared" si="0"/>
        <v>0.19811033221578783</v>
      </c>
      <c r="M48" s="3">
        <f t="shared" si="1"/>
        <v>0.77037569285104879</v>
      </c>
      <c r="N48" s="3"/>
      <c r="O48" s="3"/>
      <c r="P48" s="3"/>
      <c r="Q48" s="3"/>
    </row>
    <row r="49" spans="11:17" x14ac:dyDescent="0.25">
      <c r="K49" s="3">
        <v>14</v>
      </c>
      <c r="L49" s="3">
        <f t="shared" si="0"/>
        <v>0.21334958854007918</v>
      </c>
      <c r="M49" s="3">
        <f t="shared" si="1"/>
        <v>0.79966974013703429</v>
      </c>
      <c r="N49" s="3"/>
      <c r="O49" s="3"/>
      <c r="P49" s="3"/>
      <c r="Q49" s="3"/>
    </row>
    <row r="50" spans="11:17" x14ac:dyDescent="0.25">
      <c r="K50" s="3">
        <v>15</v>
      </c>
      <c r="L50" s="3">
        <f t="shared" si="0"/>
        <v>0.22858884486437056</v>
      </c>
      <c r="M50" s="3">
        <f t="shared" si="1"/>
        <v>0.82803227147085057</v>
      </c>
      <c r="N50" s="3"/>
      <c r="O50" s="3"/>
      <c r="P50" s="3"/>
      <c r="Q50" s="3"/>
    </row>
    <row r="51" spans="11:17" x14ac:dyDescent="0.25">
      <c r="K51" s="3">
        <v>16</v>
      </c>
      <c r="L51" s="3">
        <f t="shared" si="0"/>
        <v>0.24382810118866194</v>
      </c>
      <c r="M51" s="3">
        <f t="shared" si="1"/>
        <v>0.85546328685249717</v>
      </c>
      <c r="N51" s="3"/>
      <c r="O51" s="3"/>
      <c r="P51" s="3"/>
      <c r="Q51" s="3"/>
    </row>
    <row r="52" spans="11:17" x14ac:dyDescent="0.25">
      <c r="K52" s="3">
        <v>17</v>
      </c>
      <c r="L52" s="3">
        <f t="shared" si="0"/>
        <v>0.25906735751295329</v>
      </c>
      <c r="M52" s="3">
        <f t="shared" si="1"/>
        <v>0.88196278628197478</v>
      </c>
      <c r="N52" s="3"/>
      <c r="O52" s="3"/>
      <c r="P52" s="3"/>
      <c r="Q52" s="3"/>
    </row>
    <row r="53" spans="11:17" x14ac:dyDescent="0.25">
      <c r="K53" s="3">
        <v>18</v>
      </c>
      <c r="L53" s="3">
        <f t="shared" si="0"/>
        <v>0.27430661383724469</v>
      </c>
      <c r="M53" s="3">
        <f t="shared" si="1"/>
        <v>0.90753076975928293</v>
      </c>
      <c r="N53" s="3"/>
      <c r="O53" s="3"/>
      <c r="P53" s="3"/>
      <c r="Q53" s="3"/>
    </row>
    <row r="54" spans="11:17" x14ac:dyDescent="0.25">
      <c r="K54" s="3">
        <v>19</v>
      </c>
      <c r="L54" s="3">
        <f t="shared" si="0"/>
        <v>0.28954587016153605</v>
      </c>
      <c r="M54" s="3">
        <f t="shared" si="1"/>
        <v>0.93216723728442163</v>
      </c>
      <c r="N54" s="3"/>
      <c r="O54" s="3"/>
      <c r="P54" s="3"/>
      <c r="Q54" s="3"/>
    </row>
    <row r="55" spans="11:17" x14ac:dyDescent="0.25">
      <c r="K55" s="3">
        <v>20</v>
      </c>
      <c r="L55" s="3">
        <f t="shared" si="0"/>
        <v>0.30478512648582745</v>
      </c>
      <c r="M55" s="3">
        <f t="shared" si="1"/>
        <v>0.95587218885739111</v>
      </c>
      <c r="N55" s="3"/>
      <c r="O55" s="3"/>
      <c r="P55" s="3"/>
      <c r="Q55" s="3"/>
    </row>
    <row r="56" spans="11:17" x14ac:dyDescent="0.25">
      <c r="K56" s="3">
        <v>21</v>
      </c>
      <c r="L56" s="3">
        <f t="shared" si="0"/>
        <v>0.3200243828101188</v>
      </c>
      <c r="M56" s="3">
        <f t="shared" si="1"/>
        <v>0.97864562447819137</v>
      </c>
      <c r="N56" s="3"/>
      <c r="O56" s="3"/>
      <c r="P56" s="3"/>
      <c r="Q56" s="3"/>
    </row>
    <row r="57" spans="11:17" x14ac:dyDescent="0.25">
      <c r="K57" s="3">
        <v>22</v>
      </c>
      <c r="L57" s="3">
        <f t="shared" si="0"/>
        <v>0.33526363913441015</v>
      </c>
      <c r="M57" s="3">
        <f t="shared" si="1"/>
        <v>1.0004875441468219</v>
      </c>
      <c r="N57" s="3"/>
      <c r="O57" s="3"/>
      <c r="P57" s="3"/>
      <c r="Q57" s="3"/>
    </row>
    <row r="58" spans="11:17" x14ac:dyDescent="0.25">
      <c r="K58" s="3">
        <v>23</v>
      </c>
      <c r="L58" s="3">
        <f t="shared" si="0"/>
        <v>0.35050289545870156</v>
      </c>
      <c r="M58" s="3">
        <f t="shared" si="1"/>
        <v>1.0213979478632835</v>
      </c>
      <c r="N58" s="3"/>
      <c r="O58" s="3"/>
      <c r="P58" s="3"/>
      <c r="Q58" s="3"/>
    </row>
    <row r="59" spans="11:17" x14ac:dyDescent="0.25">
      <c r="K59" s="3">
        <v>24</v>
      </c>
      <c r="L59" s="3">
        <f t="shared" si="0"/>
        <v>0.36574215178299291</v>
      </c>
      <c r="M59" s="3">
        <f t="shared" si="1"/>
        <v>1.0413768356275757</v>
      </c>
      <c r="N59" s="3"/>
      <c r="O59" s="3"/>
      <c r="P59" s="3"/>
      <c r="Q59" s="3"/>
    </row>
    <row r="60" spans="11:17" x14ac:dyDescent="0.25">
      <c r="K60" s="3">
        <v>25</v>
      </c>
      <c r="L60" s="3">
        <f t="shared" si="0"/>
        <v>0.38098140810728426</v>
      </c>
      <c r="M60" s="3">
        <f t="shared" si="1"/>
        <v>1.0604242074396986</v>
      </c>
      <c r="N60" s="3"/>
      <c r="O60" s="3"/>
      <c r="P60" s="3"/>
      <c r="Q60" s="3"/>
    </row>
    <row r="61" spans="11:17" x14ac:dyDescent="0.25">
      <c r="K61" s="3">
        <v>26</v>
      </c>
      <c r="L61" s="3">
        <f t="shared" si="0"/>
        <v>0.39622066443157566</v>
      </c>
      <c r="M61" s="3">
        <f t="shared" si="1"/>
        <v>1.0785400632996518</v>
      </c>
      <c r="N61" s="3"/>
      <c r="O61" s="3"/>
      <c r="P61" s="3"/>
      <c r="Q61" s="3"/>
    </row>
    <row r="62" spans="11:17" x14ac:dyDescent="0.25">
      <c r="K62" s="3">
        <v>27</v>
      </c>
      <c r="L62" s="3">
        <f t="shared" si="0"/>
        <v>0.41145992075586701</v>
      </c>
      <c r="M62" s="3">
        <f t="shared" si="1"/>
        <v>1.095724403207436</v>
      </c>
      <c r="N62" s="3"/>
      <c r="O62" s="3"/>
      <c r="P62" s="3"/>
      <c r="Q62" s="3"/>
    </row>
    <row r="63" spans="11:17" x14ac:dyDescent="0.25">
      <c r="K63" s="3">
        <v>28</v>
      </c>
      <c r="L63" s="3">
        <f t="shared" si="0"/>
        <v>0.42669917708015836</v>
      </c>
      <c r="M63" s="3">
        <f t="shared" si="1"/>
        <v>1.1119772271630508</v>
      </c>
      <c r="N63" s="3"/>
      <c r="O63" s="3"/>
      <c r="P63" s="3"/>
      <c r="Q63" s="3"/>
    </row>
    <row r="64" spans="11:17" x14ac:dyDescent="0.25">
      <c r="K64" s="3">
        <v>29</v>
      </c>
      <c r="L64" s="3">
        <f t="shared" si="0"/>
        <v>0.44193843340444977</v>
      </c>
      <c r="M64" s="3">
        <f t="shared" si="1"/>
        <v>1.1272985351664959</v>
      </c>
      <c r="N64" s="3"/>
      <c r="O64" s="3"/>
      <c r="P64" s="3"/>
      <c r="Q64" s="3"/>
    </row>
    <row r="65" spans="11:17" x14ac:dyDescent="0.25">
      <c r="K65" s="3">
        <v>30</v>
      </c>
      <c r="L65" s="3">
        <f t="shared" si="0"/>
        <v>0.45717768972874112</v>
      </c>
      <c r="M65" s="3">
        <f t="shared" si="1"/>
        <v>1.1416883272177722</v>
      </c>
      <c r="N65" s="3"/>
      <c r="O65" s="3"/>
      <c r="P65" s="3"/>
      <c r="Q65" s="3"/>
    </row>
    <row r="66" spans="11:17" x14ac:dyDescent="0.25">
      <c r="K66" s="3">
        <v>31</v>
      </c>
      <c r="L66" s="3">
        <f t="shared" si="0"/>
        <v>0.47241694605303253</v>
      </c>
      <c r="M66" s="3">
        <f t="shared" si="1"/>
        <v>1.1551466033168789</v>
      </c>
      <c r="N66" s="3"/>
      <c r="O66" s="3"/>
      <c r="P66" s="3"/>
      <c r="Q66" s="3"/>
    </row>
    <row r="67" spans="11:17" x14ac:dyDescent="0.25">
      <c r="K67" s="3">
        <v>32</v>
      </c>
      <c r="L67" s="3">
        <f t="shared" ref="L67:L98" si="2">$L$33/100*K67</f>
        <v>0.48765620237732388</v>
      </c>
      <c r="M67" s="3">
        <f t="shared" si="1"/>
        <v>1.1676733634638161</v>
      </c>
      <c r="N67" s="3"/>
      <c r="O67" s="3"/>
      <c r="P67" s="3"/>
      <c r="Q67" s="3"/>
    </row>
    <row r="68" spans="11:17" x14ac:dyDescent="0.25">
      <c r="K68" s="3">
        <v>33</v>
      </c>
      <c r="L68" s="3">
        <f t="shared" si="2"/>
        <v>0.50289545870161523</v>
      </c>
      <c r="M68" s="3">
        <f t="shared" si="1"/>
        <v>1.1792686076585845</v>
      </c>
      <c r="N68" s="3"/>
      <c r="O68" s="3"/>
      <c r="P68" s="3"/>
      <c r="Q68" s="3"/>
    </row>
    <row r="69" spans="11:17" x14ac:dyDescent="0.25">
      <c r="K69" s="3">
        <v>34</v>
      </c>
      <c r="L69" s="3">
        <f t="shared" si="2"/>
        <v>0.51813471502590658</v>
      </c>
      <c r="M69" s="3">
        <f t="shared" si="1"/>
        <v>1.1899323359011831</v>
      </c>
      <c r="N69" s="3"/>
      <c r="O69" s="3"/>
      <c r="P69" s="3"/>
      <c r="Q69" s="3"/>
    </row>
    <row r="70" spans="11:17" x14ac:dyDescent="0.25">
      <c r="K70" s="3">
        <v>35</v>
      </c>
      <c r="L70" s="3">
        <f t="shared" si="2"/>
        <v>0.53337397135019804</v>
      </c>
      <c r="M70" s="3">
        <f t="shared" si="1"/>
        <v>1.1996645481916124</v>
      </c>
      <c r="N70" s="3"/>
      <c r="O70" s="3"/>
      <c r="P70" s="3"/>
      <c r="Q70" s="3"/>
    </row>
    <row r="71" spans="11:17" x14ac:dyDescent="0.25">
      <c r="K71" s="3">
        <v>36</v>
      </c>
      <c r="L71" s="3">
        <f t="shared" si="2"/>
        <v>0.54861322767448939</v>
      </c>
      <c r="M71" s="3">
        <f t="shared" si="1"/>
        <v>1.2084652445298725</v>
      </c>
      <c r="N71" s="3"/>
      <c r="O71" s="3"/>
      <c r="P71" s="3"/>
      <c r="Q71" s="3"/>
    </row>
    <row r="72" spans="11:17" x14ac:dyDescent="0.25">
      <c r="K72" s="3">
        <v>37</v>
      </c>
      <c r="L72" s="3">
        <f t="shared" si="2"/>
        <v>0.56385248399878074</v>
      </c>
      <c r="M72" s="3">
        <f t="shared" si="1"/>
        <v>1.2163344249159631</v>
      </c>
      <c r="N72" s="3"/>
      <c r="O72" s="3"/>
      <c r="P72" s="3"/>
      <c r="Q72" s="3"/>
    </row>
    <row r="73" spans="11:17" x14ac:dyDescent="0.25">
      <c r="K73" s="3">
        <v>38</v>
      </c>
      <c r="L73" s="3">
        <f t="shared" si="2"/>
        <v>0.57909174032307209</v>
      </c>
      <c r="M73" s="3">
        <f t="shared" si="1"/>
        <v>1.2232720893498843</v>
      </c>
      <c r="N73" s="3"/>
      <c r="O73" s="3"/>
      <c r="P73" s="3"/>
      <c r="Q73" s="3"/>
    </row>
    <row r="74" spans="11:17" x14ac:dyDescent="0.25">
      <c r="K74" s="3">
        <v>39</v>
      </c>
      <c r="L74" s="3">
        <f t="shared" si="2"/>
        <v>0.59433099664736344</v>
      </c>
      <c r="M74" s="3">
        <f t="shared" si="1"/>
        <v>1.2292782378316365</v>
      </c>
      <c r="N74" s="3"/>
      <c r="O74" s="3"/>
      <c r="P74" s="3"/>
      <c r="Q74" s="3"/>
    </row>
    <row r="75" spans="11:17" x14ac:dyDescent="0.25">
      <c r="K75" s="3">
        <v>40</v>
      </c>
      <c r="L75" s="3">
        <f t="shared" si="2"/>
        <v>0.6095702529716549</v>
      </c>
      <c r="M75" s="3">
        <f t="shared" si="1"/>
        <v>1.2343528703612192</v>
      </c>
      <c r="N75" s="3"/>
      <c r="O75" s="3"/>
      <c r="P75" s="3"/>
      <c r="Q75" s="3"/>
    </row>
    <row r="76" spans="11:17" x14ac:dyDescent="0.25">
      <c r="K76" s="3">
        <v>41</v>
      </c>
      <c r="L76" s="3">
        <f t="shared" si="2"/>
        <v>0.62480950929594625</v>
      </c>
      <c r="M76" s="3">
        <f t="shared" si="1"/>
        <v>1.2384959869386325</v>
      </c>
      <c r="N76" s="3"/>
      <c r="O76" s="3"/>
      <c r="P76" s="3"/>
      <c r="Q76" s="3"/>
    </row>
    <row r="77" spans="11:17" x14ac:dyDescent="0.25">
      <c r="K77" s="3">
        <v>42</v>
      </c>
      <c r="L77" s="3">
        <f t="shared" si="2"/>
        <v>0.6400487656202376</v>
      </c>
      <c r="M77" s="3">
        <f t="shared" si="1"/>
        <v>1.2417075875638766</v>
      </c>
      <c r="N77" s="3"/>
      <c r="O77" s="3"/>
      <c r="P77" s="3"/>
      <c r="Q77" s="3"/>
    </row>
    <row r="78" spans="11:17" x14ac:dyDescent="0.25">
      <c r="K78" s="3">
        <v>43</v>
      </c>
      <c r="L78" s="3">
        <f t="shared" si="2"/>
        <v>0.65528802194452895</v>
      </c>
      <c r="M78" s="3">
        <f t="shared" si="1"/>
        <v>1.2439876722369512</v>
      </c>
      <c r="N78" s="3"/>
      <c r="O78" s="3"/>
      <c r="P78" s="3"/>
      <c r="Q78" s="3"/>
    </row>
    <row r="79" spans="11:17" x14ac:dyDescent="0.25">
      <c r="K79" s="3">
        <v>44</v>
      </c>
      <c r="L79" s="3">
        <f t="shared" si="2"/>
        <v>0.6705272782688203</v>
      </c>
      <c r="M79" s="3">
        <f t="shared" si="1"/>
        <v>1.2453362409578566</v>
      </c>
      <c r="N79" s="3"/>
      <c r="O79" s="3"/>
      <c r="P79" s="3"/>
      <c r="Q79" s="3"/>
    </row>
    <row r="80" spans="11:17" x14ac:dyDescent="0.25">
      <c r="K80" s="3">
        <v>45</v>
      </c>
      <c r="L80" s="3">
        <f t="shared" si="2"/>
        <v>0.68576653459311165</v>
      </c>
      <c r="M80" s="3">
        <f t="shared" si="1"/>
        <v>1.2457532937265925</v>
      </c>
      <c r="N80" s="3"/>
      <c r="O80" s="3"/>
      <c r="P80" s="3"/>
      <c r="Q80" s="3"/>
    </row>
    <row r="81" spans="11:17" x14ac:dyDescent="0.25">
      <c r="K81" s="3">
        <v>46</v>
      </c>
      <c r="L81" s="3">
        <f t="shared" si="2"/>
        <v>0.70100579091740312</v>
      </c>
      <c r="M81" s="3">
        <f t="shared" si="1"/>
        <v>1.2452388305431592</v>
      </c>
      <c r="N81" s="3"/>
      <c r="O81" s="3"/>
      <c r="P81" s="3"/>
      <c r="Q81" s="3"/>
    </row>
    <row r="82" spans="11:17" x14ac:dyDescent="0.25">
      <c r="K82" s="3">
        <v>47</v>
      </c>
      <c r="L82" s="3">
        <f t="shared" si="2"/>
        <v>0.71624504724169447</v>
      </c>
      <c r="M82" s="3">
        <f t="shared" si="1"/>
        <v>1.2437928514075565</v>
      </c>
      <c r="N82" s="3"/>
      <c r="O82" s="3"/>
      <c r="P82" s="3"/>
      <c r="Q82" s="3"/>
    </row>
    <row r="83" spans="11:17" x14ac:dyDescent="0.25">
      <c r="K83" s="3">
        <v>48</v>
      </c>
      <c r="L83" s="3">
        <f t="shared" si="2"/>
        <v>0.73148430356598582</v>
      </c>
      <c r="M83" s="3">
        <f t="shared" si="1"/>
        <v>1.2414153563197847</v>
      </c>
      <c r="N83" s="3"/>
      <c r="O83" s="3"/>
      <c r="P83" s="3"/>
      <c r="Q83" s="3"/>
    </row>
    <row r="84" spans="11:17" x14ac:dyDescent="0.25">
      <c r="K84" s="3">
        <v>49</v>
      </c>
      <c r="L84" s="3">
        <f t="shared" si="2"/>
        <v>0.74672355989027717</v>
      </c>
      <c r="M84" s="3">
        <f t="shared" si="1"/>
        <v>1.2381063452798431</v>
      </c>
      <c r="N84" s="3"/>
      <c r="O84" s="3"/>
      <c r="P84" s="3"/>
      <c r="Q84" s="3"/>
    </row>
    <row r="85" spans="11:17" x14ac:dyDescent="0.25">
      <c r="K85" s="3">
        <v>50</v>
      </c>
      <c r="L85" s="3">
        <f t="shared" si="2"/>
        <v>0.76196281621456852</v>
      </c>
      <c r="M85" s="3">
        <f t="shared" si="1"/>
        <v>1.2338658182877327</v>
      </c>
      <c r="N85" s="3"/>
      <c r="O85" s="3"/>
      <c r="P85" s="3"/>
      <c r="Q85" s="3"/>
    </row>
    <row r="86" spans="11:17" x14ac:dyDescent="0.25">
      <c r="K86" s="3">
        <v>51</v>
      </c>
      <c r="L86" s="3">
        <f t="shared" si="2"/>
        <v>0.77720207253885998</v>
      </c>
      <c r="M86" s="3">
        <f t="shared" si="1"/>
        <v>1.2286937753434524</v>
      </c>
      <c r="N86" s="3"/>
      <c r="O86" s="3"/>
      <c r="P86" s="3"/>
      <c r="Q86" s="3"/>
    </row>
    <row r="87" spans="11:17" x14ac:dyDescent="0.25">
      <c r="K87" s="3">
        <v>52</v>
      </c>
      <c r="L87" s="3">
        <f t="shared" si="2"/>
        <v>0.79244132886315133</v>
      </c>
      <c r="M87" s="3">
        <f t="shared" si="1"/>
        <v>1.2225902164470028</v>
      </c>
      <c r="N87" s="3"/>
      <c r="O87" s="3"/>
      <c r="P87" s="3"/>
      <c r="Q87" s="3"/>
    </row>
    <row r="88" spans="11:17" x14ac:dyDescent="0.25">
      <c r="K88" s="3">
        <v>53</v>
      </c>
      <c r="L88" s="3">
        <f t="shared" si="2"/>
        <v>0.80768058518744268</v>
      </c>
      <c r="M88" s="3">
        <f t="shared" si="1"/>
        <v>1.2155551415983843</v>
      </c>
      <c r="N88" s="3"/>
      <c r="O88" s="3"/>
      <c r="P88" s="3"/>
      <c r="Q88" s="3"/>
    </row>
    <row r="89" spans="11:17" x14ac:dyDescent="0.25">
      <c r="K89" s="3">
        <v>54</v>
      </c>
      <c r="L89" s="3">
        <f t="shared" si="2"/>
        <v>0.82291984151173403</v>
      </c>
      <c r="M89" s="3">
        <f t="shared" si="1"/>
        <v>1.2075885507975963</v>
      </c>
      <c r="N89" s="3"/>
      <c r="O89" s="3"/>
      <c r="P89" s="3"/>
      <c r="Q89" s="3"/>
    </row>
    <row r="90" spans="11:17" x14ac:dyDescent="0.25">
      <c r="K90" s="3">
        <v>55</v>
      </c>
      <c r="L90" s="3">
        <f t="shared" si="2"/>
        <v>0.83815909783602538</v>
      </c>
      <c r="M90" s="3">
        <f t="shared" si="1"/>
        <v>1.1986904440446389</v>
      </c>
      <c r="N90" s="3"/>
      <c r="O90" s="3"/>
      <c r="P90" s="3"/>
      <c r="Q90" s="3"/>
    </row>
    <row r="91" spans="11:17" x14ac:dyDescent="0.25">
      <c r="K91" s="3">
        <v>56</v>
      </c>
      <c r="L91" s="3">
        <f t="shared" si="2"/>
        <v>0.85339835416031673</v>
      </c>
      <c r="M91" s="3">
        <f t="shared" si="1"/>
        <v>1.1888608213395122</v>
      </c>
      <c r="N91" s="3"/>
      <c r="O91" s="3"/>
      <c r="P91" s="3"/>
      <c r="Q91" s="3"/>
    </row>
    <row r="92" spans="11:17" x14ac:dyDescent="0.25">
      <c r="K92" s="3">
        <v>57</v>
      </c>
      <c r="L92" s="3">
        <f t="shared" si="2"/>
        <v>0.86863761048460819</v>
      </c>
      <c r="M92" s="3">
        <f t="shared" si="1"/>
        <v>1.1780996826822159</v>
      </c>
      <c r="N92" s="3"/>
      <c r="O92" s="3"/>
      <c r="P92" s="3"/>
      <c r="Q92" s="3"/>
    </row>
    <row r="93" spans="11:17" x14ac:dyDescent="0.25">
      <c r="K93" s="3">
        <v>58</v>
      </c>
      <c r="L93" s="3">
        <f t="shared" si="2"/>
        <v>0.88387686680889954</v>
      </c>
      <c r="M93" s="3">
        <f t="shared" si="1"/>
        <v>1.1664070280727501</v>
      </c>
      <c r="N93" s="3"/>
      <c r="O93" s="3"/>
      <c r="P93" s="3"/>
      <c r="Q93" s="3"/>
    </row>
    <row r="94" spans="11:17" x14ac:dyDescent="0.25">
      <c r="K94" s="3">
        <v>59</v>
      </c>
      <c r="L94" s="3">
        <f t="shared" si="2"/>
        <v>0.89911612313319089</v>
      </c>
      <c r="M94" s="3">
        <f t="shared" si="1"/>
        <v>1.1537828575111155</v>
      </c>
      <c r="N94" s="3"/>
      <c r="O94" s="3"/>
      <c r="P94" s="3"/>
      <c r="Q94" s="3"/>
    </row>
    <row r="95" spans="11:17" x14ac:dyDescent="0.25">
      <c r="K95" s="3">
        <v>60</v>
      </c>
      <c r="L95" s="3">
        <f t="shared" si="2"/>
        <v>0.91435537945748224</v>
      </c>
      <c r="M95" s="3">
        <f t="shared" si="1"/>
        <v>1.1402271709973117</v>
      </c>
      <c r="N95" s="3"/>
      <c r="O95" s="3"/>
      <c r="P95" s="3"/>
      <c r="Q95" s="3"/>
    </row>
    <row r="96" spans="11:17" x14ac:dyDescent="0.25">
      <c r="K96" s="3">
        <v>61</v>
      </c>
      <c r="L96" s="3">
        <f t="shared" si="2"/>
        <v>0.92959463578177359</v>
      </c>
      <c r="M96" s="3">
        <f t="shared" si="1"/>
        <v>1.1257399685313381</v>
      </c>
      <c r="N96" s="3"/>
      <c r="O96" s="3"/>
      <c r="P96" s="3"/>
      <c r="Q96" s="3"/>
    </row>
    <row r="97" spans="11:17" x14ac:dyDescent="0.25">
      <c r="K97" s="3">
        <v>62</v>
      </c>
      <c r="L97" s="3">
        <f t="shared" si="2"/>
        <v>0.94483389210606505</v>
      </c>
      <c r="M97" s="3">
        <f t="shared" si="1"/>
        <v>1.1103212501131952</v>
      </c>
      <c r="N97" s="3"/>
      <c r="O97" s="3"/>
      <c r="P97" s="3"/>
      <c r="Q97" s="3"/>
    </row>
    <row r="98" spans="11:17" x14ac:dyDescent="0.25">
      <c r="K98" s="3">
        <v>63</v>
      </c>
      <c r="L98" s="3">
        <f t="shared" si="2"/>
        <v>0.9600731484303564</v>
      </c>
      <c r="M98" s="3">
        <f t="shared" si="1"/>
        <v>1.0939710157428832</v>
      </c>
      <c r="N98" s="3"/>
      <c r="O98" s="3"/>
      <c r="P98" s="3"/>
      <c r="Q98" s="3"/>
    </row>
    <row r="99" spans="11:17" x14ac:dyDescent="0.25">
      <c r="K99" s="3">
        <v>64</v>
      </c>
      <c r="L99" s="3">
        <f t="shared" ref="L99:L130" si="3">$L$33/100*K99</f>
        <v>0.97531240475464775</v>
      </c>
      <c r="M99" s="3">
        <f t="shared" si="1"/>
        <v>1.0766892654204017</v>
      </c>
      <c r="N99" s="3"/>
      <c r="O99" s="3"/>
      <c r="P99" s="3"/>
      <c r="Q99" s="3"/>
    </row>
    <row r="100" spans="11:17" x14ac:dyDescent="0.25">
      <c r="K100" s="3">
        <v>65</v>
      </c>
      <c r="L100" s="3">
        <f t="shared" si="3"/>
        <v>0.99055166107893911</v>
      </c>
      <c r="M100" s="3">
        <f t="shared" ref="M100:M135" si="4">MAX(TAN($N$33)*L100 - $O$33*L100^2 / (2*($M$33*COS($N$33))^2) + $K$33, 0)</f>
        <v>1.0584759991457511</v>
      </c>
      <c r="N100" s="3"/>
      <c r="O100" s="3"/>
      <c r="P100" s="3"/>
      <c r="Q100" s="3"/>
    </row>
    <row r="101" spans="11:17" x14ac:dyDescent="0.25">
      <c r="K101" s="3">
        <v>66</v>
      </c>
      <c r="L101" s="3">
        <f t="shared" si="3"/>
        <v>1.0057909174032305</v>
      </c>
      <c r="M101" s="3">
        <f t="shared" si="4"/>
        <v>1.0393312169189315</v>
      </c>
      <c r="N101" s="3"/>
      <c r="O101" s="3"/>
      <c r="P101" s="3"/>
      <c r="Q101" s="3"/>
    </row>
    <row r="102" spans="11:17" x14ac:dyDescent="0.25">
      <c r="K102" s="3">
        <v>67</v>
      </c>
      <c r="L102" s="3">
        <f t="shared" si="3"/>
        <v>1.0210301737275218</v>
      </c>
      <c r="M102" s="3">
        <f t="shared" si="4"/>
        <v>1.0192549187399416</v>
      </c>
      <c r="N102" s="3"/>
      <c r="O102" s="3"/>
      <c r="P102" s="3"/>
      <c r="Q102" s="3"/>
    </row>
    <row r="103" spans="11:17" x14ac:dyDescent="0.25">
      <c r="K103" s="3">
        <v>68</v>
      </c>
      <c r="L103" s="3">
        <f t="shared" si="3"/>
        <v>1.0362694300518132</v>
      </c>
      <c r="M103" s="3">
        <f t="shared" si="4"/>
        <v>0.99824710460878308</v>
      </c>
      <c r="N103" s="3"/>
      <c r="O103" s="3"/>
      <c r="P103" s="3"/>
      <c r="Q103" s="3"/>
    </row>
    <row r="104" spans="11:17" x14ac:dyDescent="0.25">
      <c r="K104" s="3">
        <v>69</v>
      </c>
      <c r="L104" s="3">
        <f t="shared" si="3"/>
        <v>1.0515086863761045</v>
      </c>
      <c r="M104" s="3">
        <f t="shared" si="4"/>
        <v>0.9763077745254547</v>
      </c>
      <c r="N104" s="3"/>
      <c r="O104" s="3"/>
      <c r="P104" s="3"/>
      <c r="Q104" s="3"/>
    </row>
    <row r="105" spans="11:17" x14ac:dyDescent="0.25">
      <c r="K105" s="3">
        <v>70</v>
      </c>
      <c r="L105" s="3">
        <f t="shared" si="3"/>
        <v>1.0667479427003961</v>
      </c>
      <c r="M105" s="3">
        <f t="shared" si="4"/>
        <v>0.95343692848995687</v>
      </c>
      <c r="N105" s="3"/>
      <c r="O105" s="3"/>
      <c r="P105" s="3"/>
      <c r="Q105" s="3"/>
    </row>
    <row r="106" spans="11:17" x14ac:dyDescent="0.25">
      <c r="K106" s="3">
        <v>71</v>
      </c>
      <c r="L106" s="3">
        <f t="shared" si="3"/>
        <v>1.0819871990246874</v>
      </c>
      <c r="M106" s="3">
        <f t="shared" si="4"/>
        <v>0.92963456650229004</v>
      </c>
      <c r="N106" s="3"/>
      <c r="O106" s="3"/>
      <c r="P106" s="3"/>
      <c r="Q106" s="3"/>
    </row>
    <row r="107" spans="11:17" x14ac:dyDescent="0.25">
      <c r="K107" s="3">
        <v>72</v>
      </c>
      <c r="L107" s="3">
        <f t="shared" si="3"/>
        <v>1.0972264553489788</v>
      </c>
      <c r="M107" s="3">
        <f t="shared" si="4"/>
        <v>0.90490068856245376</v>
      </c>
      <c r="N107" s="3"/>
      <c r="O107" s="3"/>
      <c r="P107" s="3"/>
      <c r="Q107" s="3"/>
    </row>
    <row r="108" spans="11:17" x14ac:dyDescent="0.25">
      <c r="K108" s="3">
        <v>73</v>
      </c>
      <c r="L108" s="3">
        <f t="shared" si="3"/>
        <v>1.1124657116732701</v>
      </c>
      <c r="M108" s="3">
        <f t="shared" si="4"/>
        <v>0.87923529467044848</v>
      </c>
      <c r="N108" s="3"/>
      <c r="O108" s="3"/>
      <c r="P108" s="3"/>
      <c r="Q108" s="3"/>
    </row>
    <row r="109" spans="11:17" x14ac:dyDescent="0.25">
      <c r="K109" s="3">
        <v>74</v>
      </c>
      <c r="L109" s="3">
        <f t="shared" si="3"/>
        <v>1.1277049679975615</v>
      </c>
      <c r="M109" s="3">
        <f t="shared" si="4"/>
        <v>0.8526383848262733</v>
      </c>
      <c r="N109" s="3"/>
      <c r="O109" s="3"/>
      <c r="P109" s="3"/>
      <c r="Q109" s="3"/>
    </row>
    <row r="110" spans="11:17" x14ac:dyDescent="0.25">
      <c r="K110" s="3">
        <v>75</v>
      </c>
      <c r="L110" s="3">
        <f t="shared" si="3"/>
        <v>1.1429442243218528</v>
      </c>
      <c r="M110" s="3">
        <f t="shared" si="4"/>
        <v>0.82510995902992956</v>
      </c>
      <c r="N110" s="3"/>
      <c r="O110" s="3"/>
      <c r="P110" s="3"/>
      <c r="Q110" s="3"/>
    </row>
    <row r="111" spans="11:17" x14ac:dyDescent="0.25">
      <c r="K111" s="3">
        <v>76</v>
      </c>
      <c r="L111" s="3">
        <f t="shared" si="3"/>
        <v>1.1581834806461442</v>
      </c>
      <c r="M111" s="3">
        <f t="shared" si="4"/>
        <v>0.79665001728141549</v>
      </c>
      <c r="N111" s="3"/>
      <c r="O111" s="3"/>
      <c r="P111" s="3"/>
      <c r="Q111" s="3"/>
    </row>
    <row r="112" spans="11:17" x14ac:dyDescent="0.25">
      <c r="K112" s="3">
        <v>77</v>
      </c>
      <c r="L112" s="3">
        <f t="shared" si="3"/>
        <v>1.1734227369704355</v>
      </c>
      <c r="M112" s="3">
        <f t="shared" si="4"/>
        <v>0.7672585595807333</v>
      </c>
      <c r="N112" s="3"/>
      <c r="O112" s="3"/>
      <c r="P112" s="3"/>
      <c r="Q112" s="3"/>
    </row>
    <row r="113" spans="11:17" x14ac:dyDescent="0.25">
      <c r="K113" s="3">
        <v>78</v>
      </c>
      <c r="L113" s="3">
        <f t="shared" si="3"/>
        <v>1.1886619932947269</v>
      </c>
      <c r="M113" s="3">
        <f t="shared" si="4"/>
        <v>0.73693558592788078</v>
      </c>
      <c r="N113" s="3"/>
      <c r="O113" s="3"/>
      <c r="P113" s="3"/>
      <c r="Q113" s="3"/>
    </row>
    <row r="114" spans="11:17" x14ac:dyDescent="0.25">
      <c r="K114" s="3">
        <v>79</v>
      </c>
      <c r="L114" s="3">
        <f t="shared" si="3"/>
        <v>1.2039012496190182</v>
      </c>
      <c r="M114" s="3">
        <f t="shared" si="4"/>
        <v>0.70568109632285925</v>
      </c>
      <c r="N114" s="3"/>
      <c r="O114" s="3"/>
      <c r="P114" s="3"/>
      <c r="Q114" s="3"/>
    </row>
    <row r="115" spans="11:17" x14ac:dyDescent="0.25">
      <c r="K115" s="3">
        <v>80</v>
      </c>
      <c r="L115" s="3">
        <f t="shared" si="3"/>
        <v>1.2191405059433098</v>
      </c>
      <c r="M115" s="3">
        <f t="shared" si="4"/>
        <v>0.67349509076566827</v>
      </c>
      <c r="N115" s="3"/>
      <c r="O115" s="3"/>
      <c r="P115" s="3"/>
      <c r="Q115" s="3"/>
    </row>
    <row r="116" spans="11:17" x14ac:dyDescent="0.25">
      <c r="K116" s="3">
        <v>81</v>
      </c>
      <c r="L116" s="3">
        <f t="shared" si="3"/>
        <v>1.2343797622676012</v>
      </c>
      <c r="M116" s="3">
        <f t="shared" si="4"/>
        <v>0.64037756925630784</v>
      </c>
      <c r="N116" s="3"/>
      <c r="O116" s="3"/>
      <c r="P116" s="3"/>
      <c r="Q116" s="3"/>
    </row>
    <row r="117" spans="11:17" x14ac:dyDescent="0.25">
      <c r="K117" s="3">
        <v>82</v>
      </c>
      <c r="L117" s="3">
        <f t="shared" si="3"/>
        <v>1.2496190185918925</v>
      </c>
      <c r="M117" s="3">
        <f t="shared" si="4"/>
        <v>0.60632853179477841</v>
      </c>
      <c r="N117" s="3"/>
      <c r="O117" s="3"/>
      <c r="P117" s="3"/>
      <c r="Q117" s="3"/>
    </row>
    <row r="118" spans="11:17" x14ac:dyDescent="0.25">
      <c r="K118" s="3">
        <v>83</v>
      </c>
      <c r="L118" s="3">
        <f t="shared" si="3"/>
        <v>1.2648582749161839</v>
      </c>
      <c r="M118" s="3">
        <f t="shared" si="4"/>
        <v>0.57134797838107954</v>
      </c>
      <c r="N118" s="3"/>
      <c r="O118" s="3"/>
      <c r="P118" s="3"/>
      <c r="Q118" s="3"/>
    </row>
    <row r="119" spans="11:17" x14ac:dyDescent="0.25">
      <c r="K119" s="3">
        <v>84</v>
      </c>
      <c r="L119" s="3">
        <f t="shared" si="3"/>
        <v>1.2800975312404752</v>
      </c>
      <c r="M119" s="3">
        <f t="shared" si="4"/>
        <v>0.53543590901521121</v>
      </c>
      <c r="N119" s="3"/>
      <c r="O119" s="3"/>
      <c r="P119" s="3"/>
      <c r="Q119" s="3"/>
    </row>
    <row r="120" spans="11:17" x14ac:dyDescent="0.25">
      <c r="K120" s="3">
        <v>85</v>
      </c>
      <c r="L120" s="3">
        <f t="shared" si="3"/>
        <v>1.2953367875647666</v>
      </c>
      <c r="M120" s="3">
        <f t="shared" si="4"/>
        <v>0.49859232369717382</v>
      </c>
      <c r="N120" s="3"/>
      <c r="O120" s="3"/>
      <c r="P120" s="3"/>
      <c r="Q120" s="3"/>
    </row>
    <row r="121" spans="11:17" x14ac:dyDescent="0.25">
      <c r="K121" s="3">
        <v>86</v>
      </c>
      <c r="L121" s="3">
        <f t="shared" si="3"/>
        <v>1.3105760438890579</v>
      </c>
      <c r="M121" s="3">
        <f t="shared" si="4"/>
        <v>0.4608172224269666</v>
      </c>
      <c r="N121" s="3"/>
      <c r="O121" s="3"/>
      <c r="P121" s="3"/>
      <c r="Q121" s="3"/>
    </row>
    <row r="122" spans="11:17" x14ac:dyDescent="0.25">
      <c r="K122" s="3">
        <v>87</v>
      </c>
      <c r="L122" s="3">
        <f t="shared" si="3"/>
        <v>1.3258153002133493</v>
      </c>
      <c r="M122" s="3">
        <f t="shared" si="4"/>
        <v>0.42211060520459082</v>
      </c>
      <c r="N122" s="3"/>
      <c r="O122" s="3"/>
      <c r="P122" s="3"/>
      <c r="Q122" s="3"/>
    </row>
    <row r="123" spans="11:17" x14ac:dyDescent="0.25">
      <c r="K123" s="3">
        <v>88</v>
      </c>
      <c r="L123" s="3">
        <f t="shared" si="3"/>
        <v>1.3410545565376406</v>
      </c>
      <c r="M123" s="3">
        <f t="shared" si="4"/>
        <v>0.38247247203004514</v>
      </c>
      <c r="N123" s="3"/>
      <c r="O123" s="3"/>
      <c r="P123" s="3"/>
      <c r="Q123" s="3"/>
    </row>
    <row r="124" spans="11:17" x14ac:dyDescent="0.25">
      <c r="K124" s="3">
        <v>89</v>
      </c>
      <c r="L124" s="3">
        <f t="shared" si="3"/>
        <v>1.356293812861932</v>
      </c>
      <c r="M124" s="3">
        <f t="shared" si="4"/>
        <v>0.34190282290333002</v>
      </c>
      <c r="N124" s="3"/>
      <c r="O124" s="3"/>
      <c r="P124" s="3"/>
      <c r="Q124" s="3"/>
    </row>
    <row r="125" spans="11:17" x14ac:dyDescent="0.25">
      <c r="K125" s="3">
        <v>90</v>
      </c>
      <c r="L125" s="3">
        <f t="shared" si="3"/>
        <v>1.3715330691862233</v>
      </c>
      <c r="M125" s="3">
        <f t="shared" si="4"/>
        <v>0.30040165782444633</v>
      </c>
      <c r="N125" s="3"/>
      <c r="O125" s="3"/>
      <c r="P125" s="3"/>
      <c r="Q125" s="3"/>
    </row>
    <row r="126" spans="11:17" x14ac:dyDescent="0.25">
      <c r="K126" s="3">
        <v>91</v>
      </c>
      <c r="L126" s="3">
        <f t="shared" si="3"/>
        <v>1.3867723255105149</v>
      </c>
      <c r="M126" s="3">
        <f t="shared" si="4"/>
        <v>0.25796897679339187</v>
      </c>
      <c r="N126" s="3"/>
      <c r="O126" s="3"/>
      <c r="P126" s="3"/>
      <c r="Q126" s="3"/>
    </row>
    <row r="127" spans="11:17" x14ac:dyDescent="0.25">
      <c r="K127" s="3">
        <v>92</v>
      </c>
      <c r="L127" s="3">
        <f t="shared" si="3"/>
        <v>1.4020115818348062</v>
      </c>
      <c r="M127" s="3">
        <f t="shared" si="4"/>
        <v>0.21460477981016884</v>
      </c>
      <c r="N127" s="3"/>
      <c r="O127" s="3"/>
      <c r="P127" s="3"/>
      <c r="Q127" s="3"/>
    </row>
    <row r="128" spans="11:17" x14ac:dyDescent="0.25">
      <c r="K128" s="3">
        <v>93</v>
      </c>
      <c r="L128" s="3">
        <f t="shared" si="3"/>
        <v>1.4172508381590976</v>
      </c>
      <c r="M128" s="3">
        <f t="shared" si="4"/>
        <v>0.17030906687477682</v>
      </c>
      <c r="N128" s="3"/>
      <c r="O128" s="3"/>
      <c r="P128" s="3"/>
      <c r="Q128" s="3"/>
    </row>
    <row r="129" spans="11:17" x14ac:dyDescent="0.25">
      <c r="K129" s="3">
        <v>94</v>
      </c>
      <c r="L129" s="3">
        <f t="shared" si="3"/>
        <v>1.4324900944833889</v>
      </c>
      <c r="M129" s="3">
        <f t="shared" si="4"/>
        <v>0.12508183798721489</v>
      </c>
      <c r="N129" s="3"/>
      <c r="O129" s="3"/>
      <c r="P129" s="3"/>
      <c r="Q129" s="3"/>
    </row>
    <row r="130" spans="11:17" x14ac:dyDescent="0.25">
      <c r="K130" s="3">
        <v>95</v>
      </c>
      <c r="L130" s="3">
        <f t="shared" si="3"/>
        <v>1.4477293508076803</v>
      </c>
      <c r="M130" s="3">
        <f t="shared" si="4"/>
        <v>7.8923093147483525E-2</v>
      </c>
      <c r="N130" s="3"/>
      <c r="O130" s="3"/>
      <c r="P130" s="3"/>
      <c r="Q130" s="3"/>
    </row>
    <row r="131" spans="11:17" x14ac:dyDescent="0.25">
      <c r="K131" s="3">
        <v>96</v>
      </c>
      <c r="L131" s="3">
        <f t="shared" ref="L131:L135" si="5">$L$33/100*K131</f>
        <v>1.4629686071319716</v>
      </c>
      <c r="M131" s="3">
        <f t="shared" si="4"/>
        <v>3.1832832355584484E-2</v>
      </c>
      <c r="N131" s="3"/>
      <c r="O131" s="3"/>
      <c r="P131" s="3"/>
      <c r="Q131" s="3"/>
    </row>
    <row r="132" spans="11:17" x14ac:dyDescent="0.25">
      <c r="K132" s="3">
        <v>97</v>
      </c>
      <c r="L132" s="3">
        <f t="shared" si="5"/>
        <v>1.478207863456263</v>
      </c>
      <c r="M132" s="3">
        <f t="shared" si="4"/>
        <v>0</v>
      </c>
      <c r="N132" s="3"/>
      <c r="O132" s="3"/>
      <c r="P132" s="3"/>
      <c r="Q132" s="3"/>
    </row>
    <row r="133" spans="11:17" x14ac:dyDescent="0.25">
      <c r="K133" s="3">
        <v>98</v>
      </c>
      <c r="L133" s="3">
        <f t="shared" si="5"/>
        <v>1.4934471197805543</v>
      </c>
      <c r="M133" s="3">
        <f t="shared" si="4"/>
        <v>0</v>
      </c>
      <c r="N133" s="3"/>
      <c r="O133" s="3"/>
      <c r="P133" s="3"/>
      <c r="Q133" s="3"/>
    </row>
    <row r="134" spans="11:17" x14ac:dyDescent="0.25">
      <c r="K134" s="3">
        <v>99</v>
      </c>
      <c r="L134" s="3">
        <f t="shared" si="5"/>
        <v>1.5086863761048457</v>
      </c>
      <c r="M134" s="3">
        <f t="shared" si="4"/>
        <v>0</v>
      </c>
      <c r="N134" s="3"/>
      <c r="O134" s="3"/>
      <c r="P134" s="3"/>
      <c r="Q134" s="3"/>
    </row>
    <row r="135" spans="11:17" x14ac:dyDescent="0.25">
      <c r="K135" s="3">
        <v>100</v>
      </c>
      <c r="L135" s="3">
        <f t="shared" si="5"/>
        <v>1.523925632429137</v>
      </c>
      <c r="M135" s="3">
        <f t="shared" si="4"/>
        <v>0</v>
      </c>
      <c r="N135" s="3"/>
      <c r="O135" s="3"/>
      <c r="P135" s="3"/>
      <c r="Q135" s="3"/>
    </row>
  </sheetData>
  <sheetProtection sheet="1" objects="1" scenarios="1" formatCells="0" formatColumns="0" formatRows="0"/>
  <mergeCells count="3">
    <mergeCell ref="C6:D6"/>
    <mergeCell ref="F6:G6"/>
    <mergeCell ref="I6:J6"/>
  </mergeCells>
  <conditionalFormatting sqref="D7 D9 G7">
    <cfRule type="cellIs" dxfId="36" priority="6" operator="lessThanOrEqual">
      <formula>0</formula>
    </cfRule>
  </conditionalFormatting>
  <conditionalFormatting sqref="D8 G8">
    <cfRule type="cellIs" dxfId="35" priority="5" operator="lessThan">
      <formula>0</formula>
    </cfRule>
  </conditionalFormatting>
  <conditionalFormatting sqref="D10 G10">
    <cfRule type="cellIs" dxfId="34" priority="3" operator="lessThanOrEqual">
      <formula>-90</formula>
    </cfRule>
    <cfRule type="cellIs" dxfId="33" priority="4" operator="greaterThanOrEqual">
      <formula>90</formula>
    </cfRule>
  </conditionalFormatting>
  <conditionalFormatting sqref="D7:D10 G7:G10">
    <cfRule type="expression" dxfId="32" priority="2">
      <formula>ISTEXT(D7)</formula>
    </cfRule>
  </conditionalFormatting>
  <conditionalFormatting sqref="D7:D10 G7:G10 I6">
    <cfRule type="containsBlanks" dxfId="31" priority="1">
      <formula>LEN(TRIM(D6))=0</formula>
    </cfRule>
  </conditionalFormatting>
  <dataValidations count="1">
    <dataValidation type="list" allowBlank="1" showInputMessage="1" showErrorMessage="1" sqref="I6">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Metric">
              <controlPr locked="0" defaultSize="0" autoFill="0" autoLine="0" autoPict="0" macro="[0]!Projectile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S22"/>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9.42578125" style="1" customWidth="1"/>
    <col min="5" max="5" width="13" style="1" customWidth="1"/>
    <col min="6" max="6" width="17.85546875" style="1" customWidth="1"/>
    <col min="7" max="7" width="9.140625" style="1"/>
    <col min="8" max="8" width="12.5703125" style="1" customWidth="1"/>
    <col min="9" max="9" width="19.42578125" style="1" customWidth="1"/>
    <col min="10" max="12" width="9.140625" style="1"/>
    <col min="13" max="19" width="0" style="1" hidden="1" customWidth="1"/>
    <col min="20" max="16384" width="9.140625" style="1"/>
  </cols>
  <sheetData>
    <row r="2" spans="2:19" ht="31.5" x14ac:dyDescent="0.25">
      <c r="C2" s="2" t="s">
        <v>105</v>
      </c>
    </row>
    <row r="4" spans="2:19" x14ac:dyDescent="0.25">
      <c r="B4" s="8" t="b">
        <v>1</v>
      </c>
      <c r="C4" s="1" t="s">
        <v>0</v>
      </c>
    </row>
    <row r="6" spans="2:19" ht="18.75" x14ac:dyDescent="0.25">
      <c r="F6" s="156" t="s">
        <v>99</v>
      </c>
      <c r="G6" s="156"/>
      <c r="I6" s="156" t="s">
        <v>102</v>
      </c>
      <c r="J6" s="156"/>
    </row>
    <row r="7" spans="2:19" x14ac:dyDescent="0.25">
      <c r="C7" s="95" t="s">
        <v>106</v>
      </c>
      <c r="D7" s="11" t="s">
        <v>30</v>
      </c>
      <c r="F7" s="95" t="s">
        <v>109</v>
      </c>
      <c r="G7" s="11">
        <v>50</v>
      </c>
      <c r="I7" s="95" t="str">
        <f>"Estimated Dist. (" &amp; IF($B$4, "mm", "in") &amp; ")"</f>
        <v>Estimated Dist. (mm)</v>
      </c>
      <c r="J7" s="52">
        <v>70</v>
      </c>
      <c r="M7" s="121" t="s">
        <v>234</v>
      </c>
      <c r="N7" s="122" t="s">
        <v>235</v>
      </c>
      <c r="O7" s="121" t="s">
        <v>229</v>
      </c>
      <c r="P7" s="121" t="s">
        <v>236</v>
      </c>
      <c r="Q7" s="121" t="s">
        <v>237</v>
      </c>
      <c r="R7" s="121" t="s">
        <v>238</v>
      </c>
      <c r="S7" s="123" t="s">
        <v>239</v>
      </c>
    </row>
    <row r="8" spans="2:19" x14ac:dyDescent="0.25">
      <c r="I8" s="95" t="s">
        <v>110</v>
      </c>
      <c r="J8" s="73" t="s">
        <v>112</v>
      </c>
      <c r="M8" s="124">
        <f>G7*$D$17/2</f>
        <v>238.24999999999997</v>
      </c>
      <c r="N8" s="124">
        <f t="shared" ref="N8:N14" si="0">ACOS((D$13-D$10)/(2*M8))</f>
        <v>1.5516965723780121</v>
      </c>
      <c r="O8" s="124">
        <f t="shared" ref="O8:O14" si="1">SQRT(M8^2-(D$10/2-D$13/2)^2)</f>
        <v>238.20654444736232</v>
      </c>
      <c r="P8" s="124">
        <f t="shared" ref="P8:P14" si="2">(2*O8+D$9*$D$17*N8/PI()+D$12*$D$17*(PI()-N8)/PI())/$D$17</f>
        <v>63.509119183739664</v>
      </c>
      <c r="Q8" s="124">
        <f>G7</f>
        <v>50</v>
      </c>
      <c r="R8" s="124">
        <f t="shared" ref="R8:R14" si="3">P8-Q8</f>
        <v>13.509119183739664</v>
      </c>
      <c r="S8" s="124"/>
    </row>
    <row r="9" spans="2:19" x14ac:dyDescent="0.25">
      <c r="C9" s="95" t="s">
        <v>107</v>
      </c>
      <c r="D9" s="11">
        <v>12</v>
      </c>
      <c r="I9" s="95" t="s">
        <v>111</v>
      </c>
      <c r="J9" s="11">
        <v>2</v>
      </c>
      <c r="M9" s="124">
        <f>IF(Q8&gt;P8, M8+$D$17/10, M8-$D$17/10)</f>
        <v>237.29699999999997</v>
      </c>
      <c r="N9" s="124">
        <f t="shared" si="0"/>
        <v>1.5516198571518878</v>
      </c>
      <c r="O9" s="124">
        <f t="shared" si="1"/>
        <v>237.25336989504109</v>
      </c>
      <c r="P9" s="124">
        <f t="shared" si="2"/>
        <v>63.309155809207809</v>
      </c>
      <c r="Q9" s="124">
        <f t="shared" ref="Q9:Q14" si="4">Q8</f>
        <v>50</v>
      </c>
      <c r="R9" s="124">
        <f t="shared" si="3"/>
        <v>13.309155809207809</v>
      </c>
      <c r="S9" s="124">
        <f t="shared" ref="S9:S14" si="5">(R9-R8)/(M9-M8)</f>
        <v>0.20982515690645764</v>
      </c>
    </row>
    <row r="10" spans="2:19" x14ac:dyDescent="0.25">
      <c r="C10" s="95" t="str">
        <f>"Pitch Diam. 1 (" &amp; IF($B$4, "mm", "in") &amp; ")"</f>
        <v>Pitch Diam. 1 (mm)</v>
      </c>
      <c r="D10" s="42">
        <f>$D$17*D9/PI()</f>
        <v>36.401918583978301</v>
      </c>
      <c r="M10" s="124">
        <f>IF(ABS(R9)&lt;0.000000000001,M9,M9-R9/S9)</f>
        <v>173.86725684893835</v>
      </c>
      <c r="N10" s="124">
        <f t="shared" si="0"/>
        <v>1.544622569398344</v>
      </c>
      <c r="O10" s="124">
        <f t="shared" si="1"/>
        <v>173.80770501254514</v>
      </c>
      <c r="P10" s="124">
        <f t="shared" si="2"/>
        <v>50.000902809185398</v>
      </c>
      <c r="Q10" s="124">
        <f t="shared" si="4"/>
        <v>50</v>
      </c>
      <c r="R10" s="124">
        <f t="shared" si="3"/>
        <v>9.0280918539775712E-4</v>
      </c>
      <c r="S10" s="124">
        <f t="shared" si="5"/>
        <v>0.2098109236912411</v>
      </c>
    </row>
    <row r="11" spans="2:19" x14ac:dyDescent="0.25">
      <c r="F11" s="95" t="str">
        <f>"C-C Dist. (" &amp; IF($B$4, "mm", "in") &amp; ")"</f>
        <v>C-C Dist. (mm)</v>
      </c>
      <c r="G11" s="42">
        <f>M14+D20</f>
        <v>174.27295348917576</v>
      </c>
      <c r="I11" s="95" t="str">
        <f>"Actual Dist. (" &amp; IF($B$4, "mm", "in") &amp; ")"</f>
        <v>Actual Dist. (mm)</v>
      </c>
      <c r="J11" s="42">
        <f>M22+D20</f>
        <v>69.352285889877948</v>
      </c>
      <c r="M11" s="124">
        <f>IF(ABS(R10)&lt;0.000000000001,M10,M10-R10/S10)</f>
        <v>173.86295388334671</v>
      </c>
      <c r="N11" s="124">
        <f t="shared" si="0"/>
        <v>1.5446219214713335</v>
      </c>
      <c r="O11" s="124">
        <f t="shared" si="1"/>
        <v>173.80340057258937</v>
      </c>
      <c r="P11" s="124">
        <f t="shared" si="2"/>
        <v>50.000000082693795</v>
      </c>
      <c r="Q11" s="124">
        <f t="shared" si="4"/>
        <v>50</v>
      </c>
      <c r="R11" s="124">
        <f t="shared" si="3"/>
        <v>8.2693794922761299E-8</v>
      </c>
      <c r="S11" s="124">
        <f t="shared" si="5"/>
        <v>0.20979170583072324</v>
      </c>
    </row>
    <row r="12" spans="2:19" x14ac:dyDescent="0.25">
      <c r="C12" s="95" t="s">
        <v>108</v>
      </c>
      <c r="D12" s="11">
        <v>15</v>
      </c>
      <c r="F12" s="95" t="str">
        <f>"Chain Length (" &amp; IF($B$4, "mm", "in") &amp; ")"</f>
        <v>Chain Length (mm)</v>
      </c>
      <c r="G12" s="42">
        <f>G7*$D$17</f>
        <v>476.49999999999994</v>
      </c>
      <c r="I12" s="95" t="str">
        <f>"Chain Length (" &amp; IF($B$4, "mm", "in") &amp; ")"</f>
        <v>Chain Length (mm)</v>
      </c>
      <c r="J12" s="42">
        <f>J13*D17</f>
        <v>266.83999999999997</v>
      </c>
      <c r="M12" s="124">
        <f>IF(ABS(R11)&lt;0.000000000001,M11,M11-R11/S11)</f>
        <v>173.86295348917577</v>
      </c>
      <c r="N12" s="124">
        <f t="shared" si="0"/>
        <v>1.544621921411979</v>
      </c>
      <c r="O12" s="124">
        <f t="shared" si="1"/>
        <v>173.80340017828334</v>
      </c>
      <c r="P12" s="124">
        <f t="shared" si="2"/>
        <v>49.999999999999993</v>
      </c>
      <c r="Q12" s="124">
        <f t="shared" si="4"/>
        <v>50</v>
      </c>
      <c r="R12" s="124">
        <f t="shared" si="3"/>
        <v>0</v>
      </c>
      <c r="S12" s="124">
        <f t="shared" si="5"/>
        <v>0.20979170874295902</v>
      </c>
    </row>
    <row r="13" spans="2:19" x14ac:dyDescent="0.25">
      <c r="C13" s="95" t="str">
        <f>"Pitch Diam. 2 (" &amp; IF($B$4, "mm", "in") &amp; ")"</f>
        <v>Pitch Diam. 2 (mm)</v>
      </c>
      <c r="D13" s="42">
        <f>$D$17*D12/PI()</f>
        <v>45.502398229972876</v>
      </c>
      <c r="F13" s="95" t="str">
        <f>"Clearance (" &amp; IF($B$4, "mm", "in") &amp; ")"</f>
        <v>Clearance (mm)</v>
      </c>
      <c r="G13" s="42">
        <f>G11 - ($D$10+$D$13)/2</f>
        <v>133.32079508220016</v>
      </c>
      <c r="I13" s="95" t="s">
        <v>109</v>
      </c>
      <c r="J13" s="6">
        <f>Q16</f>
        <v>28</v>
      </c>
      <c r="M13" s="124">
        <f>IF(ABS(R12)&lt;0.000000000001,M12,M12-R12/S12)</f>
        <v>173.86295348917577</v>
      </c>
      <c r="N13" s="124">
        <f t="shared" si="0"/>
        <v>1.544621921411979</v>
      </c>
      <c r="O13" s="124">
        <f t="shared" si="1"/>
        <v>173.80340017828334</v>
      </c>
      <c r="P13" s="124">
        <f t="shared" si="2"/>
        <v>49.999999999999993</v>
      </c>
      <c r="Q13" s="124">
        <f t="shared" si="4"/>
        <v>50</v>
      </c>
      <c r="R13" s="124">
        <f t="shared" si="3"/>
        <v>0</v>
      </c>
      <c r="S13" s="124" t="e">
        <f t="shared" si="5"/>
        <v>#DIV/0!</v>
      </c>
    </row>
    <row r="14" spans="2:19" x14ac:dyDescent="0.25">
      <c r="I14" s="95" t="str">
        <f>"Clearance (" &amp; IF($B$4, "mm", "in") &amp; ")"</f>
        <v>Clearance (mm)</v>
      </c>
      <c r="J14" s="42">
        <f>J11 - ($D$10+$D$13)/2</f>
        <v>28.400127482902363</v>
      </c>
      <c r="M14" s="124">
        <f>IF(ABS(R13)&lt;0.000000000001,M13,M13-R13/S13)</f>
        <v>173.86295348917577</v>
      </c>
      <c r="N14" s="124">
        <f t="shared" si="0"/>
        <v>1.544621921411979</v>
      </c>
      <c r="O14" s="124">
        <f t="shared" si="1"/>
        <v>173.80340017828334</v>
      </c>
      <c r="P14" s="124">
        <f t="shared" si="2"/>
        <v>49.999999999999993</v>
      </c>
      <c r="Q14" s="124">
        <f t="shared" si="4"/>
        <v>50</v>
      </c>
      <c r="R14" s="124">
        <f t="shared" si="3"/>
        <v>0</v>
      </c>
      <c r="S14" s="124" t="e">
        <f t="shared" si="5"/>
        <v>#DIV/0!</v>
      </c>
    </row>
    <row r="15" spans="2:19" x14ac:dyDescent="0.25">
      <c r="M15" s="120"/>
      <c r="N15" s="120"/>
      <c r="O15" s="120"/>
      <c r="P15" s="120"/>
      <c r="Q15" s="120"/>
      <c r="R15" s="120"/>
      <c r="S15" s="120"/>
    </row>
    <row r="16" spans="2:19" x14ac:dyDescent="0.25">
      <c r="C16" s="165" t="s">
        <v>24</v>
      </c>
      <c r="D16" s="165"/>
      <c r="M16" s="125">
        <f>J7-D20</f>
        <v>69.59</v>
      </c>
      <c r="N16" s="124">
        <f t="shared" ref="N16:N22" si="6">ACOS((D$13-D$10)/(2*M16))</f>
        <v>1.5053632414045293</v>
      </c>
      <c r="O16" s="124">
        <f t="shared" ref="O16:O22" si="7">SQRT(M16^2-(D$10/2-D$13/2)^2)</f>
        <v>69.441078747044315</v>
      </c>
      <c r="P16" s="124">
        <f t="shared" ref="P16:P22" si="8">(2*O16+D$9*$D$17*N16/PI()+D$12*$D$17*(PI()-N16)/PI())/$D$17</f>
        <v>28.135637980677682</v>
      </c>
      <c r="Q16" s="124">
        <f>IF(J8="Nearest", MROUND(P16, J9), IF(J8="Up",CEILING(P16, J9),FLOOR(P16, J9)))</f>
        <v>28</v>
      </c>
      <c r="R16" s="124">
        <f t="shared" ref="R16:R22" si="9">P16-Q16</f>
        <v>0.13563798067768218</v>
      </c>
      <c r="S16" s="124"/>
    </row>
    <row r="17" spans="3:19" x14ac:dyDescent="0.25">
      <c r="C17" s="63" t="str">
        <f>"Pitch (" &amp; IF($B$4, "mm", "in") &amp; ")"</f>
        <v>Pitch (mm)</v>
      </c>
      <c r="D17" s="64">
        <f>VLOOKUP($D$7, ChainBeltSpecs, 2, FALSE) / IF($B$4, 1, 25.4)</f>
        <v>9.5299999999999994</v>
      </c>
      <c r="M17" s="124">
        <f>IF(Q16&gt;P16, M16+$D$17/10, M16-$D$17/10)</f>
        <v>68.637</v>
      </c>
      <c r="N17" s="124">
        <f t="shared" si="6"/>
        <v>1.5044534005334584</v>
      </c>
      <c r="O17" s="124">
        <f t="shared" si="7"/>
        <v>68.486006501716901</v>
      </c>
      <c r="P17" s="124">
        <f t="shared" si="8"/>
        <v>27.936071925869019</v>
      </c>
      <c r="Q17" s="124">
        <f t="shared" ref="Q17:Q22" si="10">Q16</f>
        <v>28</v>
      </c>
      <c r="R17" s="124">
        <f t="shared" si="9"/>
        <v>-6.3928074130981116E-2</v>
      </c>
      <c r="S17" s="124">
        <f t="shared" ref="S17:S22" si="11">(R17-R16)/(M17-M16)</f>
        <v>0.20940824219167123</v>
      </c>
    </row>
    <row r="18" spans="3:19" x14ac:dyDescent="0.25">
      <c r="C18" s="63" t="str">
        <f>"Width (" &amp; IF($B$4, "mm", "in") &amp; ")"</f>
        <v>Width (mm)</v>
      </c>
      <c r="D18" s="64">
        <f>VLOOKUP($D$7, ChainBeltSpecs, 3, FALSE) / IF($B$4, 1, 25.4)</f>
        <v>11.76</v>
      </c>
      <c r="M18" s="124">
        <f>IF(ABS(R17)&lt;0.000000000001,M17,M17-R17/S17)</f>
        <v>68.942279646406988</v>
      </c>
      <c r="N18" s="124">
        <f t="shared" si="6"/>
        <v>1.5047475990078809</v>
      </c>
      <c r="O18" s="124">
        <f t="shared" si="7"/>
        <v>68.791956218707668</v>
      </c>
      <c r="P18" s="124">
        <f t="shared" si="8"/>
        <v>27.999998692579737</v>
      </c>
      <c r="Q18" s="124">
        <f t="shared" si="10"/>
        <v>28</v>
      </c>
      <c r="R18" s="124">
        <f t="shared" si="9"/>
        <v>-1.3074202627194609E-6</v>
      </c>
      <c r="S18" s="124">
        <f t="shared" si="11"/>
        <v>0.2094039594945471</v>
      </c>
    </row>
    <row r="19" spans="3:19" x14ac:dyDescent="0.25">
      <c r="C19" s="63" t="str">
        <f>"Thickness (" &amp; IF($B$4, "mm", "in") &amp; ")"</f>
        <v>Thickness (mm)</v>
      </c>
      <c r="D19" s="64">
        <f>VLOOKUP($D$7, ChainBeltSpecs, 4, FALSE) / IF($B$4, 1, 25.4)</f>
        <v>8.94</v>
      </c>
      <c r="M19" s="124">
        <f>IF(ABS(R18)&lt;0.000000000001,M18,M18-R18/S18)</f>
        <v>68.942285889938702</v>
      </c>
      <c r="N19" s="124">
        <f t="shared" si="6"/>
        <v>1.5047476049980801</v>
      </c>
      <c r="O19" s="124">
        <f t="shared" si="7"/>
        <v>68.791962475882684</v>
      </c>
      <c r="P19" s="124">
        <f t="shared" si="8"/>
        <v>28.000000000012722</v>
      </c>
      <c r="Q19" s="124">
        <f t="shared" si="10"/>
        <v>28</v>
      </c>
      <c r="R19" s="124">
        <f t="shared" si="9"/>
        <v>1.2722267683784594E-11</v>
      </c>
      <c r="S19" s="124">
        <f t="shared" si="11"/>
        <v>0.20940599723382855</v>
      </c>
    </row>
    <row r="20" spans="3:19" x14ac:dyDescent="0.25">
      <c r="C20" s="63" t="str">
        <f>"C-C Addition (" &amp; IF($B$4, "mm", "in") &amp; ")"</f>
        <v>C-C Addition (mm)</v>
      </c>
      <c r="D20" s="64">
        <f>VLOOKUP($D$7, ChainBeltSpecs, 5, FALSE) / IF($B$4, 1, 25.4)</f>
        <v>0.41</v>
      </c>
      <c r="M20" s="124">
        <f>IF(ABS(R19)&lt;0.000000000001,M19,M19-R19/S19)</f>
        <v>68.942285889877951</v>
      </c>
      <c r="N20" s="124">
        <f t="shared" si="6"/>
        <v>1.504747604998022</v>
      </c>
      <c r="O20" s="124">
        <f t="shared" si="7"/>
        <v>68.791962475821791</v>
      </c>
      <c r="P20" s="124">
        <f t="shared" si="8"/>
        <v>28</v>
      </c>
      <c r="Q20" s="124">
        <f t="shared" si="10"/>
        <v>28</v>
      </c>
      <c r="R20" s="124">
        <f t="shared" si="9"/>
        <v>0</v>
      </c>
      <c r="S20" s="124">
        <f t="shared" si="11"/>
        <v>0.20941520467836258</v>
      </c>
    </row>
    <row r="21" spans="3:19" x14ac:dyDescent="0.25">
      <c r="M21" s="124">
        <f>IF(ABS(R20)&lt;0.000000000001,M20,M20-R20/S20)</f>
        <v>68.942285889877951</v>
      </c>
      <c r="N21" s="124">
        <f t="shared" si="6"/>
        <v>1.504747604998022</v>
      </c>
      <c r="O21" s="124">
        <f t="shared" si="7"/>
        <v>68.791962475821791</v>
      </c>
      <c r="P21" s="124">
        <f t="shared" si="8"/>
        <v>28</v>
      </c>
      <c r="Q21" s="124">
        <f t="shared" si="10"/>
        <v>28</v>
      </c>
      <c r="R21" s="124">
        <f t="shared" si="9"/>
        <v>0</v>
      </c>
      <c r="S21" s="124" t="e">
        <f t="shared" si="11"/>
        <v>#DIV/0!</v>
      </c>
    </row>
    <row r="22" spans="3:19" x14ac:dyDescent="0.25">
      <c r="M22" s="124">
        <f>IF(ABS(R21)&lt;0.000000000001,M21,M21-R21/S21)</f>
        <v>68.942285889877951</v>
      </c>
      <c r="N22" s="124">
        <f t="shared" si="6"/>
        <v>1.504747604998022</v>
      </c>
      <c r="O22" s="124">
        <f t="shared" si="7"/>
        <v>68.791962475821791</v>
      </c>
      <c r="P22" s="124">
        <f t="shared" si="8"/>
        <v>28</v>
      </c>
      <c r="Q22" s="124">
        <f t="shared" si="10"/>
        <v>28</v>
      </c>
      <c r="R22" s="124">
        <f t="shared" si="9"/>
        <v>0</v>
      </c>
      <c r="S22" s="124" t="e">
        <f t="shared" si="11"/>
        <v>#DIV/0!</v>
      </c>
    </row>
  </sheetData>
  <sheetProtection sheet="1" objects="1" scenarios="1" formatCells="0" formatColumns="0" formatRows="0"/>
  <mergeCells count="3">
    <mergeCell ref="F6:G6"/>
    <mergeCell ref="I6:J6"/>
    <mergeCell ref="C16:D16"/>
  </mergeCells>
  <conditionalFormatting sqref="D9 D12 G7 J7 J9">
    <cfRule type="expression" dxfId="30" priority="3">
      <formula>ISTEXT(D7)</formula>
    </cfRule>
    <cfRule type="cellIs" dxfId="29" priority="8" operator="lessThanOrEqual">
      <formula>0</formula>
    </cfRule>
  </conditionalFormatting>
  <conditionalFormatting sqref="D7 D9 D12 G7 J7:J9">
    <cfRule type="containsBlanks" dxfId="28" priority="4">
      <formula>LEN(TRIM(D7))=0</formula>
    </cfRule>
    <cfRule type="containsBlanks" dxfId="27" priority="7">
      <formula>LEN(TRIM(D7))=0</formula>
    </cfRule>
  </conditionalFormatting>
  <conditionalFormatting sqref="G11:G13">
    <cfRule type="expression" dxfId="26" priority="2">
      <formula>ISERROR($G$11)</formula>
    </cfRule>
    <cfRule type="expression" dxfId="25" priority="6">
      <formula>$G$13&lt;=0</formula>
    </cfRule>
  </conditionalFormatting>
  <conditionalFormatting sqref="J11:J14">
    <cfRule type="expression" dxfId="24" priority="1">
      <formula>ISERROR($J$11)</formula>
    </cfRule>
    <cfRule type="expression" dxfId="23" priority="5">
      <formula>$J$14&lt;=0</formula>
    </cfRule>
  </conditionalFormatting>
  <dataValidations count="2">
    <dataValidation type="list" allowBlank="1" showInputMessage="1" showErrorMessage="1" errorTitle="Error" error="Invalid chain/belt type" sqref="D7">
      <formula1>ChainBelts</formula1>
    </dataValidation>
    <dataValidation type="list" allowBlank="1" showInputMessage="1" showErrorMessage="1" sqref="J8">
      <formula1>"Nearest,Up,Down"</formula1>
    </dataValidation>
  </dataValidations>
  <pageMargins left="0.7" right="0.7" top="0.75" bottom="0.75" header="0.3" footer="0.3"/>
  <pageSetup orientation="portrait" r:id="rId1"/>
  <ignoredErrors>
    <ignoredError sqref="S13:S14 S22"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9217" r:id="rId4" name="Metric">
              <controlPr locked="0" defaultSize="0" autoFill="0" autoLine="0" autoPict="0" macro="[0]!ChainBel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12.28515625" style="1" customWidth="1"/>
    <col min="4" max="4" width="9.140625" style="1"/>
    <col min="5" max="5" width="15.42578125" style="1" customWidth="1"/>
    <col min="6" max="6" width="14.85546875" style="1" customWidth="1"/>
    <col min="7" max="7" width="9.140625" style="1"/>
    <col min="8" max="8" width="13.7109375" style="1" customWidth="1"/>
    <col min="9" max="9" width="15" style="1" customWidth="1"/>
    <col min="10" max="16384" width="9.140625" style="1"/>
  </cols>
  <sheetData>
    <row r="2" spans="2:10" ht="31.5" x14ac:dyDescent="0.25">
      <c r="C2" s="2" t="s">
        <v>113</v>
      </c>
    </row>
    <row r="4" spans="2:10" x14ac:dyDescent="0.25">
      <c r="B4" s="8" t="b">
        <v>1</v>
      </c>
      <c r="C4" s="1" t="s">
        <v>0</v>
      </c>
    </row>
    <row r="5" spans="2:10" x14ac:dyDescent="0.25">
      <c r="B5" s="4"/>
    </row>
    <row r="6" spans="2:10" ht="18.75" x14ac:dyDescent="0.25">
      <c r="F6" s="156" t="s">
        <v>120</v>
      </c>
      <c r="G6" s="156"/>
      <c r="I6" s="156" t="s">
        <v>125</v>
      </c>
      <c r="J6" s="156"/>
    </row>
    <row r="7" spans="2:10" x14ac:dyDescent="0.25">
      <c r="C7" s="95" t="s">
        <v>114</v>
      </c>
      <c r="D7" s="11">
        <v>100</v>
      </c>
      <c r="F7" s="95" t="s">
        <v>119</v>
      </c>
      <c r="G7" s="11" t="s">
        <v>121</v>
      </c>
      <c r="I7" s="95" t="s">
        <v>123</v>
      </c>
      <c r="J7" s="11">
        <v>20</v>
      </c>
    </row>
    <row r="8" spans="2:10" x14ac:dyDescent="0.25">
      <c r="C8" s="95" t="s">
        <v>115</v>
      </c>
      <c r="D8" s="11">
        <v>32</v>
      </c>
      <c r="I8" s="95" t="s">
        <v>124</v>
      </c>
      <c r="J8" s="11">
        <v>20</v>
      </c>
    </row>
    <row r="10" spans="2:10" x14ac:dyDescent="0.25">
      <c r="C10" s="95" t="s">
        <v>116</v>
      </c>
      <c r="D10" s="49">
        <v>30</v>
      </c>
      <c r="F10" s="95" t="str">
        <f>"Clearance (" &amp; IF($B$4, "mm", "in") &amp; ")"</f>
        <v>Clearance (mm)</v>
      </c>
      <c r="G10" s="42">
        <f>(($D$10+$D$11)/(2*$D$12) - ($D$7+2)/(2*$D$8) - IFERROR(CHOOSE(MATCH(G7, {"1/2"" Hex","1/2"" Round","3/8"" Hex","3/8"" Round","1/4"" Square"}, 0), 0.577, 0.5, 0.433, 0.375, 0.354), G7/IF($B$4, 25.4, 1))/2) * IF($B$4, 25.4, 1)</f>
        <v>9.3408499999999997</v>
      </c>
      <c r="I10" s="95" t="str">
        <f>"Clearance (" &amp; IF($B$4, "mm", "in") &amp; ")"</f>
        <v>Clearance (mm)</v>
      </c>
      <c r="J10" s="42">
        <f>(($D$10+$D$11)/(2*$D$12) - ($D$7+2)/(2*$D$8) - (J7+2)/(2*J8)) * IF($B$4, 25.4, 1)</f>
        <v>2.6987499999999986</v>
      </c>
    </row>
    <row r="11" spans="2:10" x14ac:dyDescent="0.25">
      <c r="C11" s="95" t="s">
        <v>117</v>
      </c>
      <c r="D11" s="11">
        <v>60</v>
      </c>
      <c r="F11" s="95" t="s">
        <v>122</v>
      </c>
      <c r="G11" s="42" t="b">
        <f>G10&gt;0</f>
        <v>1</v>
      </c>
      <c r="I11" s="95" t="s">
        <v>122</v>
      </c>
      <c r="J11" s="42" t="b">
        <f>J10&gt;0</f>
        <v>1</v>
      </c>
    </row>
    <row r="12" spans="2:10" x14ac:dyDescent="0.25">
      <c r="C12" s="95" t="s">
        <v>118</v>
      </c>
      <c r="D12" s="11">
        <v>20</v>
      </c>
      <c r="G12" s="5"/>
      <c r="J12" s="5"/>
    </row>
    <row r="13" spans="2:10" x14ac:dyDescent="0.25">
      <c r="D13" s="5"/>
      <c r="G13" s="5"/>
    </row>
    <row r="14" spans="2:10" x14ac:dyDescent="0.25">
      <c r="J14" s="5"/>
    </row>
    <row r="17" spans="4:4" x14ac:dyDescent="0.25">
      <c r="D17" s="5"/>
    </row>
    <row r="18" spans="4:4" x14ac:dyDescent="0.25">
      <c r="D18" s="5"/>
    </row>
    <row r="19" spans="4:4" x14ac:dyDescent="0.25">
      <c r="D19" s="5"/>
    </row>
    <row r="20" spans="4:4" x14ac:dyDescent="0.25">
      <c r="D20" s="5"/>
    </row>
  </sheetData>
  <sheetProtection sheet="1" objects="1" scenarios="1" formatCells="0" formatColumns="0" formatRows="0"/>
  <mergeCells count="2">
    <mergeCell ref="F6:G6"/>
    <mergeCell ref="I6:J6"/>
  </mergeCells>
  <conditionalFormatting sqref="D7:D8 D10:D12 G7 J7:J8">
    <cfRule type="containsBlanks" dxfId="22" priority="4">
      <formula>LEN(TRIM(D7))=0</formula>
    </cfRule>
    <cfRule type="cellIs" dxfId="21" priority="5" operator="lessThanOrEqual">
      <formula>0</formula>
    </cfRule>
  </conditionalFormatting>
  <conditionalFormatting sqref="G10:G11">
    <cfRule type="expression" dxfId="20" priority="3">
      <formula>$G$10&lt;=0</formula>
    </cfRule>
  </conditionalFormatting>
  <conditionalFormatting sqref="J10:J11">
    <cfRule type="expression" dxfId="19" priority="2">
      <formula>$J$10&lt;=0</formula>
    </cfRule>
  </conditionalFormatting>
  <conditionalFormatting sqref="D7:D8 D10:D12 J7:J8">
    <cfRule type="expression" dxfId="18" priority="1">
      <formula>ISTEXT(D7)</formula>
    </cfRule>
  </conditionalFormatting>
  <dataValidations count="1">
    <dataValidation type="list" allowBlank="1" showInputMessage="1" prompt="You can select an axle type from the drop-down list or enter a diameter manually." sqref="G7">
      <formula1>"1/2"" Hex,1/2"" Round,3/8"" Hex,3/8"" Round,1/4"" Square"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Metric">
              <controlPr locked="0" defaultSize="0" autoFill="0" autoLine="0" autoPict="0" macro="[0]!GearClear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6384" width="9.140625" style="1"/>
  </cols>
  <sheetData>
    <row r="2" spans="2:10" ht="31.5" x14ac:dyDescent="0.25">
      <c r="C2" s="2" t="s">
        <v>126</v>
      </c>
    </row>
    <row r="4" spans="2:10" x14ac:dyDescent="0.25">
      <c r="B4" s="8" t="b">
        <v>0</v>
      </c>
      <c r="C4" s="1" t="s">
        <v>0</v>
      </c>
    </row>
    <row r="5" spans="2:10" x14ac:dyDescent="0.25">
      <c r="B5" s="4"/>
    </row>
    <row r="6" spans="2:10" x14ac:dyDescent="0.25">
      <c r="C6" s="95" t="s">
        <v>127</v>
      </c>
      <c r="D6" s="49">
        <v>20</v>
      </c>
    </row>
    <row r="8" spans="2:10" x14ac:dyDescent="0.25">
      <c r="C8" s="95" t="s">
        <v>128</v>
      </c>
      <c r="D8" s="72">
        <v>3</v>
      </c>
    </row>
    <row r="9" spans="2:10" x14ac:dyDescent="0.25">
      <c r="C9" s="95" t="str">
        <f>"Desired Distance (" &amp; IF($B$4, "mm", "in") &amp; ")"</f>
        <v>Desired Distance (in)</v>
      </c>
      <c r="D9" s="15">
        <v>2</v>
      </c>
    </row>
    <row r="10" spans="2:10" x14ac:dyDescent="0.25">
      <c r="D10" s="5"/>
      <c r="G10" s="5"/>
      <c r="J10" s="5"/>
    </row>
    <row r="11" spans="2:10" x14ac:dyDescent="0.25">
      <c r="C11" s="95" t="s">
        <v>129</v>
      </c>
      <c r="D11" s="6">
        <f>2*D9/IF($B$4, 25.4, 1)*D6/(D8+1)</f>
        <v>20</v>
      </c>
    </row>
    <row r="12" spans="2:10" x14ac:dyDescent="0.25">
      <c r="C12" s="95" t="str">
        <f>"Pitch Diameter (" &amp; IF($B$4, "mm", "in") &amp; ")"</f>
        <v>Pitch Diameter (in)</v>
      </c>
      <c r="D12" s="7">
        <f>D11/$D$6*IF($B$4, 25.4, 1)</f>
        <v>1</v>
      </c>
    </row>
    <row r="13" spans="2:10" x14ac:dyDescent="0.25">
      <c r="C13" s="95" t="str">
        <f>"Outside Diameter (" &amp; IF($B$4, "mm", "in") &amp; ")"</f>
        <v>Outside Diameter (in)</v>
      </c>
      <c r="D13" s="7">
        <f>(D11+2)/$D$6*IF($B$4, 25.4, 1)</f>
        <v>1.1000000000000001</v>
      </c>
    </row>
    <row r="15" spans="2:10" x14ac:dyDescent="0.25">
      <c r="C15" s="95" t="s">
        <v>130</v>
      </c>
      <c r="D15" s="6">
        <f>D11*D8</f>
        <v>60</v>
      </c>
    </row>
    <row r="16" spans="2:10" x14ac:dyDescent="0.25">
      <c r="C16" s="95" t="str">
        <f>"Pitch Diameter (" &amp; IF($B$4, "mm", "in") &amp; ")"</f>
        <v>Pitch Diameter (in)</v>
      </c>
      <c r="D16" s="7">
        <f>D15/$D$6*IF($B$4, 25.4, 1)</f>
        <v>3</v>
      </c>
    </row>
    <row r="17" spans="3:4" x14ac:dyDescent="0.25">
      <c r="C17" s="95" t="str">
        <f>"Outside Diameter (" &amp; IF($B$4, "mm", "in") &amp; ")"</f>
        <v>Outside Diameter (in)</v>
      </c>
      <c r="D17" s="7">
        <f>(D15+2)/$D$6*IF($B$4, 25.4, 1)</f>
        <v>3.1</v>
      </c>
    </row>
    <row r="19" spans="3:4" ht="14.45" customHeight="1" x14ac:dyDescent="0.25">
      <c r="C19" s="166" t="s">
        <v>131</v>
      </c>
      <c r="D19" s="166"/>
    </row>
    <row r="20" spans="3:4" ht="14.45" customHeight="1" x14ac:dyDescent="0.25">
      <c r="C20" s="167" t="s">
        <v>132</v>
      </c>
      <c r="D20" s="167"/>
    </row>
  </sheetData>
  <sheetProtection sheet="1" objects="1" scenarios="1" formatCells="0" formatColumns="0" formatRows="0"/>
  <mergeCells count="2">
    <mergeCell ref="C19:D19"/>
    <mergeCell ref="C20:D20"/>
  </mergeCells>
  <conditionalFormatting sqref="D11:D13 D15:D17">
    <cfRule type="expression" dxfId="17" priority="5">
      <formula>NOT(AND(INT($D$11)=$D$11, INT($D$15)=$D$15))</formula>
    </cfRule>
  </conditionalFormatting>
  <conditionalFormatting sqref="C19:D20">
    <cfRule type="expression" dxfId="16" priority="4">
      <formula>AND(INT($D$11)=$D$11, INT($D$15)=$D$15)</formula>
    </cfRule>
  </conditionalFormatting>
  <conditionalFormatting sqref="D6 D8:D9">
    <cfRule type="expression" dxfId="15" priority="1">
      <formula>ISTEXT(D6)</formula>
    </cfRule>
    <cfRule type="containsBlanks" dxfId="14" priority="2">
      <formula>LEN(TRIM(D6))=0</formula>
    </cfRule>
    <cfRule type="cellIs" dxfId="13" priority="3" operator="lessThan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Metric">
              <controlPr locked="0" defaultSize="0" autoFill="0" autoLine="0" autoPict="0" macro="[0]!RatioDis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2:Q192"/>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1" width="10.85546875" style="1" customWidth="1"/>
    <col min="12" max="12" width="9.140625" style="1"/>
    <col min="13" max="13" width="19.7109375" style="1" customWidth="1"/>
    <col min="14" max="16384" width="9.140625" style="1"/>
  </cols>
  <sheetData>
    <row r="2" spans="2:17" ht="31.5" x14ac:dyDescent="0.25">
      <c r="C2" s="2" t="s">
        <v>133</v>
      </c>
    </row>
    <row r="4" spans="2:17" x14ac:dyDescent="0.25">
      <c r="B4" s="8" t="b">
        <v>0</v>
      </c>
      <c r="C4" s="1" t="s">
        <v>0</v>
      </c>
      <c r="G4" s="5"/>
      <c r="H4" s="5"/>
      <c r="I4" s="5"/>
    </row>
    <row r="5" spans="2:17" x14ac:dyDescent="0.25">
      <c r="B5" s="4"/>
      <c r="G5" s="5"/>
      <c r="H5" s="5"/>
      <c r="I5" s="5"/>
    </row>
    <row r="6" spans="2:17" x14ac:dyDescent="0.25">
      <c r="D6" s="65" t="s">
        <v>138</v>
      </c>
      <c r="E6" s="65" t="s">
        <v>139</v>
      </c>
      <c r="F6" s="65" t="s">
        <v>140</v>
      </c>
      <c r="G6" s="65" t="s">
        <v>141</v>
      </c>
      <c r="H6" s="65" t="s">
        <v>142</v>
      </c>
      <c r="I6" s="65" t="s">
        <v>143</v>
      </c>
      <c r="J6" s="65" t="s">
        <v>144</v>
      </c>
      <c r="K6" s="65" t="s">
        <v>145</v>
      </c>
      <c r="N6" s="65" t="s">
        <v>148</v>
      </c>
      <c r="O6" s="65" t="s">
        <v>150</v>
      </c>
      <c r="P6" s="65" t="s">
        <v>149</v>
      </c>
      <c r="Q6" s="65" t="s">
        <v>151</v>
      </c>
    </row>
    <row r="7" spans="2:17" x14ac:dyDescent="0.25">
      <c r="C7" s="65" t="str">
        <f>"Diameter (" &amp; IF($B$4, "mm", "in") &amp; ")"</f>
        <v>Diameter (in)</v>
      </c>
      <c r="D7" s="78">
        <v>1.4999999999999998</v>
      </c>
      <c r="E7" s="9"/>
      <c r="F7" s="9"/>
      <c r="G7" s="9"/>
      <c r="H7" s="9"/>
      <c r="I7" s="9"/>
      <c r="J7" s="9"/>
      <c r="K7" s="9"/>
      <c r="M7" s="65" t="str">
        <f>"Tank Volume (" &amp; IF($B$4, "mL", "in^3") &amp; ")"</f>
        <v>Tank Volume (in^3)</v>
      </c>
      <c r="N7" s="12">
        <v>35.000000000000014</v>
      </c>
      <c r="O7" s="12"/>
      <c r="P7" s="12"/>
      <c r="Q7" s="12"/>
    </row>
    <row r="8" spans="2:17" x14ac:dyDescent="0.25">
      <c r="C8" s="66" t="str">
        <f>"Rod Diameter (" &amp; IF($B$4, "mm", "in") &amp; ")"</f>
        <v>Rod Diameter (in)</v>
      </c>
      <c r="D8" s="78">
        <v>0.37499999999999994</v>
      </c>
      <c r="E8" s="9"/>
      <c r="F8" s="9"/>
      <c r="G8" s="9"/>
      <c r="H8" s="9"/>
      <c r="I8" s="9"/>
      <c r="J8" s="9"/>
      <c r="K8" s="9"/>
      <c r="M8" s="66" t="s">
        <v>146</v>
      </c>
      <c r="N8" s="69">
        <v>3</v>
      </c>
      <c r="O8" s="69"/>
      <c r="P8" s="69"/>
      <c r="Q8" s="69"/>
    </row>
    <row r="9" spans="2:17" x14ac:dyDescent="0.25">
      <c r="C9" s="66" t="str">
        <f>"Stroke Length (" &amp; IF($B$4, "mm", "in") &amp; ")"</f>
        <v>Stroke Length (in)</v>
      </c>
      <c r="D9" s="78">
        <v>11.999999999999998</v>
      </c>
      <c r="E9" s="9"/>
      <c r="F9" s="9"/>
      <c r="G9" s="9"/>
      <c r="H9" s="9"/>
      <c r="I9" s="9"/>
      <c r="J9" s="9"/>
      <c r="K9" s="9"/>
      <c r="M9" s="67" t="s">
        <v>147</v>
      </c>
      <c r="N9" s="71">
        <v>120</v>
      </c>
      <c r="O9" s="71"/>
      <c r="P9" s="71"/>
      <c r="Q9" s="71"/>
    </row>
    <row r="10" spans="2:17" x14ac:dyDescent="0.25">
      <c r="C10" s="66" t="s">
        <v>134</v>
      </c>
      <c r="D10" s="69">
        <v>40</v>
      </c>
      <c r="E10" s="69"/>
      <c r="F10" s="69"/>
      <c r="G10" s="69"/>
      <c r="H10" s="69"/>
      <c r="I10" s="69"/>
      <c r="J10" s="69"/>
      <c r="K10" s="69"/>
      <c r="M10" s="95" t="str">
        <f>"Total Tank Vol. (" &amp; IF($B$4, "mL", "in^3") &amp; ")"</f>
        <v>Total Tank Vol. (in^3)</v>
      </c>
      <c r="N10" s="29">
        <f>SUMPRODUCT(N7:Q7,N8:Q8,N9:Q9)/120</f>
        <v>105.00000000000004</v>
      </c>
      <c r="O10" s="1" t="s">
        <v>157</v>
      </c>
    </row>
    <row r="11" spans="2:17" x14ac:dyDescent="0.25">
      <c r="C11" s="66" t="str">
        <f>"Push Force (" &amp; IF($B$4, "N", "lbf") &amp; ")"</f>
        <v>Push Force (lbf)</v>
      </c>
      <c r="D11" s="77">
        <f>IF(COUNTBLANK(D7:D10)=0, (D$7/2)^2*PI()*D$10/IF($B$4, 145.04, 1), "")</f>
        <v>70.685834705770318</v>
      </c>
      <c r="E11" s="77" t="str">
        <f t="shared" ref="E11:K11" si="0">IF(COUNTBLANK(E7:E10)=0, (E$7/2)^2*PI()*E$10/IF($B$4, 145.04, 1), "")</f>
        <v/>
      </c>
      <c r="F11" s="77" t="str">
        <f t="shared" si="0"/>
        <v/>
      </c>
      <c r="G11" s="77" t="str">
        <f t="shared" si="0"/>
        <v/>
      </c>
      <c r="H11" s="77" t="str">
        <f t="shared" si="0"/>
        <v/>
      </c>
      <c r="I11" s="77" t="str">
        <f t="shared" si="0"/>
        <v/>
      </c>
      <c r="J11" s="77" t="str">
        <f t="shared" si="0"/>
        <v/>
      </c>
      <c r="K11" s="77" t="str">
        <f t="shared" si="0"/>
        <v/>
      </c>
    </row>
    <row r="12" spans="2:17" x14ac:dyDescent="0.25">
      <c r="C12" s="66" t="s">
        <v>135</v>
      </c>
      <c r="D12" s="12">
        <v>15</v>
      </c>
      <c r="E12" s="69"/>
      <c r="F12" s="69"/>
      <c r="G12" s="69"/>
      <c r="H12" s="69"/>
      <c r="I12" s="69"/>
      <c r="J12" s="69"/>
      <c r="K12" s="69"/>
      <c r="M12" s="95" t="s">
        <v>152</v>
      </c>
      <c r="N12" s="168" t="s">
        <v>158</v>
      </c>
      <c r="O12" s="169"/>
    </row>
    <row r="13" spans="2:17" x14ac:dyDescent="0.25">
      <c r="C13" s="66" t="str">
        <f>"Pull Force (" &amp; IF($B$4, "N", "lbf") &amp; ")"</f>
        <v>Pull Force (lbf)</v>
      </c>
      <c r="D13" s="77">
        <f>IF(COUNTBLANK(D9:D12)=0, (D$7^2 - D$8^2)*PI()/4*D$12/IF($B$4, 145.04, 1), "")</f>
        <v>24.850488763747375</v>
      </c>
      <c r="E13" s="77" t="str">
        <f t="shared" ref="E13:K13" si="1">IF(COUNTBLANK(E9:E12)=0, (E$7^2 - E$8^2)*PI()/4*E$12/IF($B$4, 145.04, 1), "")</f>
        <v/>
      </c>
      <c r="F13" s="77" t="str">
        <f t="shared" si="1"/>
        <v/>
      </c>
      <c r="G13" s="77" t="str">
        <f t="shared" si="1"/>
        <v/>
      </c>
      <c r="H13" s="77" t="str">
        <f t="shared" si="1"/>
        <v/>
      </c>
      <c r="I13" s="77" t="str">
        <f t="shared" si="1"/>
        <v/>
      </c>
      <c r="J13" s="77" t="str">
        <f t="shared" si="1"/>
        <v/>
      </c>
      <c r="K13" s="77" t="str">
        <f t="shared" si="1"/>
        <v/>
      </c>
    </row>
    <row r="14" spans="2:17" x14ac:dyDescent="0.25">
      <c r="C14" s="66" t="s">
        <v>170</v>
      </c>
      <c r="D14" s="69">
        <v>5</v>
      </c>
      <c r="E14" s="69"/>
      <c r="F14" s="69"/>
      <c r="G14" s="69"/>
      <c r="H14" s="69"/>
      <c r="I14" s="69"/>
      <c r="J14" s="69"/>
      <c r="K14" s="69"/>
      <c r="M14" s="95" t="s">
        <v>153</v>
      </c>
      <c r="N14" s="11">
        <v>120</v>
      </c>
    </row>
    <row r="15" spans="2:17" x14ac:dyDescent="0.25">
      <c r="C15" s="66" t="s">
        <v>136</v>
      </c>
      <c r="D15" s="69">
        <v>8</v>
      </c>
      <c r="E15" s="69"/>
      <c r="F15" s="69"/>
      <c r="G15" s="69"/>
      <c r="H15" s="69"/>
      <c r="I15" s="69"/>
      <c r="J15" s="69"/>
      <c r="K15" s="69"/>
      <c r="M15" s="95" t="s">
        <v>154</v>
      </c>
      <c r="N15" s="11">
        <v>95</v>
      </c>
    </row>
    <row r="16" spans="2:17" x14ac:dyDescent="0.25">
      <c r="C16" s="67" t="s">
        <v>137</v>
      </c>
      <c r="D16" s="70">
        <v>140</v>
      </c>
      <c r="E16" s="71"/>
      <c r="F16" s="71"/>
      <c r="G16" s="71"/>
      <c r="H16" s="71"/>
      <c r="I16" s="71"/>
      <c r="J16" s="71"/>
      <c r="K16" s="71"/>
      <c r="M16" s="95" t="s">
        <v>155</v>
      </c>
      <c r="N16" s="44">
        <f>MIN(D42:D192)</f>
        <v>33.320099200506633</v>
      </c>
    </row>
    <row r="17" spans="4:14" x14ac:dyDescent="0.25">
      <c r="D17" s="57"/>
      <c r="M17" s="95" t="s">
        <v>156</v>
      </c>
      <c r="N17" s="44">
        <f>D192</f>
        <v>56.540434019763524</v>
      </c>
    </row>
    <row r="39" spans="3:14" x14ac:dyDescent="0.25">
      <c r="C39" s="4"/>
      <c r="D39" s="4"/>
      <c r="E39" s="4"/>
      <c r="F39" s="4"/>
      <c r="G39" s="4"/>
      <c r="H39" s="4"/>
      <c r="I39" s="4"/>
      <c r="J39" s="4"/>
      <c r="K39" s="4"/>
      <c r="L39" s="4"/>
      <c r="M39" s="4"/>
      <c r="N39" s="4"/>
    </row>
    <row r="40" spans="3:14" x14ac:dyDescent="0.25">
      <c r="C40" s="3"/>
      <c r="D40" s="68">
        <f>IFERROR(CHOOSE(MATCH($N$12,{"1.1 Pump","Viair 90C"},0), 0.0000003865, -0.000000437), 0)</f>
        <v>3.8650000000000003E-7</v>
      </c>
      <c r="E40" s="3">
        <f>IFERROR(CHOOSE(MATCH($N$12,{"1.1 Pump","Viair 90C"},0), -0.00003916, 0.000123), 0)</f>
        <v>-3.9159999999999998E-5</v>
      </c>
      <c r="F40" s="3">
        <f>IFERROR(CHOOSE(MATCH($N$12,{"1.1 Pump","Viair 90C"},0), -0.003809, -0.01186), 0)</f>
        <v>-3.8089999999999999E-3</v>
      </c>
      <c r="G40" s="3">
        <f>IFERROR(CHOOSE(MATCH($N$12,{"1.1 Pump","Viair 90C"},0), 0.692, 0.6123), 0)</f>
        <v>0.69199999999999995</v>
      </c>
      <c r="H40" s="3"/>
      <c r="I40" s="60">
        <f>MAX(D10:K10,D12:K12)</f>
        <v>40</v>
      </c>
      <c r="J40" s="3"/>
      <c r="K40" s="3"/>
      <c r="L40" s="3"/>
      <c r="M40" s="3"/>
      <c r="N40" s="4"/>
    </row>
    <row r="41" spans="3:14" x14ac:dyDescent="0.25">
      <c r="C41" s="3" t="s">
        <v>159</v>
      </c>
      <c r="D41" s="3" t="s">
        <v>160</v>
      </c>
      <c r="E41" s="3" t="s">
        <v>161</v>
      </c>
      <c r="F41" s="3" t="s">
        <v>162</v>
      </c>
      <c r="G41" s="3" t="s">
        <v>163</v>
      </c>
      <c r="H41" s="3" t="s">
        <v>164</v>
      </c>
      <c r="I41" s="3" t="s">
        <v>165</v>
      </c>
      <c r="J41" s="3" t="s">
        <v>166</v>
      </c>
      <c r="K41" s="3" t="s">
        <v>167</v>
      </c>
      <c r="L41" s="3" t="s">
        <v>168</v>
      </c>
      <c r="M41" s="3" t="s">
        <v>169</v>
      </c>
      <c r="N41" s="4"/>
    </row>
    <row r="42" spans="3:14" x14ac:dyDescent="0.25">
      <c r="C42" s="3">
        <v>0</v>
      </c>
      <c r="D42" s="3">
        <f>MAX((N14*($N$10/IF($B$4, 16.387, 1))+E42-SUM(F42:M42))/($N$10/IF($B$4, 16.387, 1)), 0)</f>
        <v>120</v>
      </c>
      <c r="E42" s="3">
        <f>IF(N14&lt;$N$15, $D$40*N14^3+$E$40*N14^2+$F$40*N14+$G$40, 0) * 12^3/60*14.7</f>
        <v>0</v>
      </c>
      <c r="F42" s="3">
        <f>IFERROR(IF(AND($C42&gt;=D$15, $C42&lt;=D$16), IF(D$14&gt;1, N(MOD($C42-D$15, D$14)&lt;1), 1/D$14)*PI()*D$9/4*(D$7^2*MIN(D$10, $N$14)+(D$7^2-D$8^2)*MIN(D$12, $N$14))/IF($B$4, 25.4^3, 1), 0), 0)</f>
        <v>0</v>
      </c>
      <c r="G42" s="3">
        <f t="shared" ref="G42:M42" si="2">IFERROR(IF(AND($C42&gt;=E$15, $C42&lt;=E$16), IF(E$14&gt;1, N(MOD($C42-E$15, E$14)&lt;1), 1/E$14)*PI()*E$9/4*(E$7^2*MIN(E$10, $N$14)+(E$7^2-E$8^2)*MIN(E$12, $N$14))/IF($B$4, 25.4^3, 1), 0), 0)</f>
        <v>0</v>
      </c>
      <c r="H42" s="3">
        <f t="shared" si="2"/>
        <v>0</v>
      </c>
      <c r="I42" s="3">
        <f t="shared" si="2"/>
        <v>0</v>
      </c>
      <c r="J42" s="3">
        <f t="shared" si="2"/>
        <v>0</v>
      </c>
      <c r="K42" s="3">
        <f t="shared" si="2"/>
        <v>0</v>
      </c>
      <c r="L42" s="3">
        <f t="shared" si="2"/>
        <v>0</v>
      </c>
      <c r="M42" s="3">
        <f t="shared" si="2"/>
        <v>0</v>
      </c>
      <c r="N42" s="4"/>
    </row>
    <row r="43" spans="3:14" x14ac:dyDescent="0.25">
      <c r="C43" s="3">
        <v>1</v>
      </c>
      <c r="D43" s="3">
        <f>MAX((D42*($N$10/IF($B$4, 16.387, 1))+E43-SUM(F43:M43))/($N$10/IF($B$4, 16.387, 1)), 0)</f>
        <v>120</v>
      </c>
      <c r="E43" s="3">
        <f>IF(D42&lt;$N$15, $D$40*D42^3+$E$40*D42^2+$F$40*D42+$G$40, 0) * 12^3/60*14.7</f>
        <v>0</v>
      </c>
      <c r="F43" s="3">
        <f>IFERROR(IF(AND($C43&gt;=D$15, $C43&lt;=D$16), IF(D$14&gt;1, N(MOD($C43-D$15, D$14)&lt;1), 1/D$14)*PI()*D$9/4*(D$7^2*MIN(D$10, $D42)+(D$7^2-D$8^2)*MIN(D$12, D$42))/IF($B$4, 25.4^3, 1), 0), 0)</f>
        <v>0</v>
      </c>
      <c r="G43" s="3">
        <f t="shared" ref="G43:M43" si="3">IFERROR(IF(AND($C43&gt;=E$15, $C43&lt;=E$16), IF(E$14&gt;1, N(MOD($C43-E$15, E$14)&lt;1), 1/E$14)*PI()*E$9/4*(E$7^2*MIN(E$10, $D42)+(E$7^2-E$8^2)*MIN(E$12, E$42))/IF($B$4, 25.4^3, 1), 0), 0)</f>
        <v>0</v>
      </c>
      <c r="H43" s="3">
        <f t="shared" si="3"/>
        <v>0</v>
      </c>
      <c r="I43" s="3">
        <f t="shared" si="3"/>
        <v>0</v>
      </c>
      <c r="J43" s="3">
        <f t="shared" si="3"/>
        <v>0</v>
      </c>
      <c r="K43" s="3">
        <f t="shared" si="3"/>
        <v>0</v>
      </c>
      <c r="L43" s="3">
        <f t="shared" si="3"/>
        <v>0</v>
      </c>
      <c r="M43" s="3">
        <f t="shared" si="3"/>
        <v>0</v>
      </c>
      <c r="N43" s="4"/>
    </row>
    <row r="44" spans="3:14" x14ac:dyDescent="0.25">
      <c r="C44" s="3">
        <v>2</v>
      </c>
      <c r="D44" s="3">
        <f t="shared" ref="D44:D107" si="4">MAX((D43*($N$10/IF($B$4, 16.387, 1))+E44-SUM(F44:M44))/($N$10/IF($B$4, 16.387, 1)), 0)</f>
        <v>120</v>
      </c>
      <c r="E44" s="3">
        <f t="shared" ref="E44:E107" si="5">IF(D43&lt;$N$15, $D$40*D43^3+$E$40*D43^2+$F$40*D43+$G$40, 0) * 12^3/60*14.7</f>
        <v>0</v>
      </c>
      <c r="F44" s="3">
        <f t="shared" ref="F44:F107" si="6">IFERROR(IF(AND($C44&gt;=D$15, $C44&lt;=D$16), IF(D$14&gt;1, N(MOD($C44-D$15, D$14)&lt;1), 1/D$14)*PI()*D$9/4*(D$7^2*MIN(D$10, $D43)+(D$7^2-D$8^2)*MIN(D$12, D$42))/IF($B$4, 25.4^3, 1), 0), 0)</f>
        <v>0</v>
      </c>
      <c r="G44" s="3">
        <f t="shared" ref="G44:G107" si="7">IFERROR(IF(AND($C44&gt;=E$15, $C44&lt;=E$16), IF(E$14&gt;1, N(MOD($C44-E$15, E$14)&lt;1), 1/E$14)*PI()*E$9/4*(E$7^2*MIN(E$10, $D43)+(E$7^2-E$8^2)*MIN(E$12, E$42))/IF($B$4, 25.4^3, 1), 0), 0)</f>
        <v>0</v>
      </c>
      <c r="H44" s="3">
        <f t="shared" ref="H44:H107" si="8">IFERROR(IF(AND($C44&gt;=F$15, $C44&lt;=F$16), IF(F$14&gt;1, N(MOD($C44-F$15, F$14)&lt;1), 1/F$14)*PI()*F$9/4*(F$7^2*MIN(F$10, $D43)+(F$7^2-F$8^2)*MIN(F$12, F$42))/IF($B$4, 25.4^3, 1), 0), 0)</f>
        <v>0</v>
      </c>
      <c r="I44" s="3">
        <f t="shared" ref="I44:I107" si="9">IFERROR(IF(AND($C44&gt;=G$15, $C44&lt;=G$16), IF(G$14&gt;1, N(MOD($C44-G$15, G$14)&lt;1), 1/G$14)*PI()*G$9/4*(G$7^2*MIN(G$10, $D43)+(G$7^2-G$8^2)*MIN(G$12, G$42))/IF($B$4, 25.4^3, 1), 0), 0)</f>
        <v>0</v>
      </c>
      <c r="J44" s="3">
        <f t="shared" ref="J44:J107" si="10">IFERROR(IF(AND($C44&gt;=H$15, $C44&lt;=H$16), IF(H$14&gt;1, N(MOD($C44-H$15, H$14)&lt;1), 1/H$14)*PI()*H$9/4*(H$7^2*MIN(H$10, $D43)+(H$7^2-H$8^2)*MIN(H$12, H$42))/IF($B$4, 25.4^3, 1), 0), 0)</f>
        <v>0</v>
      </c>
      <c r="K44" s="3">
        <f t="shared" ref="K44:K107" si="11">IFERROR(IF(AND($C44&gt;=I$15, $C44&lt;=I$16), IF(I$14&gt;1, N(MOD($C44-I$15, I$14)&lt;1), 1/I$14)*PI()*I$9/4*(I$7^2*MIN(I$10, $D43)+(I$7^2-I$8^2)*MIN(I$12, I$42))/IF($B$4, 25.4^3, 1), 0), 0)</f>
        <v>0</v>
      </c>
      <c r="L44" s="3">
        <f t="shared" ref="L44:L107" si="12">IFERROR(IF(AND($C44&gt;=J$15, $C44&lt;=J$16), IF(J$14&gt;1, N(MOD($C44-J$15, J$14)&lt;1), 1/J$14)*PI()*J$9/4*(J$7^2*MIN(J$10, $D43)+(J$7^2-J$8^2)*MIN(J$12, J$42))/IF($B$4, 25.4^3, 1), 0), 0)</f>
        <v>0</v>
      </c>
      <c r="M44" s="3">
        <f t="shared" ref="M44:M107" si="13">IFERROR(IF(AND($C44&gt;=K$15, $C44&lt;=K$16), IF(K$14&gt;1, N(MOD($C44-K$15, K$14)&lt;1), 1/K$14)*PI()*K$9/4*(K$7^2*MIN(K$10, $D43)+(K$7^2-K$8^2)*MIN(K$12, K$42))/IF($B$4, 25.4^3, 1), 0), 0)</f>
        <v>0</v>
      </c>
      <c r="N44" s="4"/>
    </row>
    <row r="45" spans="3:14" x14ac:dyDescent="0.25">
      <c r="C45" s="3">
        <v>3</v>
      </c>
      <c r="D45" s="3">
        <f t="shared" si="4"/>
        <v>120</v>
      </c>
      <c r="E45" s="3">
        <f t="shared" si="5"/>
        <v>0</v>
      </c>
      <c r="F45" s="3">
        <f t="shared" si="6"/>
        <v>0</v>
      </c>
      <c r="G45" s="3">
        <f t="shared" si="7"/>
        <v>0</v>
      </c>
      <c r="H45" s="3">
        <f t="shared" si="8"/>
        <v>0</v>
      </c>
      <c r="I45" s="3">
        <f t="shared" si="9"/>
        <v>0</v>
      </c>
      <c r="J45" s="3">
        <f t="shared" si="10"/>
        <v>0</v>
      </c>
      <c r="K45" s="3">
        <f t="shared" si="11"/>
        <v>0</v>
      </c>
      <c r="L45" s="3">
        <f t="shared" si="12"/>
        <v>0</v>
      </c>
      <c r="M45" s="3">
        <f t="shared" si="13"/>
        <v>0</v>
      </c>
      <c r="N45" s="4"/>
    </row>
    <row r="46" spans="3:14" x14ac:dyDescent="0.25">
      <c r="C46" s="3">
        <v>4</v>
      </c>
      <c r="D46" s="3">
        <f t="shared" si="4"/>
        <v>120</v>
      </c>
      <c r="E46" s="3">
        <f t="shared" si="5"/>
        <v>0</v>
      </c>
      <c r="F46" s="3">
        <f t="shared" si="6"/>
        <v>0</v>
      </c>
      <c r="G46" s="3">
        <f t="shared" si="7"/>
        <v>0</v>
      </c>
      <c r="H46" s="3">
        <f t="shared" si="8"/>
        <v>0</v>
      </c>
      <c r="I46" s="3">
        <f t="shared" si="9"/>
        <v>0</v>
      </c>
      <c r="J46" s="3">
        <f t="shared" si="10"/>
        <v>0</v>
      </c>
      <c r="K46" s="3">
        <f t="shared" si="11"/>
        <v>0</v>
      </c>
      <c r="L46" s="3">
        <f t="shared" si="12"/>
        <v>0</v>
      </c>
      <c r="M46" s="3">
        <f t="shared" si="13"/>
        <v>0</v>
      </c>
      <c r="N46" s="4"/>
    </row>
    <row r="47" spans="3:14" x14ac:dyDescent="0.25">
      <c r="C47" s="3">
        <v>5</v>
      </c>
      <c r="D47" s="3">
        <f t="shared" si="4"/>
        <v>120</v>
      </c>
      <c r="E47" s="3">
        <f t="shared" si="5"/>
        <v>0</v>
      </c>
      <c r="F47" s="3">
        <f t="shared" si="6"/>
        <v>0</v>
      </c>
      <c r="G47" s="3">
        <f t="shared" si="7"/>
        <v>0</v>
      </c>
      <c r="H47" s="3">
        <f t="shared" si="8"/>
        <v>0</v>
      </c>
      <c r="I47" s="3">
        <f t="shared" si="9"/>
        <v>0</v>
      </c>
      <c r="J47" s="3">
        <f t="shared" si="10"/>
        <v>0</v>
      </c>
      <c r="K47" s="3">
        <f t="shared" si="11"/>
        <v>0</v>
      </c>
      <c r="L47" s="3">
        <f t="shared" si="12"/>
        <v>0</v>
      </c>
      <c r="M47" s="3">
        <f t="shared" si="13"/>
        <v>0</v>
      </c>
    </row>
    <row r="48" spans="3:14" x14ac:dyDescent="0.25">
      <c r="C48" s="3">
        <v>6</v>
      </c>
      <c r="D48" s="3">
        <f t="shared" si="4"/>
        <v>120</v>
      </c>
      <c r="E48" s="3">
        <f t="shared" si="5"/>
        <v>0</v>
      </c>
      <c r="F48" s="3">
        <f t="shared" si="6"/>
        <v>0</v>
      </c>
      <c r="G48" s="3">
        <f t="shared" si="7"/>
        <v>0</v>
      </c>
      <c r="H48" s="3">
        <f t="shared" si="8"/>
        <v>0</v>
      </c>
      <c r="I48" s="3">
        <f t="shared" si="9"/>
        <v>0</v>
      </c>
      <c r="J48" s="3">
        <f t="shared" si="10"/>
        <v>0</v>
      </c>
      <c r="K48" s="3">
        <f t="shared" si="11"/>
        <v>0</v>
      </c>
      <c r="L48" s="3">
        <f t="shared" si="12"/>
        <v>0</v>
      </c>
      <c r="M48" s="3">
        <f t="shared" si="13"/>
        <v>0</v>
      </c>
    </row>
    <row r="49" spans="3:13" x14ac:dyDescent="0.25">
      <c r="C49" s="3">
        <v>7</v>
      </c>
      <c r="D49" s="3">
        <f t="shared" si="4"/>
        <v>120</v>
      </c>
      <c r="E49" s="3">
        <f t="shared" si="5"/>
        <v>0</v>
      </c>
      <c r="F49" s="3">
        <f t="shared" si="6"/>
        <v>0</v>
      </c>
      <c r="G49" s="3">
        <f t="shared" si="7"/>
        <v>0</v>
      </c>
      <c r="H49" s="3">
        <f t="shared" si="8"/>
        <v>0</v>
      </c>
      <c r="I49" s="3">
        <f t="shared" si="9"/>
        <v>0</v>
      </c>
      <c r="J49" s="3">
        <f t="shared" si="10"/>
        <v>0</v>
      </c>
      <c r="K49" s="3">
        <f t="shared" si="11"/>
        <v>0</v>
      </c>
      <c r="L49" s="3">
        <f t="shared" si="12"/>
        <v>0</v>
      </c>
      <c r="M49" s="3">
        <f t="shared" si="13"/>
        <v>0</v>
      </c>
    </row>
    <row r="50" spans="3:13" x14ac:dyDescent="0.25">
      <c r="C50" s="3">
        <v>8</v>
      </c>
      <c r="D50" s="3">
        <f t="shared" si="4"/>
        <v>109.08156303205513</v>
      </c>
      <c r="E50" s="3">
        <f t="shared" si="5"/>
        <v>0</v>
      </c>
      <c r="F50" s="3">
        <f t="shared" si="6"/>
        <v>1146.4358816342121</v>
      </c>
      <c r="G50" s="3">
        <f t="shared" si="7"/>
        <v>0</v>
      </c>
      <c r="H50" s="3">
        <f t="shared" si="8"/>
        <v>0</v>
      </c>
      <c r="I50" s="3">
        <f t="shared" si="9"/>
        <v>0</v>
      </c>
      <c r="J50" s="3">
        <f t="shared" si="10"/>
        <v>0</v>
      </c>
      <c r="K50" s="3">
        <f t="shared" si="11"/>
        <v>0</v>
      </c>
      <c r="L50" s="3">
        <f t="shared" si="12"/>
        <v>0</v>
      </c>
      <c r="M50" s="3">
        <f t="shared" si="13"/>
        <v>0</v>
      </c>
    </row>
    <row r="51" spans="3:13" x14ac:dyDescent="0.25">
      <c r="C51" s="3">
        <v>9</v>
      </c>
      <c r="D51" s="3">
        <f t="shared" si="4"/>
        <v>109.08156303205513</v>
      </c>
      <c r="E51" s="3">
        <f t="shared" si="5"/>
        <v>0</v>
      </c>
      <c r="F51" s="3">
        <f t="shared" si="6"/>
        <v>0</v>
      </c>
      <c r="G51" s="3">
        <f t="shared" si="7"/>
        <v>0</v>
      </c>
      <c r="H51" s="3">
        <f t="shared" si="8"/>
        <v>0</v>
      </c>
      <c r="I51" s="3">
        <f t="shared" si="9"/>
        <v>0</v>
      </c>
      <c r="J51" s="3">
        <f t="shared" si="10"/>
        <v>0</v>
      </c>
      <c r="K51" s="3">
        <f t="shared" si="11"/>
        <v>0</v>
      </c>
      <c r="L51" s="3">
        <f t="shared" si="12"/>
        <v>0</v>
      </c>
      <c r="M51" s="3">
        <f t="shared" si="13"/>
        <v>0</v>
      </c>
    </row>
    <row r="52" spans="3:13" x14ac:dyDescent="0.25">
      <c r="C52" s="3">
        <v>10</v>
      </c>
      <c r="D52" s="3">
        <f t="shared" si="4"/>
        <v>109.08156303205513</v>
      </c>
      <c r="E52" s="3">
        <f t="shared" si="5"/>
        <v>0</v>
      </c>
      <c r="F52" s="3">
        <f t="shared" si="6"/>
        <v>0</v>
      </c>
      <c r="G52" s="3">
        <f t="shared" si="7"/>
        <v>0</v>
      </c>
      <c r="H52" s="3">
        <f t="shared" si="8"/>
        <v>0</v>
      </c>
      <c r="I52" s="3">
        <f t="shared" si="9"/>
        <v>0</v>
      </c>
      <c r="J52" s="3">
        <f t="shared" si="10"/>
        <v>0</v>
      </c>
      <c r="K52" s="3">
        <f t="shared" si="11"/>
        <v>0</v>
      </c>
      <c r="L52" s="3">
        <f t="shared" si="12"/>
        <v>0</v>
      </c>
      <c r="M52" s="3">
        <f t="shared" si="13"/>
        <v>0</v>
      </c>
    </row>
    <row r="53" spans="3:13" x14ac:dyDescent="0.25">
      <c r="C53" s="3">
        <v>11</v>
      </c>
      <c r="D53" s="3">
        <f t="shared" si="4"/>
        <v>109.08156303205513</v>
      </c>
      <c r="E53" s="3">
        <f t="shared" si="5"/>
        <v>0</v>
      </c>
      <c r="F53" s="3">
        <f t="shared" si="6"/>
        <v>0</v>
      </c>
      <c r="G53" s="3">
        <f t="shared" si="7"/>
        <v>0</v>
      </c>
      <c r="H53" s="3">
        <f t="shared" si="8"/>
        <v>0</v>
      </c>
      <c r="I53" s="3">
        <f t="shared" si="9"/>
        <v>0</v>
      </c>
      <c r="J53" s="3">
        <f t="shared" si="10"/>
        <v>0</v>
      </c>
      <c r="K53" s="3">
        <f t="shared" si="11"/>
        <v>0</v>
      </c>
      <c r="L53" s="3">
        <f t="shared" si="12"/>
        <v>0</v>
      </c>
      <c r="M53" s="3">
        <f t="shared" si="13"/>
        <v>0</v>
      </c>
    </row>
    <row r="54" spans="3:13" x14ac:dyDescent="0.25">
      <c r="C54" s="3">
        <v>12</v>
      </c>
      <c r="D54" s="3">
        <f t="shared" si="4"/>
        <v>109.08156303205513</v>
      </c>
      <c r="E54" s="3">
        <f t="shared" si="5"/>
        <v>0</v>
      </c>
      <c r="F54" s="3">
        <f t="shared" si="6"/>
        <v>0</v>
      </c>
      <c r="G54" s="3">
        <f t="shared" si="7"/>
        <v>0</v>
      </c>
      <c r="H54" s="3">
        <f t="shared" si="8"/>
        <v>0</v>
      </c>
      <c r="I54" s="3">
        <f t="shared" si="9"/>
        <v>0</v>
      </c>
      <c r="J54" s="3">
        <f t="shared" si="10"/>
        <v>0</v>
      </c>
      <c r="K54" s="3">
        <f t="shared" si="11"/>
        <v>0</v>
      </c>
      <c r="L54" s="3">
        <f t="shared" si="12"/>
        <v>0</v>
      </c>
      <c r="M54" s="3">
        <f t="shared" si="13"/>
        <v>0</v>
      </c>
    </row>
    <row r="55" spans="3:13" x14ac:dyDescent="0.25">
      <c r="C55" s="3">
        <v>13</v>
      </c>
      <c r="D55" s="3">
        <f t="shared" si="4"/>
        <v>98.163126064110259</v>
      </c>
      <c r="E55" s="3">
        <f t="shared" si="5"/>
        <v>0</v>
      </c>
      <c r="F55" s="3">
        <f t="shared" si="6"/>
        <v>1146.4358816342121</v>
      </c>
      <c r="G55" s="3">
        <f t="shared" si="7"/>
        <v>0</v>
      </c>
      <c r="H55" s="3">
        <f t="shared" si="8"/>
        <v>0</v>
      </c>
      <c r="I55" s="3">
        <f t="shared" si="9"/>
        <v>0</v>
      </c>
      <c r="J55" s="3">
        <f t="shared" si="10"/>
        <v>0</v>
      </c>
      <c r="K55" s="3">
        <f t="shared" si="11"/>
        <v>0</v>
      </c>
      <c r="L55" s="3">
        <f t="shared" si="12"/>
        <v>0</v>
      </c>
      <c r="M55" s="3">
        <f t="shared" si="13"/>
        <v>0</v>
      </c>
    </row>
    <row r="56" spans="3:13" x14ac:dyDescent="0.25">
      <c r="C56" s="3">
        <v>14</v>
      </c>
      <c r="D56" s="3">
        <f t="shared" si="4"/>
        <v>98.163126064110259</v>
      </c>
      <c r="E56" s="3">
        <f t="shared" si="5"/>
        <v>0</v>
      </c>
      <c r="F56" s="3">
        <f t="shared" si="6"/>
        <v>0</v>
      </c>
      <c r="G56" s="3">
        <f t="shared" si="7"/>
        <v>0</v>
      </c>
      <c r="H56" s="3">
        <f t="shared" si="8"/>
        <v>0</v>
      </c>
      <c r="I56" s="3">
        <f t="shared" si="9"/>
        <v>0</v>
      </c>
      <c r="J56" s="3">
        <f t="shared" si="10"/>
        <v>0</v>
      </c>
      <c r="K56" s="3">
        <f t="shared" si="11"/>
        <v>0</v>
      </c>
      <c r="L56" s="3">
        <f t="shared" si="12"/>
        <v>0</v>
      </c>
      <c r="M56" s="3">
        <f t="shared" si="13"/>
        <v>0</v>
      </c>
    </row>
    <row r="57" spans="3:13" x14ac:dyDescent="0.25">
      <c r="C57" s="3">
        <v>15</v>
      </c>
      <c r="D57" s="3">
        <f t="shared" si="4"/>
        <v>98.163126064110259</v>
      </c>
      <c r="E57" s="3">
        <f t="shared" si="5"/>
        <v>0</v>
      </c>
      <c r="F57" s="3">
        <f t="shared" si="6"/>
        <v>0</v>
      </c>
      <c r="G57" s="3">
        <f t="shared" si="7"/>
        <v>0</v>
      </c>
      <c r="H57" s="3">
        <f t="shared" si="8"/>
        <v>0</v>
      </c>
      <c r="I57" s="3">
        <f t="shared" si="9"/>
        <v>0</v>
      </c>
      <c r="J57" s="3">
        <f t="shared" si="10"/>
        <v>0</v>
      </c>
      <c r="K57" s="3">
        <f t="shared" si="11"/>
        <v>0</v>
      </c>
      <c r="L57" s="3">
        <f t="shared" si="12"/>
        <v>0</v>
      </c>
      <c r="M57" s="3">
        <f t="shared" si="13"/>
        <v>0</v>
      </c>
    </row>
    <row r="58" spans="3:13" x14ac:dyDescent="0.25">
      <c r="C58" s="3">
        <v>16</v>
      </c>
      <c r="D58" s="3">
        <f t="shared" si="4"/>
        <v>98.163126064110259</v>
      </c>
      <c r="E58" s="3">
        <f t="shared" si="5"/>
        <v>0</v>
      </c>
      <c r="F58" s="3">
        <f t="shared" si="6"/>
        <v>0</v>
      </c>
      <c r="G58" s="3">
        <f t="shared" si="7"/>
        <v>0</v>
      </c>
      <c r="H58" s="3">
        <f t="shared" si="8"/>
        <v>0</v>
      </c>
      <c r="I58" s="3">
        <f t="shared" si="9"/>
        <v>0</v>
      </c>
      <c r="J58" s="3">
        <f t="shared" si="10"/>
        <v>0</v>
      </c>
      <c r="K58" s="3">
        <f t="shared" si="11"/>
        <v>0</v>
      </c>
      <c r="L58" s="3">
        <f t="shared" si="12"/>
        <v>0</v>
      </c>
      <c r="M58" s="3">
        <f t="shared" si="13"/>
        <v>0</v>
      </c>
    </row>
    <row r="59" spans="3:13" x14ac:dyDescent="0.25">
      <c r="C59" s="3">
        <v>17</v>
      </c>
      <c r="D59" s="3">
        <f t="shared" si="4"/>
        <v>98.163126064110259</v>
      </c>
      <c r="E59" s="3">
        <f t="shared" si="5"/>
        <v>0</v>
      </c>
      <c r="F59" s="3">
        <f t="shared" si="6"/>
        <v>0</v>
      </c>
      <c r="G59" s="3">
        <f t="shared" si="7"/>
        <v>0</v>
      </c>
      <c r="H59" s="3">
        <f t="shared" si="8"/>
        <v>0</v>
      </c>
      <c r="I59" s="3">
        <f t="shared" si="9"/>
        <v>0</v>
      </c>
      <c r="J59" s="3">
        <f t="shared" si="10"/>
        <v>0</v>
      </c>
      <c r="K59" s="3">
        <f t="shared" si="11"/>
        <v>0</v>
      </c>
      <c r="L59" s="3">
        <f t="shared" si="12"/>
        <v>0</v>
      </c>
      <c r="M59" s="3">
        <f t="shared" si="13"/>
        <v>0</v>
      </c>
    </row>
    <row r="60" spans="3:13" x14ac:dyDescent="0.25">
      <c r="C60" s="3">
        <v>18</v>
      </c>
      <c r="D60" s="3">
        <f t="shared" si="4"/>
        <v>87.244689096165388</v>
      </c>
      <c r="E60" s="3">
        <f t="shared" si="5"/>
        <v>0</v>
      </c>
      <c r="F60" s="3">
        <f t="shared" si="6"/>
        <v>1146.4358816342121</v>
      </c>
      <c r="G60" s="3">
        <f t="shared" si="7"/>
        <v>0</v>
      </c>
      <c r="H60" s="3">
        <f t="shared" si="8"/>
        <v>0</v>
      </c>
      <c r="I60" s="3">
        <f t="shared" si="9"/>
        <v>0</v>
      </c>
      <c r="J60" s="3">
        <f t="shared" si="10"/>
        <v>0</v>
      </c>
      <c r="K60" s="3">
        <f t="shared" si="11"/>
        <v>0</v>
      </c>
      <c r="L60" s="3">
        <f t="shared" si="12"/>
        <v>0</v>
      </c>
      <c r="M60" s="3">
        <f t="shared" si="13"/>
        <v>0</v>
      </c>
    </row>
    <row r="61" spans="3:13" x14ac:dyDescent="0.25">
      <c r="C61" s="3">
        <v>19</v>
      </c>
      <c r="D61" s="3">
        <f t="shared" si="4"/>
        <v>88.527986924391286</v>
      </c>
      <c r="E61" s="3">
        <f t="shared" si="5"/>
        <v>134.74627196371799</v>
      </c>
      <c r="F61" s="3">
        <f t="shared" si="6"/>
        <v>0</v>
      </c>
      <c r="G61" s="3">
        <f t="shared" si="7"/>
        <v>0</v>
      </c>
      <c r="H61" s="3">
        <f t="shared" si="8"/>
        <v>0</v>
      </c>
      <c r="I61" s="3">
        <f t="shared" si="9"/>
        <v>0</v>
      </c>
      <c r="J61" s="3">
        <f t="shared" si="10"/>
        <v>0</v>
      </c>
      <c r="K61" s="3">
        <f t="shared" si="11"/>
        <v>0</v>
      </c>
      <c r="L61" s="3">
        <f t="shared" si="12"/>
        <v>0</v>
      </c>
      <c r="M61" s="3">
        <f t="shared" si="13"/>
        <v>0</v>
      </c>
    </row>
    <row r="62" spans="3:13" x14ac:dyDescent="0.25">
      <c r="C62" s="3">
        <v>20</v>
      </c>
      <c r="D62" s="3">
        <f t="shared" si="4"/>
        <v>89.802301667795874</v>
      </c>
      <c r="E62" s="3">
        <f t="shared" si="5"/>
        <v>133.80304805748227</v>
      </c>
      <c r="F62" s="3">
        <f t="shared" si="6"/>
        <v>0</v>
      </c>
      <c r="G62" s="3">
        <f t="shared" si="7"/>
        <v>0</v>
      </c>
      <c r="H62" s="3">
        <f t="shared" si="8"/>
        <v>0</v>
      </c>
      <c r="I62" s="3">
        <f t="shared" si="9"/>
        <v>0</v>
      </c>
      <c r="J62" s="3">
        <f t="shared" si="10"/>
        <v>0</v>
      </c>
      <c r="K62" s="3">
        <f t="shared" si="11"/>
        <v>0</v>
      </c>
      <c r="L62" s="3">
        <f t="shared" si="12"/>
        <v>0</v>
      </c>
      <c r="M62" s="3">
        <f t="shared" si="13"/>
        <v>0</v>
      </c>
    </row>
    <row r="63" spans="3:13" x14ac:dyDescent="0.25">
      <c r="C63" s="3">
        <v>21</v>
      </c>
      <c r="D63" s="3">
        <f t="shared" si="4"/>
        <v>91.068530467660537</v>
      </c>
      <c r="E63" s="3">
        <f t="shared" si="5"/>
        <v>132.95402398579068</v>
      </c>
      <c r="F63" s="3">
        <f t="shared" si="6"/>
        <v>0</v>
      </c>
      <c r="G63" s="3">
        <f t="shared" si="7"/>
        <v>0</v>
      </c>
      <c r="H63" s="3">
        <f t="shared" si="8"/>
        <v>0</v>
      </c>
      <c r="I63" s="3">
        <f t="shared" si="9"/>
        <v>0</v>
      </c>
      <c r="J63" s="3">
        <f t="shared" si="10"/>
        <v>0</v>
      </c>
      <c r="K63" s="3">
        <f t="shared" si="11"/>
        <v>0</v>
      </c>
      <c r="L63" s="3">
        <f t="shared" si="12"/>
        <v>0</v>
      </c>
      <c r="M63" s="3">
        <f t="shared" si="13"/>
        <v>0</v>
      </c>
    </row>
    <row r="64" spans="3:13" x14ac:dyDescent="0.25">
      <c r="C64" s="3">
        <v>22</v>
      </c>
      <c r="D64" s="3">
        <f t="shared" si="4"/>
        <v>92.327567235021306</v>
      </c>
      <c r="E64" s="3">
        <f t="shared" si="5"/>
        <v>132.19886057288005</v>
      </c>
      <c r="F64" s="3">
        <f t="shared" si="6"/>
        <v>0</v>
      </c>
      <c r="G64" s="3">
        <f t="shared" si="7"/>
        <v>0</v>
      </c>
      <c r="H64" s="3">
        <f t="shared" si="8"/>
        <v>0</v>
      </c>
      <c r="I64" s="3">
        <f t="shared" si="9"/>
        <v>0</v>
      </c>
      <c r="J64" s="3">
        <f t="shared" si="10"/>
        <v>0</v>
      </c>
      <c r="K64" s="3">
        <f t="shared" si="11"/>
        <v>0</v>
      </c>
      <c r="L64" s="3">
        <f t="shared" si="12"/>
        <v>0</v>
      </c>
      <c r="M64" s="3">
        <f t="shared" si="13"/>
        <v>0</v>
      </c>
    </row>
    <row r="65" spans="3:13" x14ac:dyDescent="0.25">
      <c r="C65" s="3">
        <v>23</v>
      </c>
      <c r="D65" s="3">
        <f t="shared" si="4"/>
        <v>82.661867456384414</v>
      </c>
      <c r="E65" s="3">
        <f t="shared" si="5"/>
        <v>131.53740487733668</v>
      </c>
      <c r="F65" s="3">
        <f t="shared" si="6"/>
        <v>1146.4358816342121</v>
      </c>
      <c r="G65" s="3">
        <f t="shared" si="7"/>
        <v>0</v>
      </c>
      <c r="H65" s="3">
        <f t="shared" si="8"/>
        <v>0</v>
      </c>
      <c r="I65" s="3">
        <f t="shared" si="9"/>
        <v>0</v>
      </c>
      <c r="J65" s="3">
        <f t="shared" si="10"/>
        <v>0</v>
      </c>
      <c r="K65" s="3">
        <f t="shared" si="11"/>
        <v>0</v>
      </c>
      <c r="L65" s="3">
        <f t="shared" si="12"/>
        <v>0</v>
      </c>
      <c r="M65" s="3">
        <f t="shared" si="13"/>
        <v>0</v>
      </c>
    </row>
    <row r="66" spans="3:13" x14ac:dyDescent="0.25">
      <c r="C66" s="3">
        <v>24</v>
      </c>
      <c r="D66" s="3">
        <f t="shared" si="4"/>
        <v>83.9838272434678</v>
      </c>
      <c r="E66" s="3">
        <f t="shared" si="5"/>
        <v>138.80577764375587</v>
      </c>
      <c r="F66" s="3">
        <f t="shared" si="6"/>
        <v>0</v>
      </c>
      <c r="G66" s="3">
        <f t="shared" si="7"/>
        <v>0</v>
      </c>
      <c r="H66" s="3">
        <f t="shared" si="8"/>
        <v>0</v>
      </c>
      <c r="I66" s="3">
        <f t="shared" si="9"/>
        <v>0</v>
      </c>
      <c r="J66" s="3">
        <f t="shared" si="10"/>
        <v>0</v>
      </c>
      <c r="K66" s="3">
        <f t="shared" si="11"/>
        <v>0</v>
      </c>
      <c r="L66" s="3">
        <f t="shared" si="12"/>
        <v>0</v>
      </c>
      <c r="M66" s="3">
        <f t="shared" si="13"/>
        <v>0</v>
      </c>
    </row>
    <row r="67" spans="3:13" x14ac:dyDescent="0.25">
      <c r="C67" s="3">
        <v>25</v>
      </c>
      <c r="D67" s="3">
        <f t="shared" si="4"/>
        <v>85.293609684515431</v>
      </c>
      <c r="E67" s="3">
        <f t="shared" si="5"/>
        <v>137.52715631000061</v>
      </c>
      <c r="F67" s="3">
        <f t="shared" si="6"/>
        <v>0</v>
      </c>
      <c r="G67" s="3">
        <f t="shared" si="7"/>
        <v>0</v>
      </c>
      <c r="H67" s="3">
        <f t="shared" si="8"/>
        <v>0</v>
      </c>
      <c r="I67" s="3">
        <f t="shared" si="9"/>
        <v>0</v>
      </c>
      <c r="J67" s="3">
        <f t="shared" si="10"/>
        <v>0</v>
      </c>
      <c r="K67" s="3">
        <f t="shared" si="11"/>
        <v>0</v>
      </c>
      <c r="L67" s="3">
        <f t="shared" si="12"/>
        <v>0</v>
      </c>
      <c r="M67" s="3">
        <f t="shared" si="13"/>
        <v>0</v>
      </c>
    </row>
    <row r="68" spans="3:13" x14ac:dyDescent="0.25">
      <c r="C68" s="3">
        <v>26</v>
      </c>
      <c r="D68" s="3">
        <f t="shared" si="4"/>
        <v>86.592136037876287</v>
      </c>
      <c r="E68" s="3">
        <f t="shared" si="5"/>
        <v>136.3452671028902</v>
      </c>
      <c r="F68" s="3">
        <f t="shared" si="6"/>
        <v>0</v>
      </c>
      <c r="G68" s="3">
        <f t="shared" si="7"/>
        <v>0</v>
      </c>
      <c r="H68" s="3">
        <f t="shared" si="8"/>
        <v>0</v>
      </c>
      <c r="I68" s="3">
        <f t="shared" si="9"/>
        <v>0</v>
      </c>
      <c r="J68" s="3">
        <f t="shared" si="10"/>
        <v>0</v>
      </c>
      <c r="K68" s="3">
        <f t="shared" si="11"/>
        <v>0</v>
      </c>
      <c r="L68" s="3">
        <f t="shared" si="12"/>
        <v>0</v>
      </c>
      <c r="M68" s="3">
        <f t="shared" si="13"/>
        <v>0</v>
      </c>
    </row>
    <row r="69" spans="3:13" x14ac:dyDescent="0.25">
      <c r="C69" s="3">
        <v>27</v>
      </c>
      <c r="D69" s="3">
        <f t="shared" si="4"/>
        <v>87.880318771454668</v>
      </c>
      <c r="E69" s="3">
        <f t="shared" si="5"/>
        <v>135.25918702572926</v>
      </c>
      <c r="F69" s="3">
        <f t="shared" si="6"/>
        <v>0</v>
      </c>
      <c r="G69" s="3">
        <f t="shared" si="7"/>
        <v>0</v>
      </c>
      <c r="H69" s="3">
        <f t="shared" si="8"/>
        <v>0</v>
      </c>
      <c r="I69" s="3">
        <f t="shared" si="9"/>
        <v>0</v>
      </c>
      <c r="J69" s="3">
        <f t="shared" si="10"/>
        <v>0</v>
      </c>
      <c r="K69" s="3">
        <f t="shared" si="11"/>
        <v>0</v>
      </c>
      <c r="L69" s="3">
        <f t="shared" si="12"/>
        <v>0</v>
      </c>
      <c r="M69" s="3">
        <f t="shared" si="13"/>
        <v>0</v>
      </c>
    </row>
    <row r="70" spans="3:13" x14ac:dyDescent="0.25">
      <c r="C70" s="3">
        <v>28</v>
      </c>
      <c r="D70" s="3">
        <f t="shared" si="4"/>
        <v>78.240626079871873</v>
      </c>
      <c r="E70" s="3">
        <f t="shared" si="5"/>
        <v>134.26814901801879</v>
      </c>
      <c r="F70" s="3">
        <f t="shared" si="6"/>
        <v>1146.4358816342121</v>
      </c>
      <c r="G70" s="3">
        <f t="shared" si="7"/>
        <v>0</v>
      </c>
      <c r="H70" s="3">
        <f t="shared" si="8"/>
        <v>0</v>
      </c>
      <c r="I70" s="3">
        <f t="shared" si="9"/>
        <v>0</v>
      </c>
      <c r="J70" s="3">
        <f t="shared" si="10"/>
        <v>0</v>
      </c>
      <c r="K70" s="3">
        <f t="shared" si="11"/>
        <v>0</v>
      </c>
      <c r="L70" s="3">
        <f t="shared" si="12"/>
        <v>0</v>
      </c>
      <c r="M70" s="3">
        <f t="shared" si="13"/>
        <v>0</v>
      </c>
    </row>
    <row r="71" spans="3:13" x14ac:dyDescent="0.25">
      <c r="C71" s="3">
        <v>29</v>
      </c>
      <c r="D71" s="3">
        <f t="shared" si="4"/>
        <v>79.608993478200574</v>
      </c>
      <c r="E71" s="3">
        <f t="shared" si="5"/>
        <v>143.67857682451333</v>
      </c>
      <c r="F71" s="3">
        <f t="shared" si="6"/>
        <v>0</v>
      </c>
      <c r="G71" s="3">
        <f t="shared" si="7"/>
        <v>0</v>
      </c>
      <c r="H71" s="3">
        <f t="shared" si="8"/>
        <v>0</v>
      </c>
      <c r="I71" s="3">
        <f t="shared" si="9"/>
        <v>0</v>
      </c>
      <c r="J71" s="3">
        <f t="shared" si="10"/>
        <v>0</v>
      </c>
      <c r="K71" s="3">
        <f t="shared" si="11"/>
        <v>0</v>
      </c>
      <c r="L71" s="3">
        <f t="shared" si="12"/>
        <v>0</v>
      </c>
      <c r="M71" s="3">
        <f t="shared" si="13"/>
        <v>0</v>
      </c>
    </row>
    <row r="72" spans="3:13" x14ac:dyDescent="0.25">
      <c r="C72" s="3">
        <v>30</v>
      </c>
      <c r="D72" s="3">
        <f t="shared" si="4"/>
        <v>80.962091651381911</v>
      </c>
      <c r="E72" s="3">
        <f t="shared" si="5"/>
        <v>142.07530818404109</v>
      </c>
      <c r="F72" s="3">
        <f t="shared" si="6"/>
        <v>0</v>
      </c>
      <c r="G72" s="3">
        <f t="shared" si="7"/>
        <v>0</v>
      </c>
      <c r="H72" s="3">
        <f t="shared" si="8"/>
        <v>0</v>
      </c>
      <c r="I72" s="3">
        <f t="shared" si="9"/>
        <v>0</v>
      </c>
      <c r="J72" s="3">
        <f t="shared" si="10"/>
        <v>0</v>
      </c>
      <c r="K72" s="3">
        <f t="shared" si="11"/>
        <v>0</v>
      </c>
      <c r="L72" s="3">
        <f t="shared" si="12"/>
        <v>0</v>
      </c>
      <c r="M72" s="3">
        <f t="shared" si="13"/>
        <v>0</v>
      </c>
    </row>
    <row r="73" spans="3:13" x14ac:dyDescent="0.25">
      <c r="C73" s="3">
        <v>31</v>
      </c>
      <c r="D73" s="3">
        <f t="shared" si="4"/>
        <v>82.300879990123875</v>
      </c>
      <c r="E73" s="3">
        <f t="shared" si="5"/>
        <v>140.57277556790513</v>
      </c>
      <c r="F73" s="3">
        <f t="shared" si="6"/>
        <v>0</v>
      </c>
      <c r="G73" s="3">
        <f t="shared" si="7"/>
        <v>0</v>
      </c>
      <c r="H73" s="3">
        <f t="shared" si="8"/>
        <v>0</v>
      </c>
      <c r="I73" s="3">
        <f t="shared" si="9"/>
        <v>0</v>
      </c>
      <c r="J73" s="3">
        <f t="shared" si="10"/>
        <v>0</v>
      </c>
      <c r="K73" s="3">
        <f t="shared" si="11"/>
        <v>0</v>
      </c>
      <c r="L73" s="3">
        <f t="shared" si="12"/>
        <v>0</v>
      </c>
      <c r="M73" s="3">
        <f t="shared" si="13"/>
        <v>0</v>
      </c>
    </row>
    <row r="74" spans="3:13" x14ac:dyDescent="0.25">
      <c r="C74" s="3">
        <v>32</v>
      </c>
      <c r="D74" s="3">
        <f t="shared" si="4"/>
        <v>83.626304809277485</v>
      </c>
      <c r="E74" s="3">
        <f t="shared" si="5"/>
        <v>139.16960601112996</v>
      </c>
      <c r="F74" s="3">
        <f t="shared" si="6"/>
        <v>0</v>
      </c>
      <c r="G74" s="3">
        <f t="shared" si="7"/>
        <v>0</v>
      </c>
      <c r="H74" s="3">
        <f t="shared" si="8"/>
        <v>0</v>
      </c>
      <c r="I74" s="3">
        <f t="shared" si="9"/>
        <v>0</v>
      </c>
      <c r="J74" s="3">
        <f t="shared" si="10"/>
        <v>0</v>
      </c>
      <c r="K74" s="3">
        <f t="shared" si="11"/>
        <v>0</v>
      </c>
      <c r="L74" s="3">
        <f t="shared" si="12"/>
        <v>0</v>
      </c>
      <c r="M74" s="3">
        <f t="shared" si="13"/>
        <v>0</v>
      </c>
    </row>
    <row r="75" spans="3:13" x14ac:dyDescent="0.25">
      <c r="C75" s="3">
        <v>33</v>
      </c>
      <c r="D75" s="3">
        <f t="shared" si="4"/>
        <v>74.020863593186405</v>
      </c>
      <c r="E75" s="3">
        <f t="shared" si="5"/>
        <v>137.86455394464735</v>
      </c>
      <c r="F75" s="3">
        <f t="shared" si="6"/>
        <v>1146.4358816342121</v>
      </c>
      <c r="G75" s="3">
        <f t="shared" si="7"/>
        <v>0</v>
      </c>
      <c r="H75" s="3">
        <f t="shared" si="8"/>
        <v>0</v>
      </c>
      <c r="I75" s="3">
        <f t="shared" si="9"/>
        <v>0</v>
      </c>
      <c r="J75" s="3">
        <f t="shared" si="10"/>
        <v>0</v>
      </c>
      <c r="K75" s="3">
        <f t="shared" si="11"/>
        <v>0</v>
      </c>
      <c r="L75" s="3">
        <f t="shared" si="12"/>
        <v>0</v>
      </c>
      <c r="M75" s="3">
        <f t="shared" si="13"/>
        <v>0</v>
      </c>
    </row>
    <row r="76" spans="3:13" x14ac:dyDescent="0.25">
      <c r="C76" s="3">
        <v>34</v>
      </c>
      <c r="D76" s="3">
        <f t="shared" si="4"/>
        <v>75.441115513536474</v>
      </c>
      <c r="E76" s="3">
        <f t="shared" si="5"/>
        <v>149.12645163675637</v>
      </c>
      <c r="F76" s="3">
        <f t="shared" si="6"/>
        <v>0</v>
      </c>
      <c r="G76" s="3">
        <f t="shared" si="7"/>
        <v>0</v>
      </c>
      <c r="H76" s="3">
        <f t="shared" si="8"/>
        <v>0</v>
      </c>
      <c r="I76" s="3">
        <f t="shared" si="9"/>
        <v>0</v>
      </c>
      <c r="J76" s="3">
        <f t="shared" si="10"/>
        <v>0</v>
      </c>
      <c r="K76" s="3">
        <f t="shared" si="11"/>
        <v>0</v>
      </c>
      <c r="L76" s="3">
        <f t="shared" si="12"/>
        <v>0</v>
      </c>
      <c r="M76" s="3">
        <f t="shared" si="13"/>
        <v>0</v>
      </c>
    </row>
    <row r="77" spans="3:13" x14ac:dyDescent="0.25">
      <c r="C77" s="3">
        <v>35</v>
      </c>
      <c r="D77" s="3">
        <f t="shared" si="4"/>
        <v>76.843121500355622</v>
      </c>
      <c r="E77" s="3">
        <f t="shared" si="5"/>
        <v>147.2106286160101</v>
      </c>
      <c r="F77" s="3">
        <f t="shared" si="6"/>
        <v>0</v>
      </c>
      <c r="G77" s="3">
        <f t="shared" si="7"/>
        <v>0</v>
      </c>
      <c r="H77" s="3">
        <f t="shared" si="8"/>
        <v>0</v>
      </c>
      <c r="I77" s="3">
        <f t="shared" si="9"/>
        <v>0</v>
      </c>
      <c r="J77" s="3">
        <f t="shared" si="10"/>
        <v>0</v>
      </c>
      <c r="K77" s="3">
        <f t="shared" si="11"/>
        <v>0</v>
      </c>
      <c r="L77" s="3">
        <f t="shared" si="12"/>
        <v>0</v>
      </c>
      <c r="M77" s="3">
        <f t="shared" si="13"/>
        <v>0</v>
      </c>
    </row>
    <row r="78" spans="3:13" x14ac:dyDescent="0.25">
      <c r="C78" s="3">
        <v>36</v>
      </c>
      <c r="D78" s="3">
        <f t="shared" si="4"/>
        <v>78.227886642792441</v>
      </c>
      <c r="E78" s="3">
        <f t="shared" si="5"/>
        <v>145.40033995586606</v>
      </c>
      <c r="F78" s="3">
        <f t="shared" si="6"/>
        <v>0</v>
      </c>
      <c r="G78" s="3">
        <f t="shared" si="7"/>
        <v>0</v>
      </c>
      <c r="H78" s="3">
        <f t="shared" si="8"/>
        <v>0</v>
      </c>
      <c r="I78" s="3">
        <f t="shared" si="9"/>
        <v>0</v>
      </c>
      <c r="J78" s="3">
        <f t="shared" si="10"/>
        <v>0</v>
      </c>
      <c r="K78" s="3">
        <f t="shared" si="11"/>
        <v>0</v>
      </c>
      <c r="L78" s="3">
        <f t="shared" si="12"/>
        <v>0</v>
      </c>
      <c r="M78" s="3">
        <f t="shared" si="13"/>
        <v>0</v>
      </c>
    </row>
    <row r="79" spans="3:13" x14ac:dyDescent="0.25">
      <c r="C79" s="3">
        <v>37</v>
      </c>
      <c r="D79" s="3">
        <f t="shared" si="4"/>
        <v>79.596399891793965</v>
      </c>
      <c r="E79" s="3">
        <f t="shared" si="5"/>
        <v>143.69389114515903</v>
      </c>
      <c r="F79" s="3">
        <f t="shared" si="6"/>
        <v>0</v>
      </c>
      <c r="G79" s="3">
        <f t="shared" si="7"/>
        <v>0</v>
      </c>
      <c r="H79" s="3">
        <f t="shared" si="8"/>
        <v>0</v>
      </c>
      <c r="I79" s="3">
        <f t="shared" si="9"/>
        <v>0</v>
      </c>
      <c r="J79" s="3">
        <f t="shared" si="10"/>
        <v>0</v>
      </c>
      <c r="K79" s="3">
        <f t="shared" si="11"/>
        <v>0</v>
      </c>
      <c r="L79" s="3">
        <f t="shared" si="12"/>
        <v>0</v>
      </c>
      <c r="M79" s="3">
        <f t="shared" si="13"/>
        <v>0</v>
      </c>
    </row>
    <row r="80" spans="3:13" x14ac:dyDescent="0.25">
      <c r="C80" s="3">
        <v>38</v>
      </c>
      <c r="D80" s="3">
        <f t="shared" si="4"/>
        <v>70.031198003295373</v>
      </c>
      <c r="E80" s="3">
        <f t="shared" si="5"/>
        <v>142.0896833418594</v>
      </c>
      <c r="F80" s="3">
        <f t="shared" si="6"/>
        <v>1146.4358816342121</v>
      </c>
      <c r="G80" s="3">
        <f t="shared" si="7"/>
        <v>0</v>
      </c>
      <c r="H80" s="3">
        <f t="shared" si="8"/>
        <v>0</v>
      </c>
      <c r="I80" s="3">
        <f t="shared" si="9"/>
        <v>0</v>
      </c>
      <c r="J80" s="3">
        <f t="shared" si="10"/>
        <v>0</v>
      </c>
      <c r="K80" s="3">
        <f t="shared" si="11"/>
        <v>0</v>
      </c>
      <c r="L80" s="3">
        <f t="shared" si="12"/>
        <v>0</v>
      </c>
      <c r="M80" s="3">
        <f t="shared" si="13"/>
        <v>0</v>
      </c>
    </row>
    <row r="81" spans="3:13" x14ac:dyDescent="0.25">
      <c r="C81" s="3">
        <v>39</v>
      </c>
      <c r="D81" s="3">
        <f t="shared" si="4"/>
        <v>71.506679859895073</v>
      </c>
      <c r="E81" s="3">
        <f t="shared" si="5"/>
        <v>154.92559494296785</v>
      </c>
      <c r="F81" s="3">
        <f t="shared" si="6"/>
        <v>0</v>
      </c>
      <c r="G81" s="3">
        <f t="shared" si="7"/>
        <v>0</v>
      </c>
      <c r="H81" s="3">
        <f t="shared" si="8"/>
        <v>0</v>
      </c>
      <c r="I81" s="3">
        <f t="shared" si="9"/>
        <v>0</v>
      </c>
      <c r="J81" s="3">
        <f t="shared" si="10"/>
        <v>0</v>
      </c>
      <c r="K81" s="3">
        <f t="shared" si="11"/>
        <v>0</v>
      </c>
      <c r="L81" s="3">
        <f t="shared" si="12"/>
        <v>0</v>
      </c>
      <c r="M81" s="3">
        <f t="shared" si="13"/>
        <v>0</v>
      </c>
    </row>
    <row r="82" spans="3:13" x14ac:dyDescent="0.25">
      <c r="C82" s="3">
        <v>40</v>
      </c>
      <c r="D82" s="3">
        <f t="shared" si="4"/>
        <v>72.961075839275168</v>
      </c>
      <c r="E82" s="3">
        <f t="shared" si="5"/>
        <v>152.71157783490943</v>
      </c>
      <c r="F82" s="3">
        <f t="shared" si="6"/>
        <v>0</v>
      </c>
      <c r="G82" s="3">
        <f t="shared" si="7"/>
        <v>0</v>
      </c>
      <c r="H82" s="3">
        <f t="shared" si="8"/>
        <v>0</v>
      </c>
      <c r="I82" s="3">
        <f t="shared" si="9"/>
        <v>0</v>
      </c>
      <c r="J82" s="3">
        <f t="shared" si="10"/>
        <v>0</v>
      </c>
      <c r="K82" s="3">
        <f t="shared" si="11"/>
        <v>0</v>
      </c>
      <c r="L82" s="3">
        <f t="shared" si="12"/>
        <v>0</v>
      </c>
      <c r="M82" s="3">
        <f t="shared" si="13"/>
        <v>0</v>
      </c>
    </row>
    <row r="83" spans="3:13" x14ac:dyDescent="0.25">
      <c r="C83" s="3">
        <v>41</v>
      </c>
      <c r="D83" s="3">
        <f t="shared" si="4"/>
        <v>74.395438846752256</v>
      </c>
      <c r="E83" s="3">
        <f t="shared" si="5"/>
        <v>150.60811578509359</v>
      </c>
      <c r="F83" s="3">
        <f t="shared" si="6"/>
        <v>0</v>
      </c>
      <c r="G83" s="3">
        <f t="shared" si="7"/>
        <v>0</v>
      </c>
      <c r="H83" s="3">
        <f t="shared" si="8"/>
        <v>0</v>
      </c>
      <c r="I83" s="3">
        <f t="shared" si="9"/>
        <v>0</v>
      </c>
      <c r="J83" s="3">
        <f t="shared" si="10"/>
        <v>0</v>
      </c>
      <c r="K83" s="3">
        <f t="shared" si="11"/>
        <v>0</v>
      </c>
      <c r="L83" s="3">
        <f t="shared" si="12"/>
        <v>0</v>
      </c>
      <c r="M83" s="3">
        <f t="shared" si="13"/>
        <v>0</v>
      </c>
    </row>
    <row r="84" spans="3:13" x14ac:dyDescent="0.25">
      <c r="C84" s="3">
        <v>42</v>
      </c>
      <c r="D84" s="3">
        <f t="shared" si="4"/>
        <v>75.810803814385707</v>
      </c>
      <c r="E84" s="3">
        <f t="shared" si="5"/>
        <v>148.61332160151346</v>
      </c>
      <c r="F84" s="3">
        <f t="shared" si="6"/>
        <v>0</v>
      </c>
      <c r="G84" s="3">
        <f t="shared" si="7"/>
        <v>0</v>
      </c>
      <c r="H84" s="3">
        <f t="shared" si="8"/>
        <v>0</v>
      </c>
      <c r="I84" s="3">
        <f t="shared" si="9"/>
        <v>0</v>
      </c>
      <c r="J84" s="3">
        <f t="shared" si="10"/>
        <v>0</v>
      </c>
      <c r="K84" s="3">
        <f t="shared" si="11"/>
        <v>0</v>
      </c>
      <c r="L84" s="3">
        <f t="shared" si="12"/>
        <v>0</v>
      </c>
      <c r="M84" s="3">
        <f t="shared" si="13"/>
        <v>0</v>
      </c>
    </row>
    <row r="85" spans="3:13" x14ac:dyDescent="0.25">
      <c r="C85" s="3">
        <v>43</v>
      </c>
      <c r="D85" s="3">
        <f t="shared" si="4"/>
        <v>66.289751279810872</v>
      </c>
      <c r="E85" s="3">
        <f t="shared" si="5"/>
        <v>146.72536550385269</v>
      </c>
      <c r="F85" s="3">
        <f t="shared" si="6"/>
        <v>1146.4358816342121</v>
      </c>
      <c r="G85" s="3">
        <f t="shared" si="7"/>
        <v>0</v>
      </c>
      <c r="H85" s="3">
        <f t="shared" si="8"/>
        <v>0</v>
      </c>
      <c r="I85" s="3">
        <f t="shared" si="9"/>
        <v>0</v>
      </c>
      <c r="J85" s="3">
        <f t="shared" si="10"/>
        <v>0</v>
      </c>
      <c r="K85" s="3">
        <f t="shared" si="11"/>
        <v>0</v>
      </c>
      <c r="L85" s="3">
        <f t="shared" si="12"/>
        <v>0</v>
      </c>
      <c r="M85" s="3">
        <f t="shared" si="13"/>
        <v>0</v>
      </c>
    </row>
    <row r="86" spans="3:13" x14ac:dyDescent="0.25">
      <c r="C86" s="3">
        <v>44</v>
      </c>
      <c r="D86" s="3">
        <f t="shared" si="4"/>
        <v>67.821941275338204</v>
      </c>
      <c r="E86" s="3">
        <f t="shared" si="5"/>
        <v>160.87994953037054</v>
      </c>
      <c r="F86" s="3">
        <f t="shared" si="6"/>
        <v>0</v>
      </c>
      <c r="G86" s="3">
        <f t="shared" si="7"/>
        <v>0</v>
      </c>
      <c r="H86" s="3">
        <f t="shared" si="8"/>
        <v>0</v>
      </c>
      <c r="I86" s="3">
        <f t="shared" si="9"/>
        <v>0</v>
      </c>
      <c r="J86" s="3">
        <f t="shared" si="10"/>
        <v>0</v>
      </c>
      <c r="K86" s="3">
        <f t="shared" si="11"/>
        <v>0</v>
      </c>
      <c r="L86" s="3">
        <f t="shared" si="12"/>
        <v>0</v>
      </c>
      <c r="M86" s="3">
        <f t="shared" si="13"/>
        <v>0</v>
      </c>
    </row>
    <row r="87" spans="3:13" x14ac:dyDescent="0.25">
      <c r="C87" s="3">
        <v>45</v>
      </c>
      <c r="D87" s="3">
        <f t="shared" si="4"/>
        <v>69.33036586279573</v>
      </c>
      <c r="E87" s="3">
        <f t="shared" si="5"/>
        <v>158.38458168304021</v>
      </c>
      <c r="F87" s="3">
        <f t="shared" si="6"/>
        <v>0</v>
      </c>
      <c r="G87" s="3">
        <f t="shared" si="7"/>
        <v>0</v>
      </c>
      <c r="H87" s="3">
        <f t="shared" si="8"/>
        <v>0</v>
      </c>
      <c r="I87" s="3">
        <f t="shared" si="9"/>
        <v>0</v>
      </c>
      <c r="J87" s="3">
        <f t="shared" si="10"/>
        <v>0</v>
      </c>
      <c r="K87" s="3">
        <f t="shared" si="11"/>
        <v>0</v>
      </c>
      <c r="L87" s="3">
        <f t="shared" si="12"/>
        <v>0</v>
      </c>
      <c r="M87" s="3">
        <f t="shared" si="13"/>
        <v>0</v>
      </c>
    </row>
    <row r="88" spans="3:13" x14ac:dyDescent="0.25">
      <c r="C88" s="3">
        <v>46</v>
      </c>
      <c r="D88" s="3">
        <f t="shared" si="4"/>
        <v>70.816123583508002</v>
      </c>
      <c r="E88" s="3">
        <f t="shared" si="5"/>
        <v>156.00456067478862</v>
      </c>
      <c r="F88" s="3">
        <f t="shared" si="6"/>
        <v>0</v>
      </c>
      <c r="G88" s="3">
        <f t="shared" si="7"/>
        <v>0</v>
      </c>
      <c r="H88" s="3">
        <f t="shared" si="8"/>
        <v>0</v>
      </c>
      <c r="I88" s="3">
        <f t="shared" si="9"/>
        <v>0</v>
      </c>
      <c r="J88" s="3">
        <f t="shared" si="10"/>
        <v>0</v>
      </c>
      <c r="K88" s="3">
        <f t="shared" si="11"/>
        <v>0</v>
      </c>
      <c r="L88" s="3">
        <f t="shared" si="12"/>
        <v>0</v>
      </c>
      <c r="M88" s="3">
        <f t="shared" si="13"/>
        <v>0</v>
      </c>
    </row>
    <row r="89" spans="3:13" x14ac:dyDescent="0.25">
      <c r="C89" s="3">
        <v>47</v>
      </c>
      <c r="D89" s="3">
        <f t="shared" si="4"/>
        <v>72.280294403366881</v>
      </c>
      <c r="E89" s="3">
        <f t="shared" si="5"/>
        <v>153.73793608518321</v>
      </c>
      <c r="F89" s="3">
        <f t="shared" si="6"/>
        <v>0</v>
      </c>
      <c r="G89" s="3">
        <f t="shared" si="7"/>
        <v>0</v>
      </c>
      <c r="H89" s="3">
        <f t="shared" si="8"/>
        <v>0</v>
      </c>
      <c r="I89" s="3">
        <f t="shared" si="9"/>
        <v>0</v>
      </c>
      <c r="J89" s="3">
        <f t="shared" si="10"/>
        <v>0</v>
      </c>
      <c r="K89" s="3">
        <f t="shared" si="11"/>
        <v>0</v>
      </c>
      <c r="L89" s="3">
        <f t="shared" si="12"/>
        <v>0</v>
      </c>
      <c r="M89" s="3">
        <f t="shared" si="13"/>
        <v>0</v>
      </c>
    </row>
    <row r="90" spans="3:13" x14ac:dyDescent="0.25">
      <c r="C90" s="3">
        <v>48</v>
      </c>
      <c r="D90" s="3">
        <f t="shared" si="4"/>
        <v>62.805502847263789</v>
      </c>
      <c r="E90" s="3">
        <f t="shared" si="5"/>
        <v>151.58276824338688</v>
      </c>
      <c r="F90" s="3">
        <f t="shared" si="6"/>
        <v>1146.4358816342121</v>
      </c>
      <c r="G90" s="3">
        <f t="shared" si="7"/>
        <v>0</v>
      </c>
      <c r="H90" s="3">
        <f t="shared" si="8"/>
        <v>0</v>
      </c>
      <c r="I90" s="3">
        <f t="shared" si="9"/>
        <v>0</v>
      </c>
      <c r="J90" s="3">
        <f t="shared" si="10"/>
        <v>0</v>
      </c>
      <c r="K90" s="3">
        <f t="shared" si="11"/>
        <v>0</v>
      </c>
      <c r="L90" s="3">
        <f t="shared" si="12"/>
        <v>0</v>
      </c>
      <c r="M90" s="3">
        <f t="shared" si="13"/>
        <v>0</v>
      </c>
    </row>
    <row r="91" spans="3:13" x14ac:dyDescent="0.25">
      <c r="C91" s="3">
        <v>49</v>
      </c>
      <c r="D91" s="3">
        <f t="shared" si="4"/>
        <v>64.39434001672339</v>
      </c>
      <c r="E91" s="3">
        <f t="shared" si="5"/>
        <v>166.82790279325758</v>
      </c>
      <c r="F91" s="3">
        <f t="shared" si="6"/>
        <v>0</v>
      </c>
      <c r="G91" s="3">
        <f t="shared" si="7"/>
        <v>0</v>
      </c>
      <c r="H91" s="3">
        <f t="shared" si="8"/>
        <v>0</v>
      </c>
      <c r="I91" s="3">
        <f t="shared" si="9"/>
        <v>0</v>
      </c>
      <c r="J91" s="3">
        <f t="shared" si="10"/>
        <v>0</v>
      </c>
      <c r="K91" s="3">
        <f t="shared" si="11"/>
        <v>0</v>
      </c>
      <c r="L91" s="3">
        <f t="shared" si="12"/>
        <v>0</v>
      </c>
      <c r="M91" s="3">
        <f t="shared" si="13"/>
        <v>0</v>
      </c>
    </row>
    <row r="92" spans="3:13" x14ac:dyDescent="0.25">
      <c r="C92" s="3">
        <v>50</v>
      </c>
      <c r="D92" s="3">
        <f t="shared" si="4"/>
        <v>65.956913195193408</v>
      </c>
      <c r="E92" s="3">
        <f t="shared" si="5"/>
        <v>164.07018373935199</v>
      </c>
      <c r="F92" s="3">
        <f t="shared" si="6"/>
        <v>0</v>
      </c>
      <c r="G92" s="3">
        <f t="shared" si="7"/>
        <v>0</v>
      </c>
      <c r="H92" s="3">
        <f t="shared" si="8"/>
        <v>0</v>
      </c>
      <c r="I92" s="3">
        <f t="shared" si="9"/>
        <v>0</v>
      </c>
      <c r="J92" s="3">
        <f t="shared" si="10"/>
        <v>0</v>
      </c>
      <c r="K92" s="3">
        <f t="shared" si="11"/>
        <v>0</v>
      </c>
      <c r="L92" s="3">
        <f t="shared" si="12"/>
        <v>0</v>
      </c>
      <c r="M92" s="3">
        <f t="shared" si="13"/>
        <v>0</v>
      </c>
    </row>
    <row r="93" spans="3:13" x14ac:dyDescent="0.25">
      <c r="C93" s="3">
        <v>51</v>
      </c>
      <c r="D93" s="3">
        <f t="shared" si="4"/>
        <v>67.494361283289422</v>
      </c>
      <c r="E93" s="3">
        <f t="shared" si="5"/>
        <v>161.43204925008101</v>
      </c>
      <c r="F93" s="3">
        <f t="shared" si="6"/>
        <v>0</v>
      </c>
      <c r="G93" s="3">
        <f t="shared" si="7"/>
        <v>0</v>
      </c>
      <c r="H93" s="3">
        <f t="shared" si="8"/>
        <v>0</v>
      </c>
      <c r="I93" s="3">
        <f t="shared" si="9"/>
        <v>0</v>
      </c>
      <c r="J93" s="3">
        <f t="shared" si="10"/>
        <v>0</v>
      </c>
      <c r="K93" s="3">
        <f t="shared" si="11"/>
        <v>0</v>
      </c>
      <c r="L93" s="3">
        <f t="shared" si="12"/>
        <v>0</v>
      </c>
      <c r="M93" s="3">
        <f t="shared" si="13"/>
        <v>0</v>
      </c>
    </row>
    <row r="94" spans="3:13" x14ac:dyDescent="0.25">
      <c r="C94" s="3">
        <v>52</v>
      </c>
      <c r="D94" s="3">
        <f t="shared" si="4"/>
        <v>69.007805210068724</v>
      </c>
      <c r="E94" s="3">
        <f t="shared" si="5"/>
        <v>158.91161231182622</v>
      </c>
      <c r="F94" s="3">
        <f t="shared" si="6"/>
        <v>0</v>
      </c>
      <c r="G94" s="3">
        <f t="shared" si="7"/>
        <v>0</v>
      </c>
      <c r="H94" s="3">
        <f t="shared" si="8"/>
        <v>0</v>
      </c>
      <c r="I94" s="3">
        <f t="shared" si="9"/>
        <v>0</v>
      </c>
      <c r="J94" s="3">
        <f t="shared" si="10"/>
        <v>0</v>
      </c>
      <c r="K94" s="3">
        <f t="shared" si="11"/>
        <v>0</v>
      </c>
      <c r="L94" s="3">
        <f t="shared" si="12"/>
        <v>0</v>
      </c>
      <c r="M94" s="3">
        <f t="shared" si="13"/>
        <v>0</v>
      </c>
    </row>
    <row r="95" spans="3:13" x14ac:dyDescent="0.25">
      <c r="C95" s="3">
        <v>53</v>
      </c>
      <c r="D95" s="3">
        <f t="shared" si="4"/>
        <v>59.579910537623476</v>
      </c>
      <c r="E95" s="3">
        <f t="shared" si="5"/>
        <v>156.50694102746004</v>
      </c>
      <c r="F95" s="3">
        <f t="shared" si="6"/>
        <v>1146.4358816342121</v>
      </c>
      <c r="G95" s="3">
        <f t="shared" si="7"/>
        <v>0</v>
      </c>
      <c r="H95" s="3">
        <f t="shared" si="8"/>
        <v>0</v>
      </c>
      <c r="I95" s="3">
        <f t="shared" si="9"/>
        <v>0</v>
      </c>
      <c r="J95" s="3">
        <f t="shared" si="10"/>
        <v>0</v>
      </c>
      <c r="K95" s="3">
        <f t="shared" si="11"/>
        <v>0</v>
      </c>
      <c r="L95" s="3">
        <f t="shared" si="12"/>
        <v>0</v>
      </c>
      <c r="M95" s="3">
        <f t="shared" si="13"/>
        <v>0</v>
      </c>
    </row>
    <row r="96" spans="3:13" x14ac:dyDescent="0.25">
      <c r="C96" s="3">
        <v>54</v>
      </c>
      <c r="D96" s="3">
        <f t="shared" si="4"/>
        <v>61.224135968549959</v>
      </c>
      <c r="E96" s="3">
        <f t="shared" si="5"/>
        <v>172.64367024728074</v>
      </c>
      <c r="F96" s="3">
        <f t="shared" si="6"/>
        <v>0</v>
      </c>
      <c r="G96" s="3">
        <f t="shared" si="7"/>
        <v>0</v>
      </c>
      <c r="H96" s="3">
        <f t="shared" si="8"/>
        <v>0</v>
      </c>
      <c r="I96" s="3">
        <f t="shared" si="9"/>
        <v>0</v>
      </c>
      <c r="J96" s="3">
        <f t="shared" si="10"/>
        <v>0</v>
      </c>
      <c r="K96" s="3">
        <f t="shared" si="11"/>
        <v>0</v>
      </c>
      <c r="L96" s="3">
        <f t="shared" si="12"/>
        <v>0</v>
      </c>
      <c r="M96" s="3">
        <f t="shared" si="13"/>
        <v>0</v>
      </c>
    </row>
    <row r="97" spans="3:13" x14ac:dyDescent="0.25">
      <c r="C97" s="3">
        <v>55</v>
      </c>
      <c r="D97" s="3">
        <f t="shared" si="4"/>
        <v>62.83979414591473</v>
      </c>
      <c r="E97" s="3">
        <f t="shared" si="5"/>
        <v>169.64410862330067</v>
      </c>
      <c r="F97" s="3">
        <f t="shared" si="6"/>
        <v>0</v>
      </c>
      <c r="G97" s="3">
        <f t="shared" si="7"/>
        <v>0</v>
      </c>
      <c r="H97" s="3">
        <f t="shared" si="8"/>
        <v>0</v>
      </c>
      <c r="I97" s="3">
        <f t="shared" si="9"/>
        <v>0</v>
      </c>
      <c r="J97" s="3">
        <f t="shared" si="10"/>
        <v>0</v>
      </c>
      <c r="K97" s="3">
        <f t="shared" si="11"/>
        <v>0</v>
      </c>
      <c r="L97" s="3">
        <f t="shared" si="12"/>
        <v>0</v>
      </c>
      <c r="M97" s="3">
        <f t="shared" si="13"/>
        <v>0</v>
      </c>
    </row>
    <row r="98" spans="3:13" x14ac:dyDescent="0.25">
      <c r="C98" s="3">
        <v>56</v>
      </c>
      <c r="D98" s="3">
        <f t="shared" si="4"/>
        <v>64.428057098940442</v>
      </c>
      <c r="E98" s="3">
        <f t="shared" si="5"/>
        <v>166.76761006769962</v>
      </c>
      <c r="F98" s="3">
        <f t="shared" si="6"/>
        <v>0</v>
      </c>
      <c r="G98" s="3">
        <f t="shared" si="7"/>
        <v>0</v>
      </c>
      <c r="H98" s="3">
        <f t="shared" si="8"/>
        <v>0</v>
      </c>
      <c r="I98" s="3">
        <f t="shared" si="9"/>
        <v>0</v>
      </c>
      <c r="J98" s="3">
        <f t="shared" si="10"/>
        <v>0</v>
      </c>
      <c r="K98" s="3">
        <f t="shared" si="11"/>
        <v>0</v>
      </c>
      <c r="L98" s="3">
        <f t="shared" si="12"/>
        <v>0</v>
      </c>
      <c r="M98" s="3">
        <f t="shared" si="13"/>
        <v>0</v>
      </c>
    </row>
    <row r="99" spans="3:13" x14ac:dyDescent="0.25">
      <c r="C99" s="3">
        <v>57</v>
      </c>
      <c r="D99" s="3">
        <f t="shared" si="4"/>
        <v>65.990080622392497</v>
      </c>
      <c r="E99" s="3">
        <f t="shared" si="5"/>
        <v>164.01246996246581</v>
      </c>
      <c r="F99" s="3">
        <f t="shared" si="6"/>
        <v>0</v>
      </c>
      <c r="G99" s="3">
        <f t="shared" si="7"/>
        <v>0</v>
      </c>
      <c r="H99" s="3">
        <f t="shared" si="8"/>
        <v>0</v>
      </c>
      <c r="I99" s="3">
        <f t="shared" si="9"/>
        <v>0</v>
      </c>
      <c r="J99" s="3">
        <f t="shared" si="10"/>
        <v>0</v>
      </c>
      <c r="K99" s="3">
        <f t="shared" si="11"/>
        <v>0</v>
      </c>
      <c r="L99" s="3">
        <f t="shared" si="12"/>
        <v>0</v>
      </c>
      <c r="M99" s="3">
        <f t="shared" si="13"/>
        <v>0</v>
      </c>
    </row>
    <row r="100" spans="3:13" x14ac:dyDescent="0.25">
      <c r="C100" s="3">
        <v>58</v>
      </c>
      <c r="D100" s="3">
        <f t="shared" si="4"/>
        <v>56.608566270688932</v>
      </c>
      <c r="E100" s="3">
        <f t="shared" si="5"/>
        <v>161.37687470533734</v>
      </c>
      <c r="F100" s="3">
        <f t="shared" si="6"/>
        <v>1146.4358816342121</v>
      </c>
      <c r="G100" s="3">
        <f t="shared" si="7"/>
        <v>0</v>
      </c>
      <c r="H100" s="3">
        <f t="shared" si="8"/>
        <v>0</v>
      </c>
      <c r="I100" s="3">
        <f t="shared" si="9"/>
        <v>0</v>
      </c>
      <c r="J100" s="3">
        <f t="shared" si="10"/>
        <v>0</v>
      </c>
      <c r="K100" s="3">
        <f t="shared" si="11"/>
        <v>0</v>
      </c>
      <c r="L100" s="3">
        <f t="shared" si="12"/>
        <v>0</v>
      </c>
      <c r="M100" s="3">
        <f t="shared" si="13"/>
        <v>0</v>
      </c>
    </row>
    <row r="101" spans="3:13" x14ac:dyDescent="0.25">
      <c r="C101" s="3">
        <v>59</v>
      </c>
      <c r="D101" s="3">
        <f t="shared" si="4"/>
        <v>58.306042979049145</v>
      </c>
      <c r="E101" s="3">
        <f t="shared" si="5"/>
        <v>178.23505437782308</v>
      </c>
      <c r="F101" s="3">
        <f t="shared" si="6"/>
        <v>0</v>
      </c>
      <c r="G101" s="3">
        <f t="shared" si="7"/>
        <v>0</v>
      </c>
      <c r="H101" s="3">
        <f t="shared" si="8"/>
        <v>0</v>
      </c>
      <c r="I101" s="3">
        <f t="shared" si="9"/>
        <v>0</v>
      </c>
      <c r="J101" s="3">
        <f t="shared" si="10"/>
        <v>0</v>
      </c>
      <c r="K101" s="3">
        <f t="shared" si="11"/>
        <v>0</v>
      </c>
      <c r="L101" s="3">
        <f t="shared" si="12"/>
        <v>0</v>
      </c>
      <c r="M101" s="3">
        <f t="shared" si="13"/>
        <v>0</v>
      </c>
    </row>
    <row r="102" spans="3:13" x14ac:dyDescent="0.25">
      <c r="C102" s="3">
        <v>60</v>
      </c>
      <c r="D102" s="3">
        <f t="shared" si="4"/>
        <v>59.972851587740188</v>
      </c>
      <c r="E102" s="3">
        <f t="shared" si="5"/>
        <v>175.01490391255868</v>
      </c>
      <c r="F102" s="3">
        <f t="shared" si="6"/>
        <v>0</v>
      </c>
      <c r="G102" s="3">
        <f t="shared" si="7"/>
        <v>0</v>
      </c>
      <c r="H102" s="3">
        <f t="shared" si="8"/>
        <v>0</v>
      </c>
      <c r="I102" s="3">
        <f t="shared" si="9"/>
        <v>0</v>
      </c>
      <c r="J102" s="3">
        <f t="shared" si="10"/>
        <v>0</v>
      </c>
      <c r="K102" s="3">
        <f t="shared" si="11"/>
        <v>0</v>
      </c>
      <c r="L102" s="3">
        <f t="shared" si="12"/>
        <v>0</v>
      </c>
      <c r="M102" s="3">
        <f t="shared" si="13"/>
        <v>0</v>
      </c>
    </row>
    <row r="103" spans="3:13" x14ac:dyDescent="0.25">
      <c r="C103" s="3">
        <v>61</v>
      </c>
      <c r="D103" s="3">
        <f t="shared" si="4"/>
        <v>61.61018906411325</v>
      </c>
      <c r="E103" s="3">
        <f t="shared" si="5"/>
        <v>171.9204350191726</v>
      </c>
      <c r="F103" s="3">
        <f t="shared" si="6"/>
        <v>0</v>
      </c>
      <c r="G103" s="3">
        <f t="shared" si="7"/>
        <v>0</v>
      </c>
      <c r="H103" s="3">
        <f t="shared" si="8"/>
        <v>0</v>
      </c>
      <c r="I103" s="3">
        <f t="shared" si="9"/>
        <v>0</v>
      </c>
      <c r="J103" s="3">
        <f t="shared" si="10"/>
        <v>0</v>
      </c>
      <c r="K103" s="3">
        <f t="shared" si="11"/>
        <v>0</v>
      </c>
      <c r="L103" s="3">
        <f t="shared" si="12"/>
        <v>0</v>
      </c>
      <c r="M103" s="3">
        <f t="shared" si="13"/>
        <v>0</v>
      </c>
    </row>
    <row r="104" spans="3:13" x14ac:dyDescent="0.25">
      <c r="C104" s="3">
        <v>62</v>
      </c>
      <c r="D104" s="3">
        <f t="shared" si="4"/>
        <v>63.219238894513779</v>
      </c>
      <c r="E104" s="3">
        <f t="shared" si="5"/>
        <v>168.95023219205524</v>
      </c>
      <c r="F104" s="3">
        <f t="shared" si="6"/>
        <v>0</v>
      </c>
      <c r="G104" s="3">
        <f t="shared" si="7"/>
        <v>0</v>
      </c>
      <c r="H104" s="3">
        <f t="shared" si="8"/>
        <v>0</v>
      </c>
      <c r="I104" s="3">
        <f t="shared" si="9"/>
        <v>0</v>
      </c>
      <c r="J104" s="3">
        <f t="shared" si="10"/>
        <v>0</v>
      </c>
      <c r="K104" s="3">
        <f t="shared" si="11"/>
        <v>0</v>
      </c>
      <c r="L104" s="3">
        <f t="shared" si="12"/>
        <v>0</v>
      </c>
      <c r="M104" s="3">
        <f t="shared" si="13"/>
        <v>0</v>
      </c>
    </row>
    <row r="105" spans="3:13" x14ac:dyDescent="0.25">
      <c r="C105" s="3">
        <v>63</v>
      </c>
      <c r="D105" s="3">
        <f t="shared" si="4"/>
        <v>53.882732399419588</v>
      </c>
      <c r="E105" s="3">
        <f t="shared" si="5"/>
        <v>166.10269964932098</v>
      </c>
      <c r="F105" s="3">
        <f t="shared" si="6"/>
        <v>1146.4358816342121</v>
      </c>
      <c r="G105" s="3">
        <f t="shared" si="7"/>
        <v>0</v>
      </c>
      <c r="H105" s="3">
        <f t="shared" si="8"/>
        <v>0</v>
      </c>
      <c r="I105" s="3">
        <f t="shared" si="9"/>
        <v>0</v>
      </c>
      <c r="J105" s="3">
        <f t="shared" si="10"/>
        <v>0</v>
      </c>
      <c r="K105" s="3">
        <f t="shared" si="11"/>
        <v>0</v>
      </c>
      <c r="L105" s="3">
        <f t="shared" si="12"/>
        <v>0</v>
      </c>
      <c r="M105" s="3">
        <f t="shared" si="13"/>
        <v>0</v>
      </c>
    </row>
    <row r="106" spans="3:13" x14ac:dyDescent="0.25">
      <c r="C106" s="3">
        <v>64</v>
      </c>
      <c r="D106" s="3">
        <f t="shared" si="4"/>
        <v>55.63072428684567</v>
      </c>
      <c r="E106" s="3">
        <f t="shared" si="5"/>
        <v>183.53914817973899</v>
      </c>
      <c r="F106" s="3">
        <f t="shared" si="6"/>
        <v>0</v>
      </c>
      <c r="G106" s="3">
        <f t="shared" si="7"/>
        <v>0</v>
      </c>
      <c r="H106" s="3">
        <f t="shared" si="8"/>
        <v>0</v>
      </c>
      <c r="I106" s="3">
        <f t="shared" si="9"/>
        <v>0</v>
      </c>
      <c r="J106" s="3">
        <f t="shared" si="10"/>
        <v>0</v>
      </c>
      <c r="K106" s="3">
        <f t="shared" si="11"/>
        <v>0</v>
      </c>
      <c r="L106" s="3">
        <f t="shared" si="12"/>
        <v>0</v>
      </c>
      <c r="M106" s="3">
        <f t="shared" si="13"/>
        <v>0</v>
      </c>
    </row>
    <row r="107" spans="3:13" x14ac:dyDescent="0.25">
      <c r="C107" s="3">
        <v>65</v>
      </c>
      <c r="D107" s="3">
        <f t="shared" si="4"/>
        <v>57.34614976056384</v>
      </c>
      <c r="E107" s="3">
        <f t="shared" si="5"/>
        <v>180.11967474040799</v>
      </c>
      <c r="F107" s="3">
        <f t="shared" si="6"/>
        <v>0</v>
      </c>
      <c r="G107" s="3">
        <f t="shared" si="7"/>
        <v>0</v>
      </c>
      <c r="H107" s="3">
        <f t="shared" si="8"/>
        <v>0</v>
      </c>
      <c r="I107" s="3">
        <f t="shared" si="9"/>
        <v>0</v>
      </c>
      <c r="J107" s="3">
        <f t="shared" si="10"/>
        <v>0</v>
      </c>
      <c r="K107" s="3">
        <f t="shared" si="11"/>
        <v>0</v>
      </c>
      <c r="L107" s="3">
        <f t="shared" si="12"/>
        <v>0</v>
      </c>
      <c r="M107" s="3">
        <f t="shared" si="13"/>
        <v>0</v>
      </c>
    </row>
    <row r="108" spans="3:13" x14ac:dyDescent="0.25">
      <c r="C108" s="3">
        <v>66</v>
      </c>
      <c r="D108" s="3">
        <f t="shared" ref="D108:D171" si="14">MAX((D107*($N$10/IF($B$4, 16.387, 1))+E108-SUM(F108:M108))/($N$10/IF($B$4, 16.387, 1)), 0)</f>
        <v>59.030222368791151</v>
      </c>
      <c r="E108" s="3">
        <f t="shared" ref="E108:E171" si="15">IF(D107&lt;$N$15, $D$40*D107^3+$E$40*D107^2+$F$40*D107+$G$40, 0) * 12^3/60*14.7</f>
        <v>176.8276238638673</v>
      </c>
      <c r="F108" s="3">
        <f t="shared" ref="F108:F171" si="16">IFERROR(IF(AND($C108&gt;=D$15, $C108&lt;=D$16), IF(D$14&gt;1, N(MOD($C108-D$15, D$14)&lt;1), 1/D$14)*PI()*D$9/4*(D$7^2*MIN(D$10, $D107)+(D$7^2-D$8^2)*MIN(D$12, D$42))/IF($B$4, 25.4^3, 1), 0), 0)</f>
        <v>0</v>
      </c>
      <c r="G108" s="3">
        <f t="shared" ref="G108:G171" si="17">IFERROR(IF(AND($C108&gt;=E$15, $C108&lt;=E$16), IF(E$14&gt;1, N(MOD($C108-E$15, E$14)&lt;1), 1/E$14)*PI()*E$9/4*(E$7^2*MIN(E$10, $D107)+(E$7^2-E$8^2)*MIN(E$12, E$42))/IF($B$4, 25.4^3, 1), 0), 0)</f>
        <v>0</v>
      </c>
      <c r="H108" s="3">
        <f t="shared" ref="H108:H171" si="18">IFERROR(IF(AND($C108&gt;=F$15, $C108&lt;=F$16), IF(F$14&gt;1, N(MOD($C108-F$15, F$14)&lt;1), 1/F$14)*PI()*F$9/4*(F$7^2*MIN(F$10, $D107)+(F$7^2-F$8^2)*MIN(F$12, F$42))/IF($B$4, 25.4^3, 1), 0), 0)</f>
        <v>0</v>
      </c>
      <c r="I108" s="3">
        <f t="shared" ref="I108:I171" si="19">IFERROR(IF(AND($C108&gt;=G$15, $C108&lt;=G$16), IF(G$14&gt;1, N(MOD($C108-G$15, G$14)&lt;1), 1/G$14)*PI()*G$9/4*(G$7^2*MIN(G$10, $D107)+(G$7^2-G$8^2)*MIN(G$12, G$42))/IF($B$4, 25.4^3, 1), 0), 0)</f>
        <v>0</v>
      </c>
      <c r="J108" s="3">
        <f t="shared" ref="J108:J171" si="20">IFERROR(IF(AND($C108&gt;=H$15, $C108&lt;=H$16), IF(H$14&gt;1, N(MOD($C108-H$15, H$14)&lt;1), 1/H$14)*PI()*H$9/4*(H$7^2*MIN(H$10, $D107)+(H$7^2-H$8^2)*MIN(H$12, H$42))/IF($B$4, 25.4^3, 1), 0), 0)</f>
        <v>0</v>
      </c>
      <c r="K108" s="3">
        <f t="shared" ref="K108:K171" si="21">IFERROR(IF(AND($C108&gt;=I$15, $C108&lt;=I$16), IF(I$14&gt;1, N(MOD($C108-I$15, I$14)&lt;1), 1/I$14)*PI()*I$9/4*(I$7^2*MIN(I$10, $D107)+(I$7^2-I$8^2)*MIN(I$12, I$42))/IF($B$4, 25.4^3, 1), 0), 0)</f>
        <v>0</v>
      </c>
      <c r="L108" s="3">
        <f t="shared" ref="L108:L171" si="22">IFERROR(IF(AND($C108&gt;=J$15, $C108&lt;=J$16), IF(J$14&gt;1, N(MOD($C108-J$15, J$14)&lt;1), 1/J$14)*PI()*J$9/4*(J$7^2*MIN(J$10, $D107)+(J$7^2-J$8^2)*MIN(J$12, J$42))/IF($B$4, 25.4^3, 1), 0), 0)</f>
        <v>0</v>
      </c>
      <c r="M108" s="3">
        <f t="shared" ref="M108:M171" si="23">IFERROR(IF(AND($C108&gt;=K$15, $C108&lt;=K$16), IF(K$14&gt;1, N(MOD($C108-K$15, K$14)&lt;1), 1/K$14)*PI()*K$9/4*(K$7^2*MIN(K$10, $D107)+(K$7^2-K$8^2)*MIN(K$12, K$42))/IF($B$4, 25.4^3, 1), 0), 0)</f>
        <v>0</v>
      </c>
    </row>
    <row r="109" spans="3:13" x14ac:dyDescent="0.25">
      <c r="C109" s="3">
        <v>67</v>
      </c>
      <c r="D109" s="3">
        <f t="shared" si="14"/>
        <v>60.684145798819365</v>
      </c>
      <c r="E109" s="3">
        <f t="shared" si="15"/>
        <v>173.66196015296279</v>
      </c>
      <c r="F109" s="3">
        <f t="shared" si="16"/>
        <v>0</v>
      </c>
      <c r="G109" s="3">
        <f t="shared" si="17"/>
        <v>0</v>
      </c>
      <c r="H109" s="3">
        <f t="shared" si="18"/>
        <v>0</v>
      </c>
      <c r="I109" s="3">
        <f t="shared" si="19"/>
        <v>0</v>
      </c>
      <c r="J109" s="3">
        <f t="shared" si="20"/>
        <v>0</v>
      </c>
      <c r="K109" s="3">
        <f t="shared" si="21"/>
        <v>0</v>
      </c>
      <c r="L109" s="3">
        <f t="shared" si="22"/>
        <v>0</v>
      </c>
      <c r="M109" s="3">
        <f t="shared" si="23"/>
        <v>0</v>
      </c>
    </row>
    <row r="110" spans="3:13" x14ac:dyDescent="0.25">
      <c r="C110" s="3">
        <v>68</v>
      </c>
      <c r="D110" s="3">
        <f t="shared" si="14"/>
        <v>51.390674461253397</v>
      </c>
      <c r="E110" s="3">
        <f t="shared" si="15"/>
        <v>170.62139118978453</v>
      </c>
      <c r="F110" s="3">
        <f t="shared" si="16"/>
        <v>1146.4358816342121</v>
      </c>
      <c r="G110" s="3">
        <f t="shared" si="17"/>
        <v>0</v>
      </c>
      <c r="H110" s="3">
        <f t="shared" si="18"/>
        <v>0</v>
      </c>
      <c r="I110" s="3">
        <f t="shared" si="19"/>
        <v>0</v>
      </c>
      <c r="J110" s="3">
        <f t="shared" si="20"/>
        <v>0</v>
      </c>
      <c r="K110" s="3">
        <f t="shared" si="21"/>
        <v>0</v>
      </c>
      <c r="L110" s="3">
        <f t="shared" si="22"/>
        <v>0</v>
      </c>
      <c r="M110" s="3">
        <f t="shared" si="23"/>
        <v>0</v>
      </c>
    </row>
    <row r="111" spans="3:13" x14ac:dyDescent="0.25">
      <c r="C111" s="3">
        <v>69</v>
      </c>
      <c r="D111" s="3">
        <f t="shared" si="14"/>
        <v>53.186076421693876</v>
      </c>
      <c r="E111" s="3">
        <f t="shared" si="15"/>
        <v>188.51720584625002</v>
      </c>
      <c r="F111" s="3">
        <f t="shared" si="16"/>
        <v>0</v>
      </c>
      <c r="G111" s="3">
        <f t="shared" si="17"/>
        <v>0</v>
      </c>
      <c r="H111" s="3">
        <f t="shared" si="18"/>
        <v>0</v>
      </c>
      <c r="I111" s="3">
        <f t="shared" si="19"/>
        <v>0</v>
      </c>
      <c r="J111" s="3">
        <f t="shared" si="20"/>
        <v>0</v>
      </c>
      <c r="K111" s="3">
        <f t="shared" si="21"/>
        <v>0</v>
      </c>
      <c r="L111" s="3">
        <f t="shared" si="22"/>
        <v>0</v>
      </c>
      <c r="M111" s="3">
        <f t="shared" si="23"/>
        <v>0</v>
      </c>
    </row>
    <row r="112" spans="3:13" x14ac:dyDescent="0.25">
      <c r="C112" s="3">
        <v>70</v>
      </c>
      <c r="D112" s="3">
        <f t="shared" si="14"/>
        <v>54.947210441932825</v>
      </c>
      <c r="E112" s="3">
        <f t="shared" si="15"/>
        <v>184.91907212508977</v>
      </c>
      <c r="F112" s="3">
        <f t="shared" si="16"/>
        <v>0</v>
      </c>
      <c r="G112" s="3">
        <f t="shared" si="17"/>
        <v>0</v>
      </c>
      <c r="H112" s="3">
        <f t="shared" si="18"/>
        <v>0</v>
      </c>
      <c r="I112" s="3">
        <f t="shared" si="19"/>
        <v>0</v>
      </c>
      <c r="J112" s="3">
        <f t="shared" si="20"/>
        <v>0</v>
      </c>
      <c r="K112" s="3">
        <f t="shared" si="21"/>
        <v>0</v>
      </c>
      <c r="L112" s="3">
        <f t="shared" si="22"/>
        <v>0</v>
      </c>
      <c r="M112" s="3">
        <f t="shared" si="23"/>
        <v>0</v>
      </c>
    </row>
    <row r="113" spans="3:13" x14ac:dyDescent="0.25">
      <c r="C113" s="3">
        <v>71</v>
      </c>
      <c r="D113" s="3">
        <f t="shared" si="14"/>
        <v>56.675298704316916</v>
      </c>
      <c r="E113" s="3">
        <f t="shared" si="15"/>
        <v>181.44926755032975</v>
      </c>
      <c r="F113" s="3">
        <f t="shared" si="16"/>
        <v>0</v>
      </c>
      <c r="G113" s="3">
        <f t="shared" si="17"/>
        <v>0</v>
      </c>
      <c r="H113" s="3">
        <f t="shared" si="18"/>
        <v>0</v>
      </c>
      <c r="I113" s="3">
        <f t="shared" si="19"/>
        <v>0</v>
      </c>
      <c r="J113" s="3">
        <f t="shared" si="20"/>
        <v>0</v>
      </c>
      <c r="K113" s="3">
        <f t="shared" si="21"/>
        <v>0</v>
      </c>
      <c r="L113" s="3">
        <f t="shared" si="22"/>
        <v>0</v>
      </c>
      <c r="M113" s="3">
        <f t="shared" si="23"/>
        <v>0</v>
      </c>
    </row>
    <row r="114" spans="3:13" x14ac:dyDescent="0.25">
      <c r="C114" s="3">
        <v>72</v>
      </c>
      <c r="D114" s="3">
        <f t="shared" si="14"/>
        <v>58.371557849184079</v>
      </c>
      <c r="E114" s="3">
        <f t="shared" si="15"/>
        <v>178.10721021105235</v>
      </c>
      <c r="F114" s="3">
        <f t="shared" si="16"/>
        <v>0</v>
      </c>
      <c r="G114" s="3">
        <f t="shared" si="17"/>
        <v>0</v>
      </c>
      <c r="H114" s="3">
        <f t="shared" si="18"/>
        <v>0</v>
      </c>
      <c r="I114" s="3">
        <f t="shared" si="19"/>
        <v>0</v>
      </c>
      <c r="J114" s="3">
        <f t="shared" si="20"/>
        <v>0</v>
      </c>
      <c r="K114" s="3">
        <f t="shared" si="21"/>
        <v>0</v>
      </c>
      <c r="L114" s="3">
        <f t="shared" si="22"/>
        <v>0</v>
      </c>
      <c r="M114" s="3">
        <f t="shared" si="23"/>
        <v>0</v>
      </c>
    </row>
    <row r="115" spans="3:13" x14ac:dyDescent="0.25">
      <c r="C115" s="3">
        <v>73</v>
      </c>
      <c r="D115" s="3">
        <f t="shared" si="14"/>
        <v>49.118758794579755</v>
      </c>
      <c r="E115" s="3">
        <f t="shared" si="15"/>
        <v>174.89198090075777</v>
      </c>
      <c r="F115" s="3">
        <f t="shared" si="16"/>
        <v>1146.4358816342121</v>
      </c>
      <c r="G115" s="3">
        <f t="shared" si="17"/>
        <v>0</v>
      </c>
      <c r="H115" s="3">
        <f t="shared" si="18"/>
        <v>0</v>
      </c>
      <c r="I115" s="3">
        <f t="shared" si="19"/>
        <v>0</v>
      </c>
      <c r="J115" s="3">
        <f t="shared" si="20"/>
        <v>0</v>
      </c>
      <c r="K115" s="3">
        <f t="shared" si="21"/>
        <v>0</v>
      </c>
      <c r="L115" s="3">
        <f t="shared" si="22"/>
        <v>0</v>
      </c>
      <c r="M115" s="3">
        <f t="shared" si="23"/>
        <v>0</v>
      </c>
    </row>
    <row r="116" spans="3:13" x14ac:dyDescent="0.25">
      <c r="C116" s="3">
        <v>74</v>
      </c>
      <c r="D116" s="3">
        <f t="shared" si="14"/>
        <v>50.958277901891968</v>
      </c>
      <c r="E116" s="3">
        <f t="shared" si="15"/>
        <v>193.14950626778264</v>
      </c>
      <c r="F116" s="3">
        <f t="shared" si="16"/>
        <v>0</v>
      </c>
      <c r="G116" s="3">
        <f t="shared" si="17"/>
        <v>0</v>
      </c>
      <c r="H116" s="3">
        <f t="shared" si="18"/>
        <v>0</v>
      </c>
      <c r="I116" s="3">
        <f t="shared" si="19"/>
        <v>0</v>
      </c>
      <c r="J116" s="3">
        <f t="shared" si="20"/>
        <v>0</v>
      </c>
      <c r="K116" s="3">
        <f t="shared" si="21"/>
        <v>0</v>
      </c>
      <c r="L116" s="3">
        <f t="shared" si="22"/>
        <v>0</v>
      </c>
      <c r="M116" s="3">
        <f t="shared" si="23"/>
        <v>0</v>
      </c>
    </row>
    <row r="117" spans="3:13" x14ac:dyDescent="0.25">
      <c r="C117" s="3">
        <v>75</v>
      </c>
      <c r="D117" s="3">
        <f t="shared" si="14"/>
        <v>52.762014185779925</v>
      </c>
      <c r="E117" s="3">
        <f t="shared" si="15"/>
        <v>189.39230980823609</v>
      </c>
      <c r="F117" s="3">
        <f t="shared" si="16"/>
        <v>0</v>
      </c>
      <c r="G117" s="3">
        <f t="shared" si="17"/>
        <v>0</v>
      </c>
      <c r="H117" s="3">
        <f t="shared" si="18"/>
        <v>0</v>
      </c>
      <c r="I117" s="3">
        <f t="shared" si="19"/>
        <v>0</v>
      </c>
      <c r="J117" s="3">
        <f t="shared" si="20"/>
        <v>0</v>
      </c>
      <c r="K117" s="3">
        <f t="shared" si="21"/>
        <v>0</v>
      </c>
      <c r="L117" s="3">
        <f t="shared" si="22"/>
        <v>0</v>
      </c>
      <c r="M117" s="3">
        <f t="shared" si="23"/>
        <v>0</v>
      </c>
    </row>
    <row r="118" spans="3:13" x14ac:dyDescent="0.25">
      <c r="C118" s="3">
        <v>76</v>
      </c>
      <c r="D118" s="3">
        <f t="shared" si="14"/>
        <v>54.531191303008903</v>
      </c>
      <c r="E118" s="3">
        <f t="shared" si="15"/>
        <v>185.76359730904298</v>
      </c>
      <c r="F118" s="3">
        <f t="shared" si="16"/>
        <v>0</v>
      </c>
      <c r="G118" s="3">
        <f t="shared" si="17"/>
        <v>0</v>
      </c>
      <c r="H118" s="3">
        <f t="shared" si="18"/>
        <v>0</v>
      </c>
      <c r="I118" s="3">
        <f t="shared" si="19"/>
        <v>0</v>
      </c>
      <c r="J118" s="3">
        <f t="shared" si="20"/>
        <v>0</v>
      </c>
      <c r="K118" s="3">
        <f t="shared" si="21"/>
        <v>0</v>
      </c>
      <c r="L118" s="3">
        <f t="shared" si="22"/>
        <v>0</v>
      </c>
      <c r="M118" s="3">
        <f t="shared" si="23"/>
        <v>0</v>
      </c>
    </row>
    <row r="119" spans="3:13" x14ac:dyDescent="0.25">
      <c r="C119" s="3">
        <v>77</v>
      </c>
      <c r="D119" s="3">
        <f t="shared" si="14"/>
        <v>56.267032214486051</v>
      </c>
      <c r="E119" s="3">
        <f t="shared" si="15"/>
        <v>182.26329570510001</v>
      </c>
      <c r="F119" s="3">
        <f t="shared" si="16"/>
        <v>0</v>
      </c>
      <c r="G119" s="3">
        <f t="shared" si="17"/>
        <v>0</v>
      </c>
      <c r="H119" s="3">
        <f t="shared" si="18"/>
        <v>0</v>
      </c>
      <c r="I119" s="3">
        <f t="shared" si="19"/>
        <v>0</v>
      </c>
      <c r="J119" s="3">
        <f t="shared" si="20"/>
        <v>0</v>
      </c>
      <c r="K119" s="3">
        <f t="shared" si="21"/>
        <v>0</v>
      </c>
      <c r="L119" s="3">
        <f t="shared" si="22"/>
        <v>0</v>
      </c>
      <c r="M119" s="3">
        <f t="shared" si="23"/>
        <v>0</v>
      </c>
    </row>
    <row r="120" spans="3:13" x14ac:dyDescent="0.25">
      <c r="C120" s="3">
        <v>78</v>
      </c>
      <c r="D120" s="3">
        <f t="shared" si="14"/>
        <v>47.052318224798796</v>
      </c>
      <c r="E120" s="3">
        <f t="shared" si="15"/>
        <v>178.89091271704973</v>
      </c>
      <c r="F120" s="3">
        <f t="shared" si="16"/>
        <v>1146.4358816342121</v>
      </c>
      <c r="G120" s="3">
        <f t="shared" si="17"/>
        <v>0</v>
      </c>
      <c r="H120" s="3">
        <f t="shared" si="18"/>
        <v>0</v>
      </c>
      <c r="I120" s="3">
        <f t="shared" si="19"/>
        <v>0</v>
      </c>
      <c r="J120" s="3">
        <f t="shared" si="20"/>
        <v>0</v>
      </c>
      <c r="K120" s="3">
        <f t="shared" si="21"/>
        <v>0</v>
      </c>
      <c r="L120" s="3">
        <f t="shared" si="22"/>
        <v>0</v>
      </c>
      <c r="M120" s="3">
        <f t="shared" si="23"/>
        <v>0</v>
      </c>
    </row>
    <row r="121" spans="3:13" x14ac:dyDescent="0.25">
      <c r="C121" s="3">
        <v>79</v>
      </c>
      <c r="D121" s="3">
        <f t="shared" si="14"/>
        <v>48.932610501231125</v>
      </c>
      <c r="E121" s="3">
        <f t="shared" si="15"/>
        <v>197.43068902539457</v>
      </c>
      <c r="F121" s="3">
        <f t="shared" si="16"/>
        <v>0</v>
      </c>
      <c r="G121" s="3">
        <f t="shared" si="17"/>
        <v>0</v>
      </c>
      <c r="H121" s="3">
        <f t="shared" si="18"/>
        <v>0</v>
      </c>
      <c r="I121" s="3">
        <f t="shared" si="19"/>
        <v>0</v>
      </c>
      <c r="J121" s="3">
        <f t="shared" si="20"/>
        <v>0</v>
      </c>
      <c r="K121" s="3">
        <f t="shared" si="21"/>
        <v>0</v>
      </c>
      <c r="L121" s="3">
        <f t="shared" si="22"/>
        <v>0</v>
      </c>
      <c r="M121" s="3">
        <f t="shared" si="23"/>
        <v>0</v>
      </c>
    </row>
    <row r="122" spans="3:13" x14ac:dyDescent="0.25">
      <c r="C122" s="3">
        <v>80</v>
      </c>
      <c r="D122" s="3">
        <f t="shared" si="14"/>
        <v>50.775778639220896</v>
      </c>
      <c r="E122" s="3">
        <f t="shared" si="15"/>
        <v>193.53265448892535</v>
      </c>
      <c r="F122" s="3">
        <f t="shared" si="16"/>
        <v>0</v>
      </c>
      <c r="G122" s="3">
        <f t="shared" si="17"/>
        <v>0</v>
      </c>
      <c r="H122" s="3">
        <f t="shared" si="18"/>
        <v>0</v>
      </c>
      <c r="I122" s="3">
        <f t="shared" si="19"/>
        <v>0</v>
      </c>
      <c r="J122" s="3">
        <f t="shared" si="20"/>
        <v>0</v>
      </c>
      <c r="K122" s="3">
        <f t="shared" si="21"/>
        <v>0</v>
      </c>
      <c r="L122" s="3">
        <f t="shared" si="22"/>
        <v>0</v>
      </c>
      <c r="M122" s="3">
        <f t="shared" si="23"/>
        <v>0</v>
      </c>
    </row>
    <row r="123" spans="3:13" x14ac:dyDescent="0.25">
      <c r="C123" s="3">
        <v>81</v>
      </c>
      <c r="D123" s="3">
        <f t="shared" si="14"/>
        <v>52.583041605187283</v>
      </c>
      <c r="E123" s="3">
        <f t="shared" si="15"/>
        <v>189.76261142647169</v>
      </c>
      <c r="F123" s="3">
        <f t="shared" si="16"/>
        <v>0</v>
      </c>
      <c r="G123" s="3">
        <f t="shared" si="17"/>
        <v>0</v>
      </c>
      <c r="H123" s="3">
        <f t="shared" si="18"/>
        <v>0</v>
      </c>
      <c r="I123" s="3">
        <f t="shared" si="19"/>
        <v>0</v>
      </c>
      <c r="J123" s="3">
        <f t="shared" si="20"/>
        <v>0</v>
      </c>
      <c r="K123" s="3">
        <f t="shared" si="21"/>
        <v>0</v>
      </c>
      <c r="L123" s="3">
        <f t="shared" si="22"/>
        <v>0</v>
      </c>
      <c r="M123" s="3">
        <f t="shared" si="23"/>
        <v>0</v>
      </c>
    </row>
    <row r="124" spans="3:13" x14ac:dyDescent="0.25">
      <c r="C124" s="3">
        <v>82</v>
      </c>
      <c r="D124" s="3">
        <f t="shared" si="14"/>
        <v>54.355622879152051</v>
      </c>
      <c r="E124" s="3">
        <f t="shared" si="15"/>
        <v>186.12103376630054</v>
      </c>
      <c r="F124" s="3">
        <f t="shared" si="16"/>
        <v>0</v>
      </c>
      <c r="G124" s="3">
        <f t="shared" si="17"/>
        <v>0</v>
      </c>
      <c r="H124" s="3">
        <f t="shared" si="18"/>
        <v>0</v>
      </c>
      <c r="I124" s="3">
        <f t="shared" si="19"/>
        <v>0</v>
      </c>
      <c r="J124" s="3">
        <f t="shared" si="20"/>
        <v>0</v>
      </c>
      <c r="K124" s="3">
        <f t="shared" si="21"/>
        <v>0</v>
      </c>
      <c r="L124" s="3">
        <f t="shared" si="22"/>
        <v>0</v>
      </c>
      <c r="M124" s="3">
        <f t="shared" si="23"/>
        <v>0</v>
      </c>
    </row>
    <row r="125" spans="3:13" x14ac:dyDescent="0.25">
      <c r="C125" s="3">
        <v>83</v>
      </c>
      <c r="D125" s="3">
        <f t="shared" si="14"/>
        <v>45.176308714655498</v>
      </c>
      <c r="E125" s="3">
        <f t="shared" si="15"/>
        <v>182.60789436207361</v>
      </c>
      <c r="F125" s="3">
        <f t="shared" si="16"/>
        <v>1146.4358816342121</v>
      </c>
      <c r="G125" s="3">
        <f t="shared" si="17"/>
        <v>0</v>
      </c>
      <c r="H125" s="3">
        <f t="shared" si="18"/>
        <v>0</v>
      </c>
      <c r="I125" s="3">
        <f t="shared" si="19"/>
        <v>0</v>
      </c>
      <c r="J125" s="3">
        <f t="shared" si="20"/>
        <v>0</v>
      </c>
      <c r="K125" s="3">
        <f t="shared" si="21"/>
        <v>0</v>
      </c>
      <c r="L125" s="3">
        <f t="shared" si="22"/>
        <v>0</v>
      </c>
      <c r="M125" s="3">
        <f t="shared" si="23"/>
        <v>0</v>
      </c>
    </row>
    <row r="126" spans="3:13" x14ac:dyDescent="0.25">
      <c r="C126" s="3">
        <v>84</v>
      </c>
      <c r="D126" s="3">
        <f t="shared" si="14"/>
        <v>47.094078096955378</v>
      </c>
      <c r="E126" s="3">
        <f t="shared" si="15"/>
        <v>201.36578514148769</v>
      </c>
      <c r="F126" s="3">
        <f t="shared" si="16"/>
        <v>0</v>
      </c>
      <c r="G126" s="3">
        <f t="shared" si="17"/>
        <v>0</v>
      </c>
      <c r="H126" s="3">
        <f t="shared" si="18"/>
        <v>0</v>
      </c>
      <c r="I126" s="3">
        <f t="shared" si="19"/>
        <v>0</v>
      </c>
      <c r="J126" s="3">
        <f t="shared" si="20"/>
        <v>0</v>
      </c>
      <c r="K126" s="3">
        <f t="shared" si="21"/>
        <v>0</v>
      </c>
      <c r="L126" s="3">
        <f t="shared" si="22"/>
        <v>0</v>
      </c>
      <c r="M126" s="3">
        <f t="shared" si="23"/>
        <v>0</v>
      </c>
    </row>
    <row r="127" spans="3:13" x14ac:dyDescent="0.25">
      <c r="C127" s="3">
        <v>85</v>
      </c>
      <c r="D127" s="3">
        <f t="shared" si="14"/>
        <v>48.973540877915184</v>
      </c>
      <c r="E127" s="3">
        <f t="shared" si="15"/>
        <v>197.34359200077995</v>
      </c>
      <c r="F127" s="3">
        <f t="shared" si="16"/>
        <v>0</v>
      </c>
      <c r="G127" s="3">
        <f t="shared" si="17"/>
        <v>0</v>
      </c>
      <c r="H127" s="3">
        <f t="shared" si="18"/>
        <v>0</v>
      </c>
      <c r="I127" s="3">
        <f t="shared" si="19"/>
        <v>0</v>
      </c>
      <c r="J127" s="3">
        <f t="shared" si="20"/>
        <v>0</v>
      </c>
      <c r="K127" s="3">
        <f t="shared" si="21"/>
        <v>0</v>
      </c>
      <c r="L127" s="3">
        <f t="shared" si="22"/>
        <v>0</v>
      </c>
      <c r="M127" s="3">
        <f t="shared" si="23"/>
        <v>0</v>
      </c>
    </row>
    <row r="128" spans="3:13" x14ac:dyDescent="0.25">
      <c r="C128" s="3">
        <v>86</v>
      </c>
      <c r="D128" s="3">
        <f t="shared" si="14"/>
        <v>50.815906241922846</v>
      </c>
      <c r="E128" s="3">
        <f t="shared" si="15"/>
        <v>193.44836322080479</v>
      </c>
      <c r="F128" s="3">
        <f t="shared" si="16"/>
        <v>0</v>
      </c>
      <c r="G128" s="3">
        <f t="shared" si="17"/>
        <v>0</v>
      </c>
      <c r="H128" s="3">
        <f t="shared" si="18"/>
        <v>0</v>
      </c>
      <c r="I128" s="3">
        <f t="shared" si="19"/>
        <v>0</v>
      </c>
      <c r="J128" s="3">
        <f t="shared" si="20"/>
        <v>0</v>
      </c>
      <c r="K128" s="3">
        <f t="shared" si="21"/>
        <v>0</v>
      </c>
      <c r="L128" s="3">
        <f t="shared" si="22"/>
        <v>0</v>
      </c>
      <c r="M128" s="3">
        <f t="shared" si="23"/>
        <v>0</v>
      </c>
    </row>
    <row r="129" spans="3:13" x14ac:dyDescent="0.25">
      <c r="C129" s="3">
        <v>87</v>
      </c>
      <c r="D129" s="3">
        <f t="shared" si="14"/>
        <v>52.622393311405922</v>
      </c>
      <c r="E129" s="3">
        <f t="shared" si="15"/>
        <v>189.6811422957235</v>
      </c>
      <c r="F129" s="3">
        <f t="shared" si="16"/>
        <v>0</v>
      </c>
      <c r="G129" s="3">
        <f t="shared" si="17"/>
        <v>0</v>
      </c>
      <c r="H129" s="3">
        <f t="shared" si="18"/>
        <v>0</v>
      </c>
      <c r="I129" s="3">
        <f t="shared" si="19"/>
        <v>0</v>
      </c>
      <c r="J129" s="3">
        <f t="shared" si="20"/>
        <v>0</v>
      </c>
      <c r="K129" s="3">
        <f t="shared" si="21"/>
        <v>0</v>
      </c>
      <c r="L129" s="3">
        <f t="shared" si="22"/>
        <v>0</v>
      </c>
      <c r="M129" s="3">
        <f t="shared" si="23"/>
        <v>0</v>
      </c>
    </row>
    <row r="130" spans="3:13" x14ac:dyDescent="0.25">
      <c r="C130" s="3">
        <v>88</v>
      </c>
      <c r="D130" s="3">
        <f t="shared" si="14"/>
        <v>43.475788641340934</v>
      </c>
      <c r="E130" s="3">
        <f t="shared" si="15"/>
        <v>186.04239127738788</v>
      </c>
      <c r="F130" s="3">
        <f t="shared" si="16"/>
        <v>1146.4358816342121</v>
      </c>
      <c r="G130" s="3">
        <f t="shared" si="17"/>
        <v>0</v>
      </c>
      <c r="H130" s="3">
        <f t="shared" si="18"/>
        <v>0</v>
      </c>
      <c r="I130" s="3">
        <f t="shared" si="19"/>
        <v>0</v>
      </c>
      <c r="J130" s="3">
        <f t="shared" si="20"/>
        <v>0</v>
      </c>
      <c r="K130" s="3">
        <f t="shared" si="21"/>
        <v>0</v>
      </c>
      <c r="L130" s="3">
        <f t="shared" si="22"/>
        <v>0</v>
      </c>
      <c r="M130" s="3">
        <f t="shared" si="23"/>
        <v>0</v>
      </c>
    </row>
    <row r="131" spans="3:13" x14ac:dyDescent="0.25">
      <c r="C131" s="3">
        <v>89</v>
      </c>
      <c r="D131" s="3">
        <f t="shared" si="14"/>
        <v>45.427855268632982</v>
      </c>
      <c r="E131" s="3">
        <f t="shared" si="15"/>
        <v>204.9669958656647</v>
      </c>
      <c r="F131" s="3">
        <f t="shared" si="16"/>
        <v>0</v>
      </c>
      <c r="G131" s="3">
        <f t="shared" si="17"/>
        <v>0</v>
      </c>
      <c r="H131" s="3">
        <f t="shared" si="18"/>
        <v>0</v>
      </c>
      <c r="I131" s="3">
        <f t="shared" si="19"/>
        <v>0</v>
      </c>
      <c r="J131" s="3">
        <f t="shared" si="20"/>
        <v>0</v>
      </c>
      <c r="K131" s="3">
        <f t="shared" si="21"/>
        <v>0</v>
      </c>
      <c r="L131" s="3">
        <f t="shared" si="22"/>
        <v>0</v>
      </c>
      <c r="M131" s="3">
        <f t="shared" si="23"/>
        <v>0</v>
      </c>
    </row>
    <row r="132" spans="3:13" x14ac:dyDescent="0.25">
      <c r="C132" s="3">
        <v>90</v>
      </c>
      <c r="D132" s="3">
        <f t="shared" si="14"/>
        <v>47.340576357748084</v>
      </c>
      <c r="E132" s="3">
        <f t="shared" si="15"/>
        <v>200.83571435708552</v>
      </c>
      <c r="F132" s="3">
        <f t="shared" si="16"/>
        <v>0</v>
      </c>
      <c r="G132" s="3">
        <f t="shared" si="17"/>
        <v>0</v>
      </c>
      <c r="H132" s="3">
        <f t="shared" si="18"/>
        <v>0</v>
      </c>
      <c r="I132" s="3">
        <f t="shared" si="19"/>
        <v>0</v>
      </c>
      <c r="J132" s="3">
        <f t="shared" si="20"/>
        <v>0</v>
      </c>
      <c r="K132" s="3">
        <f t="shared" si="21"/>
        <v>0</v>
      </c>
      <c r="L132" s="3">
        <f t="shared" si="22"/>
        <v>0</v>
      </c>
      <c r="M132" s="3">
        <f t="shared" si="23"/>
        <v>0</v>
      </c>
    </row>
    <row r="133" spans="3:13" x14ac:dyDescent="0.25">
      <c r="C133" s="3">
        <v>91</v>
      </c>
      <c r="D133" s="3">
        <f t="shared" si="14"/>
        <v>49.215147278565013</v>
      </c>
      <c r="E133" s="3">
        <f t="shared" si="15"/>
        <v>196.82994668577777</v>
      </c>
      <c r="F133" s="3">
        <f t="shared" si="16"/>
        <v>0</v>
      </c>
      <c r="G133" s="3">
        <f t="shared" si="17"/>
        <v>0</v>
      </c>
      <c r="H133" s="3">
        <f t="shared" si="18"/>
        <v>0</v>
      </c>
      <c r="I133" s="3">
        <f t="shared" si="19"/>
        <v>0</v>
      </c>
      <c r="J133" s="3">
        <f t="shared" si="20"/>
        <v>0</v>
      </c>
      <c r="K133" s="3">
        <f t="shared" si="21"/>
        <v>0</v>
      </c>
      <c r="L133" s="3">
        <f t="shared" si="22"/>
        <v>0</v>
      </c>
      <c r="M133" s="3">
        <f t="shared" si="23"/>
        <v>0</v>
      </c>
    </row>
    <row r="134" spans="3:13" x14ac:dyDescent="0.25">
      <c r="C134" s="3">
        <v>92</v>
      </c>
      <c r="D134" s="3">
        <f t="shared" si="14"/>
        <v>51.052778850161666</v>
      </c>
      <c r="E134" s="3">
        <f t="shared" si="15"/>
        <v>192.951315017648</v>
      </c>
      <c r="F134" s="3">
        <f t="shared" si="16"/>
        <v>0</v>
      </c>
      <c r="G134" s="3">
        <f t="shared" si="17"/>
        <v>0</v>
      </c>
      <c r="H134" s="3">
        <f t="shared" si="18"/>
        <v>0</v>
      </c>
      <c r="I134" s="3">
        <f t="shared" si="19"/>
        <v>0</v>
      </c>
      <c r="J134" s="3">
        <f t="shared" si="20"/>
        <v>0</v>
      </c>
      <c r="K134" s="3">
        <f t="shared" si="21"/>
        <v>0</v>
      </c>
      <c r="L134" s="3">
        <f t="shared" si="22"/>
        <v>0</v>
      </c>
      <c r="M134" s="3">
        <f t="shared" si="23"/>
        <v>0</v>
      </c>
    </row>
    <row r="135" spans="3:13" x14ac:dyDescent="0.25">
      <c r="C135" s="3">
        <v>93</v>
      </c>
      <c r="D135" s="3">
        <f t="shared" si="14"/>
        <v>41.936254094944175</v>
      </c>
      <c r="E135" s="3">
        <f t="shared" si="15"/>
        <v>189.2007823363758</v>
      </c>
      <c r="F135" s="3">
        <f t="shared" si="16"/>
        <v>1146.4358816342121</v>
      </c>
      <c r="G135" s="3">
        <f t="shared" si="17"/>
        <v>0</v>
      </c>
      <c r="H135" s="3">
        <f t="shared" si="18"/>
        <v>0</v>
      </c>
      <c r="I135" s="3">
        <f t="shared" si="19"/>
        <v>0</v>
      </c>
      <c r="J135" s="3">
        <f t="shared" si="20"/>
        <v>0</v>
      </c>
      <c r="K135" s="3">
        <f t="shared" si="21"/>
        <v>0</v>
      </c>
      <c r="L135" s="3">
        <f t="shared" si="22"/>
        <v>0</v>
      </c>
      <c r="M135" s="3">
        <f t="shared" si="23"/>
        <v>0</v>
      </c>
    </row>
    <row r="136" spans="3:13" x14ac:dyDescent="0.25">
      <c r="C136" s="3">
        <v>94</v>
      </c>
      <c r="D136" s="3">
        <f t="shared" si="14"/>
        <v>43.919598620300121</v>
      </c>
      <c r="E136" s="3">
        <f t="shared" si="15"/>
        <v>208.25117516237404</v>
      </c>
      <c r="F136" s="3">
        <f t="shared" si="16"/>
        <v>0</v>
      </c>
      <c r="G136" s="3">
        <f t="shared" si="17"/>
        <v>0</v>
      </c>
      <c r="H136" s="3">
        <f t="shared" si="18"/>
        <v>0</v>
      </c>
      <c r="I136" s="3">
        <f t="shared" si="19"/>
        <v>0</v>
      </c>
      <c r="J136" s="3">
        <f t="shared" si="20"/>
        <v>0</v>
      </c>
      <c r="K136" s="3">
        <f t="shared" si="21"/>
        <v>0</v>
      </c>
      <c r="L136" s="3">
        <f t="shared" si="22"/>
        <v>0</v>
      </c>
      <c r="M136" s="3">
        <f t="shared" si="23"/>
        <v>0</v>
      </c>
    </row>
    <row r="137" spans="3:13" x14ac:dyDescent="0.25">
      <c r="C137" s="3">
        <v>95</v>
      </c>
      <c r="D137" s="3">
        <f t="shared" si="14"/>
        <v>45.862687022915424</v>
      </c>
      <c r="E137" s="3">
        <f t="shared" si="15"/>
        <v>204.02428227460669</v>
      </c>
      <c r="F137" s="3">
        <f t="shared" si="16"/>
        <v>0</v>
      </c>
      <c r="G137" s="3">
        <f t="shared" si="17"/>
        <v>0</v>
      </c>
      <c r="H137" s="3">
        <f t="shared" si="18"/>
        <v>0</v>
      </c>
      <c r="I137" s="3">
        <f t="shared" si="19"/>
        <v>0</v>
      </c>
      <c r="J137" s="3">
        <f t="shared" si="20"/>
        <v>0</v>
      </c>
      <c r="K137" s="3">
        <f t="shared" si="21"/>
        <v>0</v>
      </c>
      <c r="L137" s="3">
        <f t="shared" si="22"/>
        <v>0</v>
      </c>
      <c r="M137" s="3">
        <f t="shared" si="23"/>
        <v>0</v>
      </c>
    </row>
    <row r="138" spans="3:13" x14ac:dyDescent="0.25">
      <c r="C138" s="3">
        <v>96</v>
      </c>
      <c r="D138" s="3">
        <f t="shared" si="14"/>
        <v>47.766697811567646</v>
      </c>
      <c r="E138" s="3">
        <f t="shared" si="15"/>
        <v>199.92113280848264</v>
      </c>
      <c r="F138" s="3">
        <f t="shared" si="16"/>
        <v>0</v>
      </c>
      <c r="G138" s="3">
        <f t="shared" si="17"/>
        <v>0</v>
      </c>
      <c r="H138" s="3">
        <f t="shared" si="18"/>
        <v>0</v>
      </c>
      <c r="I138" s="3">
        <f t="shared" si="19"/>
        <v>0</v>
      </c>
      <c r="J138" s="3">
        <f t="shared" si="20"/>
        <v>0</v>
      </c>
      <c r="K138" s="3">
        <f t="shared" si="21"/>
        <v>0</v>
      </c>
      <c r="L138" s="3">
        <f t="shared" si="22"/>
        <v>0</v>
      </c>
      <c r="M138" s="3">
        <f t="shared" si="23"/>
        <v>0</v>
      </c>
    </row>
    <row r="139" spans="3:13" x14ac:dyDescent="0.25">
      <c r="C139" s="3">
        <v>97</v>
      </c>
      <c r="D139" s="3">
        <f t="shared" si="14"/>
        <v>49.632830435636627</v>
      </c>
      <c r="E139" s="3">
        <f t="shared" si="15"/>
        <v>195.94392552724347</v>
      </c>
      <c r="F139" s="3">
        <f t="shared" si="16"/>
        <v>0</v>
      </c>
      <c r="G139" s="3">
        <f t="shared" si="17"/>
        <v>0</v>
      </c>
      <c r="H139" s="3">
        <f t="shared" si="18"/>
        <v>0</v>
      </c>
      <c r="I139" s="3">
        <f t="shared" si="19"/>
        <v>0</v>
      </c>
      <c r="J139" s="3">
        <f t="shared" si="20"/>
        <v>0</v>
      </c>
      <c r="K139" s="3">
        <f t="shared" si="21"/>
        <v>0</v>
      </c>
      <c r="L139" s="3">
        <f t="shared" si="22"/>
        <v>0</v>
      </c>
      <c r="M139" s="3">
        <f t="shared" si="23"/>
        <v>0</v>
      </c>
    </row>
    <row r="140" spans="3:13" x14ac:dyDescent="0.25">
      <c r="C140" s="3">
        <v>98</v>
      </c>
      <c r="D140" s="3">
        <f t="shared" si="14"/>
        <v>40.543861331892707</v>
      </c>
      <c r="E140" s="3">
        <f t="shared" si="15"/>
        <v>192.09412574109928</v>
      </c>
      <c r="F140" s="3">
        <f t="shared" si="16"/>
        <v>1146.4358816342121</v>
      </c>
      <c r="G140" s="3">
        <f t="shared" si="17"/>
        <v>0</v>
      </c>
      <c r="H140" s="3">
        <f t="shared" si="18"/>
        <v>0</v>
      </c>
      <c r="I140" s="3">
        <f t="shared" si="19"/>
        <v>0</v>
      </c>
      <c r="J140" s="3">
        <f t="shared" si="20"/>
        <v>0</v>
      </c>
      <c r="K140" s="3">
        <f t="shared" si="21"/>
        <v>0</v>
      </c>
      <c r="L140" s="3">
        <f t="shared" si="22"/>
        <v>0</v>
      </c>
      <c r="M140" s="3">
        <f t="shared" si="23"/>
        <v>0</v>
      </c>
    </row>
    <row r="141" spans="3:13" x14ac:dyDescent="0.25">
      <c r="C141" s="3">
        <v>99</v>
      </c>
      <c r="D141" s="3">
        <f t="shared" si="14"/>
        <v>42.555651088029734</v>
      </c>
      <c r="E141" s="3">
        <f t="shared" si="15"/>
        <v>211.23792439438782</v>
      </c>
      <c r="F141" s="3">
        <f t="shared" si="16"/>
        <v>0</v>
      </c>
      <c r="G141" s="3">
        <f t="shared" si="17"/>
        <v>0</v>
      </c>
      <c r="H141" s="3">
        <f t="shared" si="18"/>
        <v>0</v>
      </c>
      <c r="I141" s="3">
        <f t="shared" si="19"/>
        <v>0</v>
      </c>
      <c r="J141" s="3">
        <f t="shared" si="20"/>
        <v>0</v>
      </c>
      <c r="K141" s="3">
        <f t="shared" si="21"/>
        <v>0</v>
      </c>
      <c r="L141" s="3">
        <f t="shared" si="22"/>
        <v>0</v>
      </c>
      <c r="M141" s="3">
        <f t="shared" si="23"/>
        <v>0</v>
      </c>
    </row>
    <row r="142" spans="3:13" x14ac:dyDescent="0.25">
      <c r="C142" s="3">
        <v>100</v>
      </c>
      <c r="D142" s="3">
        <f t="shared" si="14"/>
        <v>44.526387988858765</v>
      </c>
      <c r="E142" s="3">
        <f t="shared" si="15"/>
        <v>206.92737458704863</v>
      </c>
      <c r="F142" s="3">
        <f t="shared" si="16"/>
        <v>0</v>
      </c>
      <c r="G142" s="3">
        <f t="shared" si="17"/>
        <v>0</v>
      </c>
      <c r="H142" s="3">
        <f t="shared" si="18"/>
        <v>0</v>
      </c>
      <c r="I142" s="3">
        <f t="shared" si="19"/>
        <v>0</v>
      </c>
      <c r="J142" s="3">
        <f t="shared" si="20"/>
        <v>0</v>
      </c>
      <c r="K142" s="3">
        <f t="shared" si="21"/>
        <v>0</v>
      </c>
      <c r="L142" s="3">
        <f t="shared" si="22"/>
        <v>0</v>
      </c>
      <c r="M142" s="3">
        <f t="shared" si="23"/>
        <v>0</v>
      </c>
    </row>
    <row r="143" spans="3:13" x14ac:dyDescent="0.25">
      <c r="C143" s="3">
        <v>101</v>
      </c>
      <c r="D143" s="3">
        <f t="shared" si="14"/>
        <v>46.457231514280011</v>
      </c>
      <c r="E143" s="3">
        <f t="shared" si="15"/>
        <v>202.73857016923105</v>
      </c>
      <c r="F143" s="3">
        <f t="shared" si="16"/>
        <v>0</v>
      </c>
      <c r="G143" s="3">
        <f t="shared" si="17"/>
        <v>0</v>
      </c>
      <c r="H143" s="3">
        <f t="shared" si="18"/>
        <v>0</v>
      </c>
      <c r="I143" s="3">
        <f t="shared" si="19"/>
        <v>0</v>
      </c>
      <c r="J143" s="3">
        <f t="shared" si="20"/>
        <v>0</v>
      </c>
      <c r="K143" s="3">
        <f t="shared" si="21"/>
        <v>0</v>
      </c>
      <c r="L143" s="3">
        <f t="shared" si="22"/>
        <v>0</v>
      </c>
      <c r="M143" s="3">
        <f t="shared" si="23"/>
        <v>0</v>
      </c>
    </row>
    <row r="144" spans="3:13" x14ac:dyDescent="0.25">
      <c r="C144" s="3">
        <v>102</v>
      </c>
      <c r="D144" s="3">
        <f t="shared" si="14"/>
        <v>48.349367471416251</v>
      </c>
      <c r="E144" s="3">
        <f t="shared" si="15"/>
        <v>198.67427549930488</v>
      </c>
      <c r="F144" s="3">
        <f t="shared" si="16"/>
        <v>0</v>
      </c>
      <c r="G144" s="3">
        <f t="shared" si="17"/>
        <v>0</v>
      </c>
      <c r="H144" s="3">
        <f t="shared" si="18"/>
        <v>0</v>
      </c>
      <c r="I144" s="3">
        <f t="shared" si="19"/>
        <v>0</v>
      </c>
      <c r="J144" s="3">
        <f t="shared" si="20"/>
        <v>0</v>
      </c>
      <c r="K144" s="3">
        <f t="shared" si="21"/>
        <v>0</v>
      </c>
      <c r="L144" s="3">
        <f t="shared" si="22"/>
        <v>0</v>
      </c>
      <c r="M144" s="3">
        <f t="shared" si="23"/>
        <v>0</v>
      </c>
    </row>
    <row r="145" spans="3:13" x14ac:dyDescent="0.25">
      <c r="C145" s="3">
        <v>103</v>
      </c>
      <c r="D145" s="3">
        <f t="shared" si="14"/>
        <v>39.285563372579091</v>
      </c>
      <c r="E145" s="3">
        <f t="shared" si="15"/>
        <v>194.73645125630992</v>
      </c>
      <c r="F145" s="3">
        <f t="shared" si="16"/>
        <v>1146.4358816342121</v>
      </c>
      <c r="G145" s="3">
        <f t="shared" si="17"/>
        <v>0</v>
      </c>
      <c r="H145" s="3">
        <f t="shared" si="18"/>
        <v>0</v>
      </c>
      <c r="I145" s="3">
        <f t="shared" si="19"/>
        <v>0</v>
      </c>
      <c r="J145" s="3">
        <f t="shared" si="20"/>
        <v>0</v>
      </c>
      <c r="K145" s="3">
        <f t="shared" si="21"/>
        <v>0</v>
      </c>
      <c r="L145" s="3">
        <f t="shared" si="22"/>
        <v>0</v>
      </c>
      <c r="M145" s="3">
        <f t="shared" si="23"/>
        <v>0</v>
      </c>
    </row>
    <row r="146" spans="3:13" x14ac:dyDescent="0.25">
      <c r="C146" s="3">
        <v>104</v>
      </c>
      <c r="D146" s="3">
        <f t="shared" si="14"/>
        <v>41.323165206252149</v>
      </c>
      <c r="E146" s="3">
        <f t="shared" si="15"/>
        <v>213.94819253567155</v>
      </c>
      <c r="F146" s="3">
        <f t="shared" si="16"/>
        <v>0</v>
      </c>
      <c r="G146" s="3">
        <f t="shared" si="17"/>
        <v>0</v>
      </c>
      <c r="H146" s="3">
        <f t="shared" si="18"/>
        <v>0</v>
      </c>
      <c r="I146" s="3">
        <f t="shared" si="19"/>
        <v>0</v>
      </c>
      <c r="J146" s="3">
        <f t="shared" si="20"/>
        <v>0</v>
      </c>
      <c r="K146" s="3">
        <f t="shared" si="21"/>
        <v>0</v>
      </c>
      <c r="L146" s="3">
        <f t="shared" si="22"/>
        <v>0</v>
      </c>
      <c r="M146" s="3">
        <f t="shared" si="23"/>
        <v>0</v>
      </c>
    </row>
    <row r="147" spans="3:13" x14ac:dyDescent="0.25">
      <c r="C147" s="3">
        <v>105</v>
      </c>
      <c r="D147" s="3">
        <f t="shared" si="14"/>
        <v>43.319017801176905</v>
      </c>
      <c r="E147" s="3">
        <f t="shared" si="15"/>
        <v>209.56452246709966</v>
      </c>
      <c r="F147" s="3">
        <f t="shared" si="16"/>
        <v>0</v>
      </c>
      <c r="G147" s="3">
        <f t="shared" si="17"/>
        <v>0</v>
      </c>
      <c r="H147" s="3">
        <f t="shared" si="18"/>
        <v>0</v>
      </c>
      <c r="I147" s="3">
        <f t="shared" si="19"/>
        <v>0</v>
      </c>
      <c r="J147" s="3">
        <f t="shared" si="20"/>
        <v>0</v>
      </c>
      <c r="K147" s="3">
        <f t="shared" si="21"/>
        <v>0</v>
      </c>
      <c r="L147" s="3">
        <f t="shared" si="22"/>
        <v>0</v>
      </c>
      <c r="M147" s="3">
        <f t="shared" si="23"/>
        <v>0</v>
      </c>
    </row>
    <row r="148" spans="3:13" x14ac:dyDescent="0.25">
      <c r="C148" s="3">
        <v>106</v>
      </c>
      <c r="D148" s="3">
        <f t="shared" si="14"/>
        <v>45.274260197469204</v>
      </c>
      <c r="E148" s="3">
        <f t="shared" si="15"/>
        <v>205.30045161069108</v>
      </c>
      <c r="F148" s="3">
        <f t="shared" si="16"/>
        <v>0</v>
      </c>
      <c r="G148" s="3">
        <f t="shared" si="17"/>
        <v>0</v>
      </c>
      <c r="H148" s="3">
        <f t="shared" si="18"/>
        <v>0</v>
      </c>
      <c r="I148" s="3">
        <f t="shared" si="19"/>
        <v>0</v>
      </c>
      <c r="J148" s="3">
        <f t="shared" si="20"/>
        <v>0</v>
      </c>
      <c r="K148" s="3">
        <f t="shared" si="21"/>
        <v>0</v>
      </c>
      <c r="L148" s="3">
        <f t="shared" si="22"/>
        <v>0</v>
      </c>
      <c r="M148" s="3">
        <f t="shared" si="23"/>
        <v>0</v>
      </c>
    </row>
    <row r="149" spans="3:13" x14ac:dyDescent="0.25">
      <c r="C149" s="3">
        <v>107</v>
      </c>
      <c r="D149" s="3">
        <f t="shared" si="14"/>
        <v>47.190062979112234</v>
      </c>
      <c r="E149" s="3">
        <f t="shared" si="15"/>
        <v>201.15929207251781</v>
      </c>
      <c r="F149" s="3">
        <f t="shared" si="16"/>
        <v>0</v>
      </c>
      <c r="G149" s="3">
        <f t="shared" si="17"/>
        <v>0</v>
      </c>
      <c r="H149" s="3">
        <f t="shared" si="18"/>
        <v>0</v>
      </c>
      <c r="I149" s="3">
        <f t="shared" si="19"/>
        <v>0</v>
      </c>
      <c r="J149" s="3">
        <f t="shared" si="20"/>
        <v>0</v>
      </c>
      <c r="K149" s="3">
        <f t="shared" si="21"/>
        <v>0</v>
      </c>
      <c r="L149" s="3">
        <f t="shared" si="22"/>
        <v>0</v>
      </c>
      <c r="M149" s="3">
        <f t="shared" si="23"/>
        <v>0</v>
      </c>
    </row>
    <row r="150" spans="3:13" x14ac:dyDescent="0.25">
      <c r="C150" s="3">
        <v>108</v>
      </c>
      <c r="D150" s="3">
        <f t="shared" si="14"/>
        <v>38.149183024940221</v>
      </c>
      <c r="E150" s="3">
        <f t="shared" si="15"/>
        <v>197.14348644615038</v>
      </c>
      <c r="F150" s="3">
        <f t="shared" si="16"/>
        <v>1146.4358816342121</v>
      </c>
      <c r="G150" s="3">
        <f t="shared" si="17"/>
        <v>0</v>
      </c>
      <c r="H150" s="3">
        <f t="shared" si="18"/>
        <v>0</v>
      </c>
      <c r="I150" s="3">
        <f t="shared" si="19"/>
        <v>0</v>
      </c>
      <c r="J150" s="3">
        <f t="shared" si="20"/>
        <v>0</v>
      </c>
      <c r="K150" s="3">
        <f t="shared" si="21"/>
        <v>0</v>
      </c>
      <c r="L150" s="3">
        <f t="shared" si="22"/>
        <v>0</v>
      </c>
      <c r="M150" s="3">
        <f t="shared" si="23"/>
        <v>0</v>
      </c>
    </row>
    <row r="151" spans="3:13" x14ac:dyDescent="0.25">
      <c r="C151" s="3">
        <v>109</v>
      </c>
      <c r="D151" s="3">
        <f t="shared" si="14"/>
        <v>40.210166627612885</v>
      </c>
      <c r="E151" s="3">
        <f t="shared" si="15"/>
        <v>216.40327828063005</v>
      </c>
      <c r="F151" s="3">
        <f t="shared" si="16"/>
        <v>0</v>
      </c>
      <c r="G151" s="3">
        <f t="shared" si="17"/>
        <v>0</v>
      </c>
      <c r="H151" s="3">
        <f t="shared" si="18"/>
        <v>0</v>
      </c>
      <c r="I151" s="3">
        <f t="shared" si="19"/>
        <v>0</v>
      </c>
      <c r="J151" s="3">
        <f t="shared" si="20"/>
        <v>0</v>
      </c>
      <c r="K151" s="3">
        <f t="shared" si="21"/>
        <v>0</v>
      </c>
      <c r="L151" s="3">
        <f t="shared" si="22"/>
        <v>0</v>
      </c>
      <c r="M151" s="3">
        <f t="shared" si="23"/>
        <v>0</v>
      </c>
    </row>
    <row r="152" spans="3:13" x14ac:dyDescent="0.25">
      <c r="C152" s="3">
        <v>110</v>
      </c>
      <c r="D152" s="3">
        <f t="shared" si="14"/>
        <v>42.228792624568044</v>
      </c>
      <c r="E152" s="3">
        <f t="shared" si="15"/>
        <v>211.95572968029131</v>
      </c>
      <c r="F152" s="3">
        <f t="shared" si="16"/>
        <v>0</v>
      </c>
      <c r="G152" s="3">
        <f t="shared" si="17"/>
        <v>0</v>
      </c>
      <c r="H152" s="3">
        <f t="shared" si="18"/>
        <v>0</v>
      </c>
      <c r="I152" s="3">
        <f t="shared" si="19"/>
        <v>0</v>
      </c>
      <c r="J152" s="3">
        <f t="shared" si="20"/>
        <v>0</v>
      </c>
      <c r="K152" s="3">
        <f t="shared" si="21"/>
        <v>0</v>
      </c>
      <c r="L152" s="3">
        <f t="shared" si="22"/>
        <v>0</v>
      </c>
      <c r="M152" s="3">
        <f t="shared" si="23"/>
        <v>0</v>
      </c>
    </row>
    <row r="153" spans="3:13" x14ac:dyDescent="0.25">
      <c r="C153" s="3">
        <v>111</v>
      </c>
      <c r="D153" s="3">
        <f t="shared" si="14"/>
        <v>44.206178838206341</v>
      </c>
      <c r="E153" s="3">
        <f t="shared" si="15"/>
        <v>207.62555243202087</v>
      </c>
      <c r="F153" s="3">
        <f t="shared" si="16"/>
        <v>0</v>
      </c>
      <c r="G153" s="3">
        <f t="shared" si="17"/>
        <v>0</v>
      </c>
      <c r="H153" s="3">
        <f t="shared" si="18"/>
        <v>0</v>
      </c>
      <c r="I153" s="3">
        <f t="shared" si="19"/>
        <v>0</v>
      </c>
      <c r="J153" s="3">
        <f t="shared" si="20"/>
        <v>0</v>
      </c>
      <c r="K153" s="3">
        <f t="shared" si="21"/>
        <v>0</v>
      </c>
      <c r="L153" s="3">
        <f t="shared" si="22"/>
        <v>0</v>
      </c>
      <c r="M153" s="3">
        <f t="shared" si="23"/>
        <v>0</v>
      </c>
    </row>
    <row r="154" spans="3:13" x14ac:dyDescent="0.25">
      <c r="C154" s="3">
        <v>112</v>
      </c>
      <c r="D154" s="3">
        <f t="shared" si="14"/>
        <v>46.143479633780942</v>
      </c>
      <c r="E154" s="3">
        <f t="shared" si="15"/>
        <v>203.41658353533333</v>
      </c>
      <c r="F154" s="3">
        <f t="shared" si="16"/>
        <v>0</v>
      </c>
      <c r="G154" s="3">
        <f t="shared" si="17"/>
        <v>0</v>
      </c>
      <c r="H154" s="3">
        <f t="shared" si="18"/>
        <v>0</v>
      </c>
      <c r="I154" s="3">
        <f t="shared" si="19"/>
        <v>0</v>
      </c>
      <c r="J154" s="3">
        <f t="shared" si="20"/>
        <v>0</v>
      </c>
      <c r="K154" s="3">
        <f t="shared" si="21"/>
        <v>0</v>
      </c>
      <c r="L154" s="3">
        <f t="shared" si="22"/>
        <v>0</v>
      </c>
      <c r="M154" s="3">
        <f t="shared" si="23"/>
        <v>0</v>
      </c>
    </row>
    <row r="155" spans="3:13" x14ac:dyDescent="0.25">
      <c r="C155" s="3">
        <v>113</v>
      </c>
      <c r="D155" s="3">
        <f t="shared" si="14"/>
        <v>37.123440086803178</v>
      </c>
      <c r="E155" s="3">
        <f t="shared" si="15"/>
        <v>199.33172920154612</v>
      </c>
      <c r="F155" s="3">
        <f t="shared" si="16"/>
        <v>1146.4358816342121</v>
      </c>
      <c r="G155" s="3">
        <f t="shared" si="17"/>
        <v>0</v>
      </c>
      <c r="H155" s="3">
        <f t="shared" si="18"/>
        <v>0</v>
      </c>
      <c r="I155" s="3">
        <f t="shared" si="19"/>
        <v>0</v>
      </c>
      <c r="J155" s="3">
        <f t="shared" si="20"/>
        <v>0</v>
      </c>
      <c r="K155" s="3">
        <f t="shared" si="21"/>
        <v>0</v>
      </c>
      <c r="L155" s="3">
        <f t="shared" si="22"/>
        <v>0</v>
      </c>
      <c r="M155" s="3">
        <f t="shared" si="23"/>
        <v>0</v>
      </c>
    </row>
    <row r="156" spans="3:13" x14ac:dyDescent="0.25">
      <c r="C156" s="3">
        <v>114</v>
      </c>
      <c r="D156" s="3">
        <f t="shared" si="14"/>
        <v>39.205574775794609</v>
      </c>
      <c r="E156" s="3">
        <f t="shared" si="15"/>
        <v>218.62414234410031</v>
      </c>
      <c r="F156" s="3">
        <f t="shared" si="16"/>
        <v>0</v>
      </c>
      <c r="G156" s="3">
        <f t="shared" si="17"/>
        <v>0</v>
      </c>
      <c r="H156" s="3">
        <f t="shared" si="18"/>
        <v>0</v>
      </c>
      <c r="I156" s="3">
        <f t="shared" si="19"/>
        <v>0</v>
      </c>
      <c r="J156" s="3">
        <f t="shared" si="20"/>
        <v>0</v>
      </c>
      <c r="K156" s="3">
        <f t="shared" si="21"/>
        <v>0</v>
      </c>
      <c r="L156" s="3">
        <f t="shared" si="22"/>
        <v>0</v>
      </c>
      <c r="M156" s="3">
        <f t="shared" si="23"/>
        <v>0</v>
      </c>
    </row>
    <row r="157" spans="3:13" x14ac:dyDescent="0.25">
      <c r="C157" s="3">
        <v>115</v>
      </c>
      <c r="D157" s="3">
        <f t="shared" si="14"/>
        <v>41.244820409713441</v>
      </c>
      <c r="E157" s="3">
        <f t="shared" si="15"/>
        <v>214.12079156147701</v>
      </c>
      <c r="F157" s="3">
        <f t="shared" si="16"/>
        <v>0</v>
      </c>
      <c r="G157" s="3">
        <f t="shared" si="17"/>
        <v>0</v>
      </c>
      <c r="H157" s="3">
        <f t="shared" si="18"/>
        <v>0</v>
      </c>
      <c r="I157" s="3">
        <f t="shared" si="19"/>
        <v>0</v>
      </c>
      <c r="J157" s="3">
        <f t="shared" si="20"/>
        <v>0</v>
      </c>
      <c r="K157" s="3">
        <f t="shared" si="21"/>
        <v>0</v>
      </c>
      <c r="L157" s="3">
        <f t="shared" si="22"/>
        <v>0</v>
      </c>
      <c r="M157" s="3">
        <f t="shared" si="23"/>
        <v>0</v>
      </c>
    </row>
    <row r="158" spans="3:13" x14ac:dyDescent="0.25">
      <c r="C158" s="3">
        <v>116</v>
      </c>
      <c r="D158" s="3">
        <f t="shared" si="14"/>
        <v>43.242273330648146</v>
      </c>
      <c r="E158" s="3">
        <f t="shared" si="15"/>
        <v>209.7325566981448</v>
      </c>
      <c r="F158" s="3">
        <f t="shared" si="16"/>
        <v>0</v>
      </c>
      <c r="G158" s="3">
        <f t="shared" si="17"/>
        <v>0</v>
      </c>
      <c r="H158" s="3">
        <f t="shared" si="18"/>
        <v>0</v>
      </c>
      <c r="I158" s="3">
        <f t="shared" si="19"/>
        <v>0</v>
      </c>
      <c r="J158" s="3">
        <f t="shared" si="20"/>
        <v>0</v>
      </c>
      <c r="K158" s="3">
        <f t="shared" si="21"/>
        <v>0</v>
      </c>
      <c r="L158" s="3">
        <f t="shared" si="22"/>
        <v>0</v>
      </c>
      <c r="M158" s="3">
        <f t="shared" si="23"/>
        <v>0</v>
      </c>
    </row>
    <row r="159" spans="3:13" x14ac:dyDescent="0.25">
      <c r="C159" s="3">
        <v>117</v>
      </c>
      <c r="D159" s="3">
        <f t="shared" si="14"/>
        <v>45.199071172085574</v>
      </c>
      <c r="E159" s="3">
        <f t="shared" si="15"/>
        <v>205.46377335092947</v>
      </c>
      <c r="F159" s="3">
        <f t="shared" si="16"/>
        <v>0</v>
      </c>
      <c r="G159" s="3">
        <f t="shared" si="17"/>
        <v>0</v>
      </c>
      <c r="H159" s="3">
        <f t="shared" si="18"/>
        <v>0</v>
      </c>
      <c r="I159" s="3">
        <f t="shared" si="19"/>
        <v>0</v>
      </c>
      <c r="J159" s="3">
        <f t="shared" si="20"/>
        <v>0</v>
      </c>
      <c r="K159" s="3">
        <f t="shared" si="21"/>
        <v>0</v>
      </c>
      <c r="L159" s="3">
        <f t="shared" si="22"/>
        <v>0</v>
      </c>
      <c r="M159" s="3">
        <f t="shared" si="23"/>
        <v>0</v>
      </c>
    </row>
    <row r="160" spans="3:13" x14ac:dyDescent="0.25">
      <c r="C160" s="3">
        <v>118</v>
      </c>
      <c r="D160" s="3">
        <f t="shared" si="14"/>
        <v>36.197946486342111</v>
      </c>
      <c r="E160" s="3">
        <f t="shared" si="15"/>
        <v>201.31778963114829</v>
      </c>
      <c r="F160" s="3">
        <f t="shared" si="16"/>
        <v>1146.4358816342121</v>
      </c>
      <c r="G160" s="3">
        <f t="shared" si="17"/>
        <v>0</v>
      </c>
      <c r="H160" s="3">
        <f t="shared" si="18"/>
        <v>0</v>
      </c>
      <c r="I160" s="3">
        <f t="shared" si="19"/>
        <v>0</v>
      </c>
      <c r="J160" s="3">
        <f t="shared" si="20"/>
        <v>0</v>
      </c>
      <c r="K160" s="3">
        <f t="shared" si="21"/>
        <v>0</v>
      </c>
      <c r="L160" s="3">
        <f t="shared" si="22"/>
        <v>0</v>
      </c>
      <c r="M160" s="3">
        <f t="shared" si="23"/>
        <v>0</v>
      </c>
    </row>
    <row r="161" spans="3:13" x14ac:dyDescent="0.25">
      <c r="C161" s="3">
        <v>119</v>
      </c>
      <c r="D161" s="3">
        <f t="shared" si="14"/>
        <v>38.299193661159563</v>
      </c>
      <c r="E161" s="3">
        <f t="shared" si="15"/>
        <v>220.63095335583259</v>
      </c>
      <c r="F161" s="3">
        <f t="shared" si="16"/>
        <v>0</v>
      </c>
      <c r="G161" s="3">
        <f t="shared" si="17"/>
        <v>0</v>
      </c>
      <c r="H161" s="3">
        <f t="shared" si="18"/>
        <v>0</v>
      </c>
      <c r="I161" s="3">
        <f t="shared" si="19"/>
        <v>0</v>
      </c>
      <c r="J161" s="3">
        <f t="shared" si="20"/>
        <v>0</v>
      </c>
      <c r="K161" s="3">
        <f t="shared" si="21"/>
        <v>0</v>
      </c>
      <c r="L161" s="3">
        <f t="shared" si="22"/>
        <v>0</v>
      </c>
      <c r="M161" s="3">
        <f t="shared" si="23"/>
        <v>0</v>
      </c>
    </row>
    <row r="162" spans="3:13" x14ac:dyDescent="0.25">
      <c r="C162" s="3">
        <v>120</v>
      </c>
      <c r="D162" s="3">
        <f t="shared" si="14"/>
        <v>40.357087373113202</v>
      </c>
      <c r="E162" s="3">
        <f t="shared" si="15"/>
        <v>216.07883975513275</v>
      </c>
      <c r="F162" s="3">
        <f t="shared" si="16"/>
        <v>0</v>
      </c>
      <c r="G162" s="3">
        <f t="shared" si="17"/>
        <v>0</v>
      </c>
      <c r="H162" s="3">
        <f t="shared" si="18"/>
        <v>0</v>
      </c>
      <c r="I162" s="3">
        <f t="shared" si="19"/>
        <v>0</v>
      </c>
      <c r="J162" s="3">
        <f t="shared" si="20"/>
        <v>0</v>
      </c>
      <c r="K162" s="3">
        <f t="shared" si="21"/>
        <v>0</v>
      </c>
      <c r="L162" s="3">
        <f t="shared" si="22"/>
        <v>0</v>
      </c>
      <c r="M162" s="3">
        <f t="shared" si="23"/>
        <v>0</v>
      </c>
    </row>
    <row r="163" spans="3:13" x14ac:dyDescent="0.25">
      <c r="C163" s="3">
        <v>121</v>
      </c>
      <c r="D163" s="3">
        <f t="shared" si="14"/>
        <v>42.372702629990613</v>
      </c>
      <c r="E163" s="3">
        <f t="shared" si="15"/>
        <v>211.63960197212825</v>
      </c>
      <c r="F163" s="3">
        <f t="shared" si="16"/>
        <v>0</v>
      </c>
      <c r="G163" s="3">
        <f t="shared" si="17"/>
        <v>0</v>
      </c>
      <c r="H163" s="3">
        <f t="shared" si="18"/>
        <v>0</v>
      </c>
      <c r="I163" s="3">
        <f t="shared" si="19"/>
        <v>0</v>
      </c>
      <c r="J163" s="3">
        <f t="shared" si="20"/>
        <v>0</v>
      </c>
      <c r="K163" s="3">
        <f t="shared" si="21"/>
        <v>0</v>
      </c>
      <c r="L163" s="3">
        <f t="shared" si="22"/>
        <v>0</v>
      </c>
      <c r="M163" s="3">
        <f t="shared" si="23"/>
        <v>0</v>
      </c>
    </row>
    <row r="164" spans="3:13" x14ac:dyDescent="0.25">
      <c r="C164" s="3">
        <v>122</v>
      </c>
      <c r="D164" s="3">
        <f t="shared" si="14"/>
        <v>44.347160208612969</v>
      </c>
      <c r="E164" s="3">
        <f t="shared" si="15"/>
        <v>207.31804575534827</v>
      </c>
      <c r="F164" s="3">
        <f t="shared" si="16"/>
        <v>0</v>
      </c>
      <c r="G164" s="3">
        <f t="shared" si="17"/>
        <v>0</v>
      </c>
      <c r="H164" s="3">
        <f t="shared" si="18"/>
        <v>0</v>
      </c>
      <c r="I164" s="3">
        <f t="shared" si="19"/>
        <v>0</v>
      </c>
      <c r="J164" s="3">
        <f t="shared" si="20"/>
        <v>0</v>
      </c>
      <c r="K164" s="3">
        <f t="shared" si="21"/>
        <v>0</v>
      </c>
      <c r="L164" s="3">
        <f t="shared" si="22"/>
        <v>0</v>
      </c>
      <c r="M164" s="3">
        <f t="shared" si="23"/>
        <v>0</v>
      </c>
    </row>
    <row r="165" spans="3:13" x14ac:dyDescent="0.25">
      <c r="C165" s="3">
        <v>123</v>
      </c>
      <c r="D165" s="3">
        <f t="shared" si="14"/>
        <v>35.363179785075438</v>
      </c>
      <c r="E165" s="3">
        <f t="shared" si="15"/>
        <v>203.11793716277069</v>
      </c>
      <c r="F165" s="3">
        <f t="shared" si="16"/>
        <v>1146.4358816342121</v>
      </c>
      <c r="G165" s="3">
        <f t="shared" si="17"/>
        <v>0</v>
      </c>
      <c r="H165" s="3">
        <f t="shared" si="18"/>
        <v>0</v>
      </c>
      <c r="I165" s="3">
        <f t="shared" si="19"/>
        <v>0</v>
      </c>
      <c r="J165" s="3">
        <f t="shared" si="20"/>
        <v>0</v>
      </c>
      <c r="K165" s="3">
        <f t="shared" si="21"/>
        <v>0</v>
      </c>
      <c r="L165" s="3">
        <f t="shared" si="22"/>
        <v>0</v>
      </c>
      <c r="M165" s="3">
        <f t="shared" si="23"/>
        <v>0</v>
      </c>
    </row>
    <row r="166" spans="3:13" x14ac:dyDescent="0.25">
      <c r="C166" s="3">
        <v>124</v>
      </c>
      <c r="D166" s="3">
        <f t="shared" si="14"/>
        <v>37.481682698019526</v>
      </c>
      <c r="E166" s="3">
        <f t="shared" si="15"/>
        <v>222.44280585912946</v>
      </c>
      <c r="F166" s="3">
        <f t="shared" si="16"/>
        <v>0</v>
      </c>
      <c r="G166" s="3">
        <f t="shared" si="17"/>
        <v>0</v>
      </c>
      <c r="H166" s="3">
        <f t="shared" si="18"/>
        <v>0</v>
      </c>
      <c r="I166" s="3">
        <f t="shared" si="19"/>
        <v>0</v>
      </c>
      <c r="J166" s="3">
        <f t="shared" si="20"/>
        <v>0</v>
      </c>
      <c r="K166" s="3">
        <f t="shared" si="21"/>
        <v>0</v>
      </c>
      <c r="L166" s="3">
        <f t="shared" si="22"/>
        <v>0</v>
      </c>
      <c r="M166" s="3">
        <f t="shared" si="23"/>
        <v>0</v>
      </c>
    </row>
    <row r="167" spans="3:13" x14ac:dyDescent="0.25">
      <c r="C167" s="3">
        <v>125</v>
      </c>
      <c r="D167" s="3">
        <f t="shared" si="14"/>
        <v>39.556426069996085</v>
      </c>
      <c r="E167" s="3">
        <f t="shared" si="15"/>
        <v>217.84805405753906</v>
      </c>
      <c r="F167" s="3">
        <f t="shared" si="16"/>
        <v>0</v>
      </c>
      <c r="G167" s="3">
        <f t="shared" si="17"/>
        <v>0</v>
      </c>
      <c r="H167" s="3">
        <f t="shared" si="18"/>
        <v>0</v>
      </c>
      <c r="I167" s="3">
        <f t="shared" si="19"/>
        <v>0</v>
      </c>
      <c r="J167" s="3">
        <f t="shared" si="20"/>
        <v>0</v>
      </c>
      <c r="K167" s="3">
        <f t="shared" si="21"/>
        <v>0</v>
      </c>
      <c r="L167" s="3">
        <f t="shared" si="22"/>
        <v>0</v>
      </c>
      <c r="M167" s="3">
        <f t="shared" si="23"/>
        <v>0</v>
      </c>
    </row>
    <row r="168" spans="3:13" x14ac:dyDescent="0.25">
      <c r="C168" s="3">
        <v>126</v>
      </c>
      <c r="D168" s="3">
        <f t="shared" si="14"/>
        <v>41.588464035482367</v>
      </c>
      <c r="E168" s="3">
        <f t="shared" si="15"/>
        <v>213.36398637605905</v>
      </c>
      <c r="F168" s="3">
        <f t="shared" si="16"/>
        <v>0</v>
      </c>
      <c r="G168" s="3">
        <f t="shared" si="17"/>
        <v>0</v>
      </c>
      <c r="H168" s="3">
        <f t="shared" si="18"/>
        <v>0</v>
      </c>
      <c r="I168" s="3">
        <f t="shared" si="19"/>
        <v>0</v>
      </c>
      <c r="J168" s="3">
        <f t="shared" si="20"/>
        <v>0</v>
      </c>
      <c r="K168" s="3">
        <f t="shared" si="21"/>
        <v>0</v>
      </c>
      <c r="L168" s="3">
        <f t="shared" si="22"/>
        <v>0</v>
      </c>
      <c r="M168" s="3">
        <f t="shared" si="23"/>
        <v>0</v>
      </c>
    </row>
    <row r="169" spans="3:13" x14ac:dyDescent="0.25">
      <c r="C169" s="3">
        <v>127</v>
      </c>
      <c r="D169" s="3">
        <f t="shared" si="14"/>
        <v>43.578900694136394</v>
      </c>
      <c r="E169" s="3">
        <f t="shared" si="15"/>
        <v>208.99584915867351</v>
      </c>
      <c r="F169" s="3">
        <f t="shared" si="16"/>
        <v>0</v>
      </c>
      <c r="G169" s="3">
        <f t="shared" si="17"/>
        <v>0</v>
      </c>
      <c r="H169" s="3">
        <f t="shared" si="18"/>
        <v>0</v>
      </c>
      <c r="I169" s="3">
        <f t="shared" si="19"/>
        <v>0</v>
      </c>
      <c r="J169" s="3">
        <f t="shared" si="20"/>
        <v>0</v>
      </c>
      <c r="K169" s="3">
        <f t="shared" si="21"/>
        <v>0</v>
      </c>
      <c r="L169" s="3">
        <f t="shared" si="22"/>
        <v>0</v>
      </c>
      <c r="M169" s="3">
        <f t="shared" si="23"/>
        <v>0</v>
      </c>
    </row>
    <row r="170" spans="3:13" x14ac:dyDescent="0.25">
      <c r="C170" s="3">
        <v>128</v>
      </c>
      <c r="D170" s="3">
        <f t="shared" si="14"/>
        <v>34.610442785084189</v>
      </c>
      <c r="E170" s="3">
        <f t="shared" si="15"/>
        <v>204.74780118373045</v>
      </c>
      <c r="F170" s="3">
        <f t="shared" si="16"/>
        <v>1146.4358816342121</v>
      </c>
      <c r="G170" s="3">
        <f t="shared" si="17"/>
        <v>0</v>
      </c>
      <c r="H170" s="3">
        <f t="shared" si="18"/>
        <v>0</v>
      </c>
      <c r="I170" s="3">
        <f t="shared" si="19"/>
        <v>0</v>
      </c>
      <c r="J170" s="3">
        <f t="shared" si="20"/>
        <v>0</v>
      </c>
      <c r="K170" s="3">
        <f t="shared" si="21"/>
        <v>0</v>
      </c>
      <c r="L170" s="3">
        <f t="shared" si="22"/>
        <v>0</v>
      </c>
      <c r="M170" s="3">
        <f t="shared" si="23"/>
        <v>0</v>
      </c>
    </row>
    <row r="171" spans="3:13" x14ac:dyDescent="0.25">
      <c r="C171" s="3">
        <v>129</v>
      </c>
      <c r="D171" s="3">
        <f t="shared" si="14"/>
        <v>36.744514808607903</v>
      </c>
      <c r="E171" s="3">
        <f t="shared" si="15"/>
        <v>224.07756246998986</v>
      </c>
      <c r="F171" s="3">
        <f t="shared" si="16"/>
        <v>0</v>
      </c>
      <c r="G171" s="3">
        <f t="shared" si="17"/>
        <v>0</v>
      </c>
      <c r="H171" s="3">
        <f t="shared" si="18"/>
        <v>0</v>
      </c>
      <c r="I171" s="3">
        <f t="shared" si="19"/>
        <v>0</v>
      </c>
      <c r="J171" s="3">
        <f t="shared" si="20"/>
        <v>0</v>
      </c>
      <c r="K171" s="3">
        <f t="shared" si="21"/>
        <v>0</v>
      </c>
      <c r="L171" s="3">
        <f t="shared" si="22"/>
        <v>0</v>
      </c>
      <c r="M171" s="3">
        <f t="shared" si="23"/>
        <v>0</v>
      </c>
    </row>
    <row r="172" spans="3:13" x14ac:dyDescent="0.25">
      <c r="C172" s="3">
        <v>130</v>
      </c>
      <c r="D172" s="3">
        <f t="shared" ref="D172:D192" si="24">MAX((D171*($N$10/IF($B$4, 16.387, 1))+E172-SUM(F172:M172))/($N$10/IF($B$4, 16.387, 1)), 0)</f>
        <v>38.834471908718704</v>
      </c>
      <c r="E172" s="3">
        <f t="shared" ref="E172:E192" si="25">IF(D171&lt;$N$15, $D$40*D171^3+$E$40*D171^2+$F$40*D171+$G$40, 0) * 12^3/60*14.7</f>
        <v>219.44549551163382</v>
      </c>
      <c r="F172" s="3">
        <f t="shared" ref="F172:F192" si="26">IFERROR(IF(AND($C172&gt;=D$15, $C172&lt;=D$16), IF(D$14&gt;1, N(MOD($C172-D$15, D$14)&lt;1), 1/D$14)*PI()*D$9/4*(D$7^2*MIN(D$10, $D171)+(D$7^2-D$8^2)*MIN(D$12, D$42))/IF($B$4, 25.4^3, 1), 0), 0)</f>
        <v>0</v>
      </c>
      <c r="G172" s="3">
        <f t="shared" ref="G172:G192" si="27">IFERROR(IF(AND($C172&gt;=E$15, $C172&lt;=E$16), IF(E$14&gt;1, N(MOD($C172-E$15, E$14)&lt;1), 1/E$14)*PI()*E$9/4*(E$7^2*MIN(E$10, $D171)+(E$7^2-E$8^2)*MIN(E$12, E$42))/IF($B$4, 25.4^3, 1), 0), 0)</f>
        <v>0</v>
      </c>
      <c r="H172" s="3">
        <f t="shared" ref="H172:H192" si="28">IFERROR(IF(AND($C172&gt;=F$15, $C172&lt;=F$16), IF(F$14&gt;1, N(MOD($C172-F$15, F$14)&lt;1), 1/F$14)*PI()*F$9/4*(F$7^2*MIN(F$10, $D171)+(F$7^2-F$8^2)*MIN(F$12, F$42))/IF($B$4, 25.4^3, 1), 0), 0)</f>
        <v>0</v>
      </c>
      <c r="I172" s="3">
        <f t="shared" ref="I172:I192" si="29">IFERROR(IF(AND($C172&gt;=G$15, $C172&lt;=G$16), IF(G$14&gt;1, N(MOD($C172-G$15, G$14)&lt;1), 1/G$14)*PI()*G$9/4*(G$7^2*MIN(G$10, $D171)+(G$7^2-G$8^2)*MIN(G$12, G$42))/IF($B$4, 25.4^3, 1), 0), 0)</f>
        <v>0</v>
      </c>
      <c r="J172" s="3">
        <f t="shared" ref="J172:J192" si="30">IFERROR(IF(AND($C172&gt;=H$15, $C172&lt;=H$16), IF(H$14&gt;1, N(MOD($C172-H$15, H$14)&lt;1), 1/H$14)*PI()*H$9/4*(H$7^2*MIN(H$10, $D171)+(H$7^2-H$8^2)*MIN(H$12, H$42))/IF($B$4, 25.4^3, 1), 0), 0)</f>
        <v>0</v>
      </c>
      <c r="K172" s="3">
        <f t="shared" ref="K172:K192" si="31">IFERROR(IF(AND($C172&gt;=I$15, $C172&lt;=I$16), IF(I$14&gt;1, N(MOD($C172-I$15, I$14)&lt;1), 1/I$14)*PI()*I$9/4*(I$7^2*MIN(I$10, $D171)+(I$7^2-I$8^2)*MIN(I$12, I$42))/IF($B$4, 25.4^3, 1), 0), 0)</f>
        <v>0</v>
      </c>
      <c r="L172" s="3">
        <f t="shared" ref="L172:L192" si="32">IFERROR(IF(AND($C172&gt;=J$15, $C172&lt;=J$16), IF(J$14&gt;1, N(MOD($C172-J$15, J$14)&lt;1), 1/J$14)*PI()*J$9/4*(J$7^2*MIN(J$10, $D171)+(J$7^2-J$8^2)*MIN(J$12, J$42))/IF($B$4, 25.4^3, 1), 0), 0)</f>
        <v>0</v>
      </c>
      <c r="M172" s="3">
        <f t="shared" ref="M172:M192" si="33">IFERROR(IF(AND($C172&gt;=K$15, $C172&lt;=K$16), IF(K$14&gt;1, N(MOD($C172-K$15, K$14)&lt;1), 1/K$14)*PI()*K$9/4*(K$7^2*MIN(K$10, $D171)+(K$7^2-K$8^2)*MIN(K$12, K$42))/IF($B$4, 25.4^3, 1), 0), 0)</f>
        <v>0</v>
      </c>
    </row>
    <row r="173" spans="3:13" x14ac:dyDescent="0.25">
      <c r="C173" s="3">
        <v>131</v>
      </c>
      <c r="D173" s="3">
        <f t="shared" si="24"/>
        <v>40.881348042547742</v>
      </c>
      <c r="E173" s="3">
        <f t="shared" si="25"/>
        <v>214.92199405204914</v>
      </c>
      <c r="F173" s="3">
        <f t="shared" si="26"/>
        <v>0</v>
      </c>
      <c r="G173" s="3">
        <f t="shared" si="27"/>
        <v>0</v>
      </c>
      <c r="H173" s="3">
        <f t="shared" si="28"/>
        <v>0</v>
      </c>
      <c r="I173" s="3">
        <f t="shared" si="29"/>
        <v>0</v>
      </c>
      <c r="J173" s="3">
        <f t="shared" si="30"/>
        <v>0</v>
      </c>
      <c r="K173" s="3">
        <f t="shared" si="31"/>
        <v>0</v>
      </c>
      <c r="L173" s="3">
        <f t="shared" si="32"/>
        <v>0</v>
      </c>
      <c r="M173" s="3">
        <f t="shared" si="33"/>
        <v>0</v>
      </c>
    </row>
    <row r="174" spans="3:13" x14ac:dyDescent="0.25">
      <c r="C174" s="3">
        <v>132</v>
      </c>
      <c r="D174" s="3">
        <f t="shared" si="24"/>
        <v>42.886231044238258</v>
      </c>
      <c r="E174" s="3">
        <f t="shared" si="25"/>
        <v>210.51271517750376</v>
      </c>
      <c r="F174" s="3">
        <f t="shared" si="26"/>
        <v>0</v>
      </c>
      <c r="G174" s="3">
        <f t="shared" si="27"/>
        <v>0</v>
      </c>
      <c r="H174" s="3">
        <f t="shared" si="28"/>
        <v>0</v>
      </c>
      <c r="I174" s="3">
        <f t="shared" si="29"/>
        <v>0</v>
      </c>
      <c r="J174" s="3">
        <f t="shared" si="30"/>
        <v>0</v>
      </c>
      <c r="K174" s="3">
        <f t="shared" si="31"/>
        <v>0</v>
      </c>
      <c r="L174" s="3">
        <f t="shared" si="32"/>
        <v>0</v>
      </c>
      <c r="M174" s="3">
        <f t="shared" si="33"/>
        <v>0</v>
      </c>
    </row>
    <row r="175" spans="3:13" x14ac:dyDescent="0.25">
      <c r="C175" s="3">
        <v>133</v>
      </c>
      <c r="D175" s="3">
        <f t="shared" si="24"/>
        <v>33.931814882484524</v>
      </c>
      <c r="E175" s="3">
        <f t="shared" si="25"/>
        <v>206.22218465006978</v>
      </c>
      <c r="F175" s="3">
        <f t="shared" si="26"/>
        <v>1146.4358816342121</v>
      </c>
      <c r="G175" s="3">
        <f t="shared" si="27"/>
        <v>0</v>
      </c>
      <c r="H175" s="3">
        <f t="shared" si="28"/>
        <v>0</v>
      </c>
      <c r="I175" s="3">
        <f t="shared" si="29"/>
        <v>0</v>
      </c>
      <c r="J175" s="3">
        <f t="shared" si="30"/>
        <v>0</v>
      </c>
      <c r="K175" s="3">
        <f t="shared" si="31"/>
        <v>0</v>
      </c>
      <c r="L175" s="3">
        <f t="shared" si="32"/>
        <v>0</v>
      </c>
      <c r="M175" s="3">
        <f t="shared" si="33"/>
        <v>0</v>
      </c>
    </row>
    <row r="176" spans="3:13" x14ac:dyDescent="0.25">
      <c r="C176" s="3">
        <v>134</v>
      </c>
      <c r="D176" s="3">
        <f t="shared" si="24"/>
        <v>36.079927107786659</v>
      </c>
      <c r="E176" s="3">
        <f t="shared" si="25"/>
        <v>225.55178365672452</v>
      </c>
      <c r="F176" s="3">
        <f t="shared" si="26"/>
        <v>0</v>
      </c>
      <c r="G176" s="3">
        <f t="shared" si="27"/>
        <v>0</v>
      </c>
      <c r="H176" s="3">
        <f t="shared" si="28"/>
        <v>0</v>
      </c>
      <c r="I176" s="3">
        <f t="shared" si="29"/>
        <v>0</v>
      </c>
      <c r="J176" s="3">
        <f t="shared" si="30"/>
        <v>0</v>
      </c>
      <c r="K176" s="3">
        <f t="shared" si="31"/>
        <v>0</v>
      </c>
      <c r="L176" s="3">
        <f t="shared" si="32"/>
        <v>0</v>
      </c>
      <c r="M176" s="3">
        <f t="shared" si="33"/>
        <v>0</v>
      </c>
    </row>
    <row r="177" spans="3:13" x14ac:dyDescent="0.25">
      <c r="C177" s="3">
        <v>135</v>
      </c>
      <c r="D177" s="3">
        <f t="shared" si="24"/>
        <v>38.183613066830688</v>
      </c>
      <c r="E177" s="3">
        <f t="shared" si="25"/>
        <v>220.88702569962274</v>
      </c>
      <c r="F177" s="3">
        <f t="shared" si="26"/>
        <v>0</v>
      </c>
      <c r="G177" s="3">
        <f t="shared" si="27"/>
        <v>0</v>
      </c>
      <c r="H177" s="3">
        <f t="shared" si="28"/>
        <v>0</v>
      </c>
      <c r="I177" s="3">
        <f t="shared" si="29"/>
        <v>0</v>
      </c>
      <c r="J177" s="3">
        <f t="shared" si="30"/>
        <v>0</v>
      </c>
      <c r="K177" s="3">
        <f t="shared" si="31"/>
        <v>0</v>
      </c>
      <c r="L177" s="3">
        <f t="shared" si="32"/>
        <v>0</v>
      </c>
      <c r="M177" s="3">
        <f t="shared" si="33"/>
        <v>0</v>
      </c>
    </row>
    <row r="178" spans="3:13" x14ac:dyDescent="0.25">
      <c r="C178" s="3">
        <v>136</v>
      </c>
      <c r="D178" s="3">
        <f t="shared" si="24"/>
        <v>40.243887403454558</v>
      </c>
      <c r="E178" s="3">
        <f t="shared" si="25"/>
        <v>216.32880534550651</v>
      </c>
      <c r="F178" s="3">
        <f t="shared" si="26"/>
        <v>0</v>
      </c>
      <c r="G178" s="3">
        <f t="shared" si="27"/>
        <v>0</v>
      </c>
      <c r="H178" s="3">
        <f t="shared" si="28"/>
        <v>0</v>
      </c>
      <c r="I178" s="3">
        <f t="shared" si="29"/>
        <v>0</v>
      </c>
      <c r="J178" s="3">
        <f t="shared" si="30"/>
        <v>0</v>
      </c>
      <c r="K178" s="3">
        <f t="shared" si="31"/>
        <v>0</v>
      </c>
      <c r="L178" s="3">
        <f t="shared" si="32"/>
        <v>0</v>
      </c>
      <c r="M178" s="3">
        <f t="shared" si="33"/>
        <v>0</v>
      </c>
    </row>
    <row r="179" spans="3:13" x14ac:dyDescent="0.25">
      <c r="C179" s="3">
        <v>137</v>
      </c>
      <c r="D179" s="3">
        <f t="shared" si="24"/>
        <v>42.261822269106005</v>
      </c>
      <c r="E179" s="3">
        <f t="shared" si="25"/>
        <v>211.88316089340285</v>
      </c>
      <c r="F179" s="3">
        <f t="shared" si="26"/>
        <v>0</v>
      </c>
      <c r="G179" s="3">
        <f t="shared" si="27"/>
        <v>0</v>
      </c>
      <c r="H179" s="3">
        <f t="shared" si="28"/>
        <v>0</v>
      </c>
      <c r="I179" s="3">
        <f t="shared" si="29"/>
        <v>0</v>
      </c>
      <c r="J179" s="3">
        <f t="shared" si="30"/>
        <v>0</v>
      </c>
      <c r="K179" s="3">
        <f t="shared" si="31"/>
        <v>0</v>
      </c>
      <c r="L179" s="3">
        <f t="shared" si="32"/>
        <v>0</v>
      </c>
      <c r="M179" s="3">
        <f t="shared" si="33"/>
        <v>0</v>
      </c>
    </row>
    <row r="180" spans="3:13" x14ac:dyDescent="0.25">
      <c r="C180" s="3">
        <v>138</v>
      </c>
      <c r="D180" s="3">
        <f t="shared" si="24"/>
        <v>33.320099200506633</v>
      </c>
      <c r="E180" s="3">
        <f t="shared" si="25"/>
        <v>207.55495943127673</v>
      </c>
      <c r="F180" s="3">
        <f t="shared" si="26"/>
        <v>1146.4358816342121</v>
      </c>
      <c r="G180" s="3">
        <f t="shared" si="27"/>
        <v>0</v>
      </c>
      <c r="H180" s="3">
        <f t="shared" si="28"/>
        <v>0</v>
      </c>
      <c r="I180" s="3">
        <f t="shared" si="29"/>
        <v>0</v>
      </c>
      <c r="J180" s="3">
        <f t="shared" si="30"/>
        <v>0</v>
      </c>
      <c r="K180" s="3">
        <f t="shared" si="31"/>
        <v>0</v>
      </c>
      <c r="L180" s="3">
        <f t="shared" si="32"/>
        <v>0</v>
      </c>
      <c r="M180" s="3">
        <f t="shared" si="33"/>
        <v>0</v>
      </c>
    </row>
    <row r="181" spans="3:13" x14ac:dyDescent="0.25">
      <c r="C181" s="3">
        <v>139</v>
      </c>
      <c r="D181" s="3">
        <f t="shared" si="24"/>
        <v>35.48086794154375</v>
      </c>
      <c r="E181" s="3">
        <f t="shared" si="25"/>
        <v>226.88071780889749</v>
      </c>
      <c r="F181" s="3">
        <f t="shared" si="26"/>
        <v>0</v>
      </c>
      <c r="G181" s="3">
        <f t="shared" si="27"/>
        <v>0</v>
      </c>
      <c r="H181" s="3">
        <f t="shared" si="28"/>
        <v>0</v>
      </c>
      <c r="I181" s="3">
        <f t="shared" si="29"/>
        <v>0</v>
      </c>
      <c r="J181" s="3">
        <f t="shared" si="30"/>
        <v>0</v>
      </c>
      <c r="K181" s="3">
        <f t="shared" si="31"/>
        <v>0</v>
      </c>
      <c r="L181" s="3">
        <f t="shared" si="32"/>
        <v>0</v>
      </c>
      <c r="M181" s="3">
        <f t="shared" si="33"/>
        <v>0</v>
      </c>
    </row>
    <row r="182" spans="3:13" x14ac:dyDescent="0.25">
      <c r="C182" s="3">
        <v>140</v>
      </c>
      <c r="D182" s="3">
        <f t="shared" si="24"/>
        <v>37.596937331164874</v>
      </c>
      <c r="E182" s="3">
        <f t="shared" si="25"/>
        <v>222.18728591021826</v>
      </c>
      <c r="F182" s="3">
        <f t="shared" si="26"/>
        <v>0</v>
      </c>
      <c r="G182" s="3">
        <f t="shared" si="27"/>
        <v>0</v>
      </c>
      <c r="H182" s="3">
        <f t="shared" si="28"/>
        <v>0</v>
      </c>
      <c r="I182" s="3">
        <f t="shared" si="29"/>
        <v>0</v>
      </c>
      <c r="J182" s="3">
        <f t="shared" si="30"/>
        <v>0</v>
      </c>
      <c r="K182" s="3">
        <f t="shared" si="31"/>
        <v>0</v>
      </c>
      <c r="L182" s="3">
        <f t="shared" si="32"/>
        <v>0</v>
      </c>
      <c r="M182" s="3">
        <f t="shared" si="33"/>
        <v>0</v>
      </c>
    </row>
    <row r="183" spans="3:13" x14ac:dyDescent="0.25">
      <c r="C183" s="3">
        <v>141</v>
      </c>
      <c r="D183" s="3">
        <f t="shared" si="24"/>
        <v>39.669303677205775</v>
      </c>
      <c r="E183" s="3">
        <f t="shared" si="25"/>
        <v>217.59846633429501</v>
      </c>
      <c r="F183" s="3">
        <f t="shared" si="26"/>
        <v>0</v>
      </c>
      <c r="G183" s="3">
        <f t="shared" si="27"/>
        <v>0</v>
      </c>
      <c r="H183" s="3">
        <f t="shared" si="28"/>
        <v>0</v>
      </c>
      <c r="I183" s="3">
        <f t="shared" si="29"/>
        <v>0</v>
      </c>
      <c r="J183" s="3">
        <f t="shared" si="30"/>
        <v>0</v>
      </c>
      <c r="K183" s="3">
        <f t="shared" si="31"/>
        <v>0</v>
      </c>
      <c r="L183" s="3">
        <f t="shared" si="32"/>
        <v>0</v>
      </c>
      <c r="M183" s="3">
        <f t="shared" si="33"/>
        <v>0</v>
      </c>
    </row>
    <row r="184" spans="3:13" x14ac:dyDescent="0.25">
      <c r="C184" s="3">
        <v>142</v>
      </c>
      <c r="D184" s="3">
        <f t="shared" si="24"/>
        <v>41.699024151931859</v>
      </c>
      <c r="E184" s="3">
        <f t="shared" si="25"/>
        <v>213.12064984623908</v>
      </c>
      <c r="F184" s="3">
        <f t="shared" si="26"/>
        <v>0</v>
      </c>
      <c r="G184" s="3">
        <f t="shared" si="27"/>
        <v>0</v>
      </c>
      <c r="H184" s="3">
        <f t="shared" si="28"/>
        <v>0</v>
      </c>
      <c r="I184" s="3">
        <f t="shared" si="29"/>
        <v>0</v>
      </c>
      <c r="J184" s="3">
        <f t="shared" si="30"/>
        <v>0</v>
      </c>
      <c r="K184" s="3">
        <f t="shared" si="31"/>
        <v>0</v>
      </c>
      <c r="L184" s="3">
        <f t="shared" si="32"/>
        <v>0</v>
      </c>
      <c r="M184" s="3">
        <f t="shared" si="33"/>
        <v>0</v>
      </c>
    </row>
    <row r="185" spans="3:13" x14ac:dyDescent="0.25">
      <c r="C185" s="3">
        <v>143</v>
      </c>
      <c r="D185" s="3">
        <f t="shared" si="24"/>
        <v>43.687205292158055</v>
      </c>
      <c r="E185" s="3">
        <f t="shared" si="25"/>
        <v>208.75901972375073</v>
      </c>
      <c r="F185" s="3">
        <f t="shared" si="26"/>
        <v>0</v>
      </c>
      <c r="G185" s="3">
        <f t="shared" si="27"/>
        <v>0</v>
      </c>
      <c r="H185" s="3">
        <f t="shared" si="28"/>
        <v>0</v>
      </c>
      <c r="I185" s="3">
        <f t="shared" si="29"/>
        <v>0</v>
      </c>
      <c r="J185" s="3">
        <f t="shared" si="30"/>
        <v>0</v>
      </c>
      <c r="K185" s="3">
        <f t="shared" si="31"/>
        <v>0</v>
      </c>
      <c r="L185" s="3">
        <f t="shared" si="32"/>
        <v>0</v>
      </c>
      <c r="M185" s="3">
        <f t="shared" si="33"/>
        <v>0</v>
      </c>
    </row>
    <row r="186" spans="3:13" x14ac:dyDescent="0.25">
      <c r="C186" s="3">
        <v>144</v>
      </c>
      <c r="D186" s="3">
        <f t="shared" si="24"/>
        <v>45.634992706170848</v>
      </c>
      <c r="E186" s="3">
        <f t="shared" si="25"/>
        <v>204.51767847134386</v>
      </c>
      <c r="F186" s="3">
        <f t="shared" si="26"/>
        <v>0</v>
      </c>
      <c r="G186" s="3">
        <f t="shared" si="27"/>
        <v>0</v>
      </c>
      <c r="H186" s="3">
        <f t="shared" si="28"/>
        <v>0</v>
      </c>
      <c r="I186" s="3">
        <f t="shared" si="29"/>
        <v>0</v>
      </c>
      <c r="J186" s="3">
        <f t="shared" si="30"/>
        <v>0</v>
      </c>
      <c r="K186" s="3">
        <f t="shared" si="31"/>
        <v>0</v>
      </c>
      <c r="L186" s="3">
        <f t="shared" si="32"/>
        <v>0</v>
      </c>
      <c r="M186" s="3">
        <f t="shared" si="33"/>
        <v>0</v>
      </c>
    </row>
    <row r="187" spans="3:13" x14ac:dyDescent="0.25">
      <c r="C187" s="3">
        <v>145</v>
      </c>
      <c r="D187" s="3">
        <f t="shared" si="24"/>
        <v>47.543561919863478</v>
      </c>
      <c r="E187" s="3">
        <f t="shared" si="25"/>
        <v>200.39976743772598</v>
      </c>
      <c r="F187" s="3">
        <f t="shared" si="26"/>
        <v>0</v>
      </c>
      <c r="G187" s="3">
        <f t="shared" si="27"/>
        <v>0</v>
      </c>
      <c r="H187" s="3">
        <f t="shared" si="28"/>
        <v>0</v>
      </c>
      <c r="I187" s="3">
        <f t="shared" si="29"/>
        <v>0</v>
      </c>
      <c r="J187" s="3">
        <f t="shared" si="30"/>
        <v>0</v>
      </c>
      <c r="K187" s="3">
        <f t="shared" si="31"/>
        <v>0</v>
      </c>
      <c r="L187" s="3">
        <f t="shared" si="32"/>
        <v>0</v>
      </c>
      <c r="M187" s="3">
        <f t="shared" si="33"/>
        <v>0</v>
      </c>
    </row>
    <row r="188" spans="3:13" x14ac:dyDescent="0.25">
      <c r="C188" s="3">
        <v>146</v>
      </c>
      <c r="D188" s="3">
        <f t="shared" si="24"/>
        <v>49.414110289070159</v>
      </c>
      <c r="E188" s="3">
        <f t="shared" si="25"/>
        <v>196.40757876670125</v>
      </c>
      <c r="F188" s="3">
        <f t="shared" si="26"/>
        <v>0</v>
      </c>
      <c r="G188" s="3">
        <f t="shared" si="27"/>
        <v>0</v>
      </c>
      <c r="H188" s="3">
        <f t="shared" si="28"/>
        <v>0</v>
      </c>
      <c r="I188" s="3">
        <f t="shared" si="29"/>
        <v>0</v>
      </c>
      <c r="J188" s="3">
        <f t="shared" si="30"/>
        <v>0</v>
      </c>
      <c r="K188" s="3">
        <f t="shared" si="31"/>
        <v>0</v>
      </c>
      <c r="L188" s="3">
        <f t="shared" si="32"/>
        <v>0</v>
      </c>
      <c r="M188" s="3">
        <f t="shared" si="33"/>
        <v>0</v>
      </c>
    </row>
    <row r="189" spans="3:13" x14ac:dyDescent="0.25">
      <c r="C189" s="3">
        <v>147</v>
      </c>
      <c r="D189" s="3">
        <f t="shared" si="24"/>
        <v>51.247849902263063</v>
      </c>
      <c r="E189" s="3">
        <f t="shared" si="25"/>
        <v>192.54265938525538</v>
      </c>
      <c r="F189" s="3">
        <f t="shared" si="26"/>
        <v>0</v>
      </c>
      <c r="G189" s="3">
        <f t="shared" si="27"/>
        <v>0</v>
      </c>
      <c r="H189" s="3">
        <f t="shared" si="28"/>
        <v>0</v>
      </c>
      <c r="I189" s="3">
        <f t="shared" si="29"/>
        <v>0</v>
      </c>
      <c r="J189" s="3">
        <f t="shared" si="30"/>
        <v>0</v>
      </c>
      <c r="K189" s="3">
        <f t="shared" si="31"/>
        <v>0</v>
      </c>
      <c r="L189" s="3">
        <f t="shared" si="32"/>
        <v>0</v>
      </c>
      <c r="M189" s="3">
        <f t="shared" si="33"/>
        <v>0</v>
      </c>
    </row>
    <row r="190" spans="3:13" x14ac:dyDescent="0.25">
      <c r="C190" s="3">
        <v>148</v>
      </c>
      <c r="D190" s="3">
        <f t="shared" si="24"/>
        <v>53.046001397042815</v>
      </c>
      <c r="E190" s="3">
        <f t="shared" si="25"/>
        <v>188.80590695187402</v>
      </c>
      <c r="F190" s="3">
        <f t="shared" si="26"/>
        <v>0</v>
      </c>
      <c r="G190" s="3">
        <f t="shared" si="27"/>
        <v>0</v>
      </c>
      <c r="H190" s="3">
        <f t="shared" si="28"/>
        <v>0</v>
      </c>
      <c r="I190" s="3">
        <f t="shared" si="29"/>
        <v>0</v>
      </c>
      <c r="J190" s="3">
        <f t="shared" si="30"/>
        <v>0</v>
      </c>
      <c r="K190" s="3">
        <f t="shared" si="31"/>
        <v>0</v>
      </c>
      <c r="L190" s="3">
        <f t="shared" si="32"/>
        <v>0</v>
      </c>
      <c r="M190" s="3">
        <f t="shared" si="33"/>
        <v>0</v>
      </c>
    </row>
    <row r="191" spans="3:13" x14ac:dyDescent="0.25">
      <c r="C191" s="3">
        <v>149</v>
      </c>
      <c r="D191" s="3">
        <f t="shared" si="24"/>
        <v>54.809788614759931</v>
      </c>
      <c r="E191" s="3">
        <f t="shared" si="25"/>
        <v>185.1976578602972</v>
      </c>
      <c r="F191" s="3">
        <f t="shared" si="26"/>
        <v>0</v>
      </c>
      <c r="G191" s="3">
        <f t="shared" si="27"/>
        <v>0</v>
      </c>
      <c r="H191" s="3">
        <f t="shared" si="28"/>
        <v>0</v>
      </c>
      <c r="I191" s="3">
        <f t="shared" si="29"/>
        <v>0</v>
      </c>
      <c r="J191" s="3">
        <f t="shared" si="30"/>
        <v>0</v>
      </c>
      <c r="K191" s="3">
        <f t="shared" si="31"/>
        <v>0</v>
      </c>
      <c r="L191" s="3">
        <f t="shared" si="32"/>
        <v>0</v>
      </c>
      <c r="M191" s="3">
        <f t="shared" si="33"/>
        <v>0</v>
      </c>
    </row>
    <row r="192" spans="3:13" x14ac:dyDescent="0.25">
      <c r="C192" s="3">
        <v>150</v>
      </c>
      <c r="D192" s="3">
        <f t="shared" si="24"/>
        <v>56.540434019763524</v>
      </c>
      <c r="E192" s="3">
        <f t="shared" si="25"/>
        <v>181.71776752537667</v>
      </c>
      <c r="F192" s="3">
        <f t="shared" si="26"/>
        <v>0</v>
      </c>
      <c r="G192" s="3">
        <f t="shared" si="27"/>
        <v>0</v>
      </c>
      <c r="H192" s="3">
        <f t="shared" si="28"/>
        <v>0</v>
      </c>
      <c r="I192" s="3">
        <f t="shared" si="29"/>
        <v>0</v>
      </c>
      <c r="J192" s="3">
        <f t="shared" si="30"/>
        <v>0</v>
      </c>
      <c r="K192" s="3">
        <f t="shared" si="31"/>
        <v>0</v>
      </c>
      <c r="L192" s="3">
        <f t="shared" si="32"/>
        <v>0</v>
      </c>
      <c r="M192" s="3">
        <f t="shared" si="33"/>
        <v>0</v>
      </c>
    </row>
  </sheetData>
  <sheetProtection sheet="1" objects="1" scenarios="1" formatCells="0" formatColumns="0" formatRows="0"/>
  <mergeCells count="1">
    <mergeCell ref="N12:O12"/>
  </mergeCells>
  <conditionalFormatting sqref="D7:K10 D12:K12 D14:K16">
    <cfRule type="expression" dxfId="12" priority="5">
      <formula>AND(COUNTBLANK(D$7:D$16)&lt;10, ISBLANK(D7))</formula>
    </cfRule>
    <cfRule type="cellIs" dxfId="11" priority="8" operator="lessThan">
      <formula>0</formula>
    </cfRule>
  </conditionalFormatting>
  <conditionalFormatting sqref="N16:N17">
    <cfRule type="cellIs" dxfId="10" priority="7" operator="lessThanOrEqual">
      <formula>$I$40</formula>
    </cfRule>
  </conditionalFormatting>
  <conditionalFormatting sqref="N7:Q9">
    <cfRule type="expression" dxfId="9" priority="3">
      <formula>AND(COUNTBLANK(N$7:N$9)&lt;3, ISBLANK(N7))</formula>
    </cfRule>
  </conditionalFormatting>
  <conditionalFormatting sqref="D7:K10 D12:K12 D14:K16 N7:Q9 N14:N15">
    <cfRule type="expression" dxfId="8" priority="4">
      <formula>ISTEXT(D7)</formula>
    </cfRule>
  </conditionalFormatting>
  <conditionalFormatting sqref="D8:K8">
    <cfRule type="cellIs" dxfId="7" priority="1" operator="greaterThan">
      <formula>D7</formula>
    </cfRule>
  </conditionalFormatting>
  <dataValidations count="1">
    <dataValidation type="list" allowBlank="1" showInputMessage="1" showErrorMessage="1" sqref="N12:O12">
      <formula1>"No Compressor,1.1 Pump,Viair 90C"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Metric">
              <controlPr locked="0" defaultSize="0" autoFill="0" autoLine="0" autoPict="0" macro="[0]!Pneumatics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C2:R41"/>
  <sheetViews>
    <sheetView zoomScaleNormal="100" workbookViewId="0"/>
  </sheetViews>
  <sheetFormatPr defaultColWidth="9.140625" defaultRowHeight="15" x14ac:dyDescent="0.25"/>
  <cols>
    <col min="1" max="1" width="7.140625" style="1" customWidth="1"/>
    <col min="2" max="2" width="3.28515625" style="1" customWidth="1"/>
    <col min="3" max="3" width="12.85546875" style="1" customWidth="1"/>
    <col min="4" max="4" width="9.140625" style="1"/>
    <col min="5" max="5" width="14.7109375" style="1" customWidth="1"/>
    <col min="6" max="6" width="12.85546875" style="1" customWidth="1"/>
    <col min="7" max="7" width="9.140625" style="1"/>
    <col min="8" max="8" width="3.140625" style="1" customWidth="1"/>
    <col min="9" max="9" width="22.42578125" style="1" customWidth="1"/>
    <col min="10" max="10" width="3.140625" style="1" customWidth="1"/>
    <col min="11" max="16384" width="9.140625" style="1"/>
  </cols>
  <sheetData>
    <row r="2" spans="3:16" ht="31.5" x14ac:dyDescent="0.25">
      <c r="C2" s="2" t="s">
        <v>216</v>
      </c>
    </row>
    <row r="3" spans="3:16" x14ac:dyDescent="0.25">
      <c r="K3" s="80" t="s">
        <v>102</v>
      </c>
      <c r="M3" s="118" t="b">
        <v>1</v>
      </c>
      <c r="N3" s="116"/>
      <c r="O3" s="119" t="b">
        <v>1</v>
      </c>
      <c r="P3" s="117"/>
    </row>
    <row r="4" spans="3:16" ht="18.75" x14ac:dyDescent="0.25">
      <c r="C4" s="156" t="s">
        <v>99</v>
      </c>
      <c r="D4" s="156"/>
      <c r="F4" s="156" t="s">
        <v>102</v>
      </c>
      <c r="G4" s="156"/>
      <c r="I4" s="171" t="s">
        <v>233</v>
      </c>
    </row>
    <row r="5" spans="3:16" ht="15" customHeight="1" x14ac:dyDescent="0.25">
      <c r="C5" s="95" t="s">
        <v>171</v>
      </c>
      <c r="D5" s="52">
        <v>40</v>
      </c>
      <c r="F5" s="95" t="s">
        <v>173</v>
      </c>
      <c r="G5" s="52">
        <v>120</v>
      </c>
      <c r="I5" s="172"/>
    </row>
    <row r="6" spans="3:16" x14ac:dyDescent="0.25">
      <c r="C6" s="95" t="s">
        <v>172</v>
      </c>
      <c r="D6" s="52">
        <v>90</v>
      </c>
      <c r="F6" s="95" t="s">
        <v>174</v>
      </c>
      <c r="G6" s="52">
        <v>10</v>
      </c>
      <c r="I6" s="172"/>
    </row>
    <row r="7" spans="3:16" x14ac:dyDescent="0.25">
      <c r="C7" s="95" t="s">
        <v>173</v>
      </c>
      <c r="D7" s="52">
        <v>100</v>
      </c>
      <c r="F7" s="95" t="s">
        <v>175</v>
      </c>
      <c r="G7" s="52">
        <v>100</v>
      </c>
      <c r="I7" s="172"/>
    </row>
    <row r="8" spans="3:16" x14ac:dyDescent="0.25">
      <c r="C8" s="95" t="s">
        <v>174</v>
      </c>
      <c r="D8" s="52">
        <v>20</v>
      </c>
      <c r="F8" s="95" t="s">
        <v>176</v>
      </c>
      <c r="G8" s="52">
        <v>50</v>
      </c>
      <c r="I8" s="173"/>
    </row>
    <row r="9" spans="3:16" ht="15" customHeight="1" x14ac:dyDescent="0.25">
      <c r="C9" s="95" t="s">
        <v>175</v>
      </c>
      <c r="D9" s="52">
        <v>100</v>
      </c>
      <c r="F9" s="95" t="s">
        <v>177</v>
      </c>
      <c r="G9" s="74">
        <v>95</v>
      </c>
      <c r="H9" s="3">
        <f>RADIANS(G9)</f>
        <v>1.6580627893946132</v>
      </c>
    </row>
    <row r="10" spans="3:16" ht="15" customHeight="1" x14ac:dyDescent="0.25">
      <c r="C10" s="95" t="s">
        <v>176</v>
      </c>
      <c r="D10" s="52">
        <v>50</v>
      </c>
      <c r="F10" s="95" t="s">
        <v>178</v>
      </c>
      <c r="G10" s="74">
        <v>-10</v>
      </c>
      <c r="H10" s="3">
        <f>RADIANS(G10)</f>
        <v>-0.17453292519943295</v>
      </c>
      <c r="I10" s="171" t="s">
        <v>181</v>
      </c>
    </row>
    <row r="11" spans="3:16" x14ac:dyDescent="0.25">
      <c r="I11" s="172"/>
    </row>
    <row r="12" spans="3:16" x14ac:dyDescent="0.25">
      <c r="C12" s="95" t="s">
        <v>177</v>
      </c>
      <c r="D12" s="62">
        <f>DEGREES(ACOS(((-4*D5^3*D7 + 4*D5^2*D6*D8 + SQRT((4*D5^3*D7 - 4*D5^2*D6*D8 + 4*D5*D6^2*D7 - 4*D5*D9^2*D7 + 4*D5*D7^3 + 4*D5*D7*D8^2 - 4*D6^3*D8 + 4*D6*D9^2*D8 - 4*D6*D7^2*D8 - 4*D6*D8^3)^2 - 4*(4*D5^2*D7^2 + 4*D5^2*D8^2 + 4*D6^2*D7^2 + 4*D6^2*D8^2)*(D5^4 + 2*D5^2*D6^2 - 2*D5^2*D9^2 + 2*D5^2*D7^2 - 2*D5^2*D8^2 - 8*D5*D6*D7*D8 + D6^4 - 2*D6^2*D9^2 - 2*D6^2*D7^2 + 2*D6^2*D8^2 + D9^4 - 2*D9^2*D7^2 - 2*D9^2*D8^2 + D7^4 + 2*D7^2*D8^2 + D8^4)) - 4*D5*D6^2*D7 + 4*D5*D9^2*D7 - 4*D5*D7^3 - 4*D5*D7*D8^2 + 4*D6^3*D8 - 4*D6*D9^2*D8 + 4*D6*D7^2*D8 + 4*D6*D8^3)/(2*(4*D5^2*D7^2 + 4*D5^2*D8^2 + 4*D6^2*D7^2 + 4*D6^2*D8^2))))) * IF(D9&gt;SQRT((D6-D8)^2+(D5+D7)^2),-1,1)</f>
        <v>42.837483303602141</v>
      </c>
      <c r="F12" s="95" t="s">
        <v>171</v>
      </c>
      <c r="G12" s="44">
        <f>-G5*COS(H9)+G6*SIN(H9)+(G7*(4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SQRT((-4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2-4*(4*G7^2*G5^2*COS(H9)^2+4*G7^2*G6^2*COS(H9)^2-8*G7^2*G5^2*COS(H9)*COS(H10)-8*G7^2*G6^2*COS(H9)*COS(H10)+4*G7^2*G5^2*COS(H10)^2+4*G7^2*G6^2*COS(H10)^2+4*G7^2*G5^2*SIN(H9)^2+4*G7^2*G6^2*SIN(H9)^2-8*G7^2*G5^2*SIN(H9)*SIN(H10)-8*G7^2*G6^2*SIN(H9)*SIN(H10)+4*G7^2*G5^2*SIN(H10)^2+4*G7^2*G6^2*SIN(H10)^2)*(G7^4-2*G7^2*(G7+G8)^2+(G7+G8)^4+2*G7^2*G5^2*COS(H9)^2-2*(G7+G8)^2*G5^2*COS(H9)^2-2*G7^2*G6^2*COS(H9)^2-2*(G7+G8)^2*G6^2*COS(H9)^2+G5^4*COS(H9)^4+2*G5^2*G6^2*COS(H9)^4+G6^4*COS(H9)^4-4*G7^2*G5^2*COS(H9)*COS(H10)+4*(G7+G8)^2*G5^2*COS(H9)*COS(H10)+4*G7^2*G6^2*COS(H9)*COS(H10)+4*(G7+G8)^2*G6^2*COS(H9)*COS(H10)-4*G5^4*COS(H9)^3*COS(H10)-8*G5^2*G6^2*COS(H9)^3*COS(H10)-4*G6^4*COS(H9)^3*COS(H10)+2*G7^2*G5^2*COS(H10)^2-2*(G7+G8)^2*G5^2*COS(H10)^2-2*G7^2*G6^2*COS(H10)^2-2*(G7+G8)^2*G6^2*COS(H10)^2+6*G5^4*COS(H9)^2*COS(H10)^2+12*G5^2*G6^2*COS(H9)^2*COS(H10)^2+6*G6^4*COS(H9)^2*COS(H10)^2-4*G5^4*COS(H9)*COS(H10)^3-8*G5^2*G6^2*COS(H9)*COS(H10)^3-4*G6^4*COS(H9)*COS(H10)^3+G5^4*COS(H10)^4+2*G5^2*G6^2*COS(H10)^4+G6^4*COS(H10)^4-8*G7^2*G5*G6*COS(H9)*SIN(H9)+8*G7^2*G5*G6*COS(H10)*SIN(H9)-2*G7^2*G5^2*SIN(H9)^2-2*(G7+G8)^2*G5^2*SIN(H9)^2+2*G7^2*G6^2*SIN(H9)^2-2*(G7+G8)^2*G6^2*SIN(H9)^2+2*G5^4*COS(H9)^2*SIN(H9)^2+4*G5^2*G6^2*COS(H9)^2*SIN(H9)^2+2*G6^4*COS(H9)^2*SIN(H9)^2-4*G5^4*COS(H9)*COS(H10)*SIN(H9)^2-8*G5^2*G6^2*COS(H9)*COS(H10)*SIN(H9)^2-4*G6^4*COS(H9)*COS(H10)*SIN(H9)^2+2*G5^4*COS(H10)^2*SIN(H9)^2+4*G5^2*G6^2*COS(H10)^2*SIN(H9)^2+2*G6^4*COS(H10)^2*SIN(H9)^2+G5^4*SIN(H9)^4+2*G5^2*G6^2*SIN(H9)^4+G6^4*SIN(H9)^4+8*G7^2*G5*G6*COS(H9)*SIN(H10)-8*G7^2*G5*G6*COS(H10)*SIN(H10)+4*G7^2*G5^2*SIN(H9)*SIN(H10)+4*(G7+G8)^2*G5^2*SIN(H9)*SIN(H10)-4*G7^2*G6^2*SIN(H9)*SIN(H10)+4*(G7+G8)^2*G6^2*SIN(H9)*SIN(H10)-4*G5^4*COS(H9)^2*SIN(H9)*SIN(H10)-8*G5^2*G6^2*COS(H9)^2*SIN(H9)*SIN(H10)-4*G6^4*COS(H9)^2*SIN(H9)*SIN(H10)+8*G5^4*COS(H9)*COS(H10)*SIN(H9)*SIN(H10)+16*G5^2*G6^2*COS(H9)*COS(H10)*SIN(H9)*SIN(H10)+8*G6^4*COS(H9)*COS(H10)*SIN(H9)*SIN(H10)-4*G5^4*COS(H10)^2*SIN(H9)*SIN(H10)-8*G5^2*G6^2*COS(H10)^2*SIN(H9)*SIN(H10)-4*G6^4*COS(H10)^2*SIN(H9)*SIN(H10)-4*G5^4*SIN(H9)^3*SIN(H10)-8*G5^2*G6^2*SIN(H9)^3*SIN(H10)-4*G6^4*SIN(H9)^3*SIN(H10)-2*G7^2*G5^2*SIN(H10)^2-2*(G7+G8)^2*G5^2*SIN(H10)^2+2*G7^2*G6^2*SIN(H10)^2-2*(G7+G8)^2*G6^2*SIN(H10)^2+2*G5^4*COS(H9)^2*SIN(H10)^2+4*G5^2*G6^2*COS(H9)^2*SIN(H10)^2+2*G6^4*COS(H9)^2*SIN(H10)^2-4*G5^4*COS(H9)*COS(H10)*SIN(H10)^2-8*G5^2*G6^2*COS(H9)*COS(H10)*SIN(H10)^2-4*G6^4*COS(H9)*COS(H10)*SIN(H10)^2+2*G5^4*COS(H10)^2*SIN(H10)^2+4*G5^2*G6^2*COS(H10)^2*SIN(H10)^2+2*G6^4*COS(H10)^2*SIN(H10)^2+6*G5^4*SIN(H9)^2*SIN(H10)^2+12*G5^2*G6^2*SIN(H9)^2*SIN(H10)^2+6*G6^4*SIN(H9)^2*SIN(H10)^2-4*G5^4*SIN(H9)*SIN(H10)^3-8*G5^2*G6^2*SIN(H9)*SIN(H10)^3-4*G6^4*SIN(H9)*SIN(H10)^3+G5^4*SIN(H10)^4+2*G5^2*G6^2*SIN(H10)^4+G6^4*SIN(H10)^4))))/(2*(4*G7^2*G5^2*COS(H9)^2+4*G7^2*G6^2*COS(H9)^2-8*G7^2*G5^2*COS(H9)*COS(H10)-8*G7^2*G6^2*COS(H9)*COS(H10)+4*G7^2*G5^2*COS(H10)^2+4*G7^2*G6^2*COS(H10)^2+4*G7^2*G5^2*SIN(H9)^2+4*G7^2*G6^2*SIN(H9)^2-8*G7^2*G5^2*SIN(H9)*SIN(H10)-8*G7^2*G6^2*SIN(H9)*SIN(H10)+4*G7^2*G5^2*SIN(H10)^2+4*G7^2*G6^2*SIN(H10)^2))</f>
        <v>27.079710328018926</v>
      </c>
      <c r="I12" s="172"/>
    </row>
    <row r="13" spans="3:16" x14ac:dyDescent="0.25">
      <c r="C13" s="95" t="s">
        <v>178</v>
      </c>
      <c r="D13" s="62">
        <f>DEGREES(ACOS(((-4*D5^3*D7 + 4*D5^2*D6*D8 + SQRT((4*D5^3*D7 - 4*D5^2*D6*D8 + 4*D5*D6^2*D7 - 4*D5*(D9+D10)^2*D7 + 4*D5*D7^3 + 4*D5*D7*D8^2 - 4*D6^3*D8 + 4*D6*(D9+D10)^2*D8 - 4*D6*D7^2*D8 - 4*D6*D8^3)^2 - 4*(4*D5^2*D7^2 + 4*D5^2*D8^2 + 4*D6^2*D7^2 + 4*D6^2*D8^2)*(D5^4 + 2*D5^2*D6^2 - 2*D5^2*(D9+D10)^2 + 2*D5^2*D7^2 - 2*D5^2*D8^2 - 8*D5*D6*D7*D8 + D6^4 - 2*D6^2*(D9+D10)^2 - 2*D6^2*D7^2 + 2*D6^2*D8^2 + (D9+D10)^4 - 2*(D9+D10)^2*D7^2 - 2*(D9+D10)^2*D8^2 + D7^4 + 2*D7^2*D8^2 + D8^4)) - 4*D5*D6^2*D7 + 4*D5*(D9+D10)^2*D7 - 4*D5*D7^3 - 4*D5*D7*D8^2 + 4*D6^3*D8 - 4*D6*(D9+D10)^2*D8 + 4*D6*D7^2*D8 + 4*D6*D8^3)/(2*(4*D5^2*D7^2 + 4*D5^2*D8^2 + 4*D6^2*D7^2 + 4*D6^2*D8^2))))) * IF((D9+D10)&gt;SQRT((D6-D8)^2+(D5+D7)^2),-1,1)</f>
        <v>5.7907256701870562</v>
      </c>
      <c r="F13" s="95" t="s">
        <v>172</v>
      </c>
      <c r="G13" s="44">
        <f>G5*SIN(H9)+G6*COS(H9)-SQRT(G7^2-(G12+G5*COS(H9)-G6*SIN(H9))^2)</f>
        <v>18.893769027862092</v>
      </c>
      <c r="I13" s="173"/>
    </row>
    <row r="30" spans="11:18" x14ac:dyDescent="0.25">
      <c r="K30" s="170" t="s">
        <v>231</v>
      </c>
      <c r="L30" s="170"/>
      <c r="M30" s="170"/>
      <c r="N30" s="170"/>
      <c r="O30" s="170"/>
      <c r="P30" s="170"/>
      <c r="Q30" s="170"/>
      <c r="R30" s="170"/>
    </row>
    <row r="31" spans="11:18" x14ac:dyDescent="0.25">
      <c r="K31" s="1" t="s">
        <v>232</v>
      </c>
    </row>
    <row r="32" spans="11:18" x14ac:dyDescent="0.25">
      <c r="K32" s="1" t="s">
        <v>182</v>
      </c>
    </row>
    <row r="33" spans="11:18" x14ac:dyDescent="0.25">
      <c r="K33" s="3" t="s">
        <v>171</v>
      </c>
      <c r="L33" s="3" t="s">
        <v>172</v>
      </c>
      <c r="M33" s="3" t="s">
        <v>173</v>
      </c>
      <c r="N33" s="3" t="s">
        <v>174</v>
      </c>
      <c r="O33" s="3" t="s">
        <v>179</v>
      </c>
      <c r="P33" s="3" t="s">
        <v>180</v>
      </c>
      <c r="Q33" s="3" t="s">
        <v>229</v>
      </c>
      <c r="R33" s="3" t="s">
        <v>230</v>
      </c>
    </row>
    <row r="34" spans="11:18" x14ac:dyDescent="0.25">
      <c r="K34" s="79">
        <f>IF($K$3="Forward", D5, G12)</f>
        <v>27.079710328018926</v>
      </c>
      <c r="L34" s="79">
        <f>IF($K$3="Forward", D6, G13)</f>
        <v>18.893769027862092</v>
      </c>
      <c r="M34" s="79">
        <f>IF($K$3="Forward", D7, G5)</f>
        <v>120</v>
      </c>
      <c r="N34" s="79">
        <f>IF($K$3="Forward", D8, G6)</f>
        <v>10</v>
      </c>
      <c r="O34" s="79">
        <f>RADIANS(IF($K$3="Forward", D12, G9))</f>
        <v>1.6580627893946132</v>
      </c>
      <c r="P34" s="79">
        <f>RADIANS(IF($K$3="Forward", D13, G10))</f>
        <v>-0.17453292519943295</v>
      </c>
      <c r="Q34" s="79">
        <f>IF($K$3="Forward", D9, G7)</f>
        <v>100</v>
      </c>
      <c r="R34" s="79">
        <f>Q34+IF($K$3="Forward", D10, G8)</f>
        <v>150</v>
      </c>
    </row>
    <row r="35" spans="11:18" x14ac:dyDescent="0.25">
      <c r="K35" s="3">
        <v>0</v>
      </c>
      <c r="L35" s="3">
        <v>0</v>
      </c>
      <c r="M35" s="3">
        <f>IF($M$3, 1.5*$M$34*COS(O34), 0)</f>
        <v>-15.688033694578483</v>
      </c>
      <c r="N35" s="3">
        <f>IF($M$3, 1.5*$M$34*SIN(O34), 0)</f>
        <v>179.3150456565142</v>
      </c>
      <c r="O35" s="3"/>
      <c r="P35" s="3"/>
      <c r="Q35" s="3"/>
      <c r="R35" s="3"/>
    </row>
    <row r="36" spans="11:18" x14ac:dyDescent="0.25">
      <c r="K36" s="3">
        <f>IF($M$3, $M$34*COS(O34), 0)</f>
        <v>-10.458689129718989</v>
      </c>
      <c r="L36" s="3">
        <f>IF($M$3, $M$34*SIN(O34), 0)</f>
        <v>119.54336377100947</v>
      </c>
      <c r="M36" s="3">
        <f>IF($M$3, K36-$N$34*SIN(O34), 0)</f>
        <v>-20.420636110636444</v>
      </c>
      <c r="N36" s="3">
        <f>IF($M$3, L36+$N$34*COS(O34), 0)</f>
        <v>118.67180634353288</v>
      </c>
      <c r="O36" s="3"/>
      <c r="P36" s="3"/>
      <c r="Q36" s="3"/>
      <c r="R36" s="3"/>
    </row>
    <row r="37" spans="11:18" x14ac:dyDescent="0.25">
      <c r="K37" s="79">
        <f>IF($M$3, -$K$34, 0)</f>
        <v>-27.079710328018926</v>
      </c>
      <c r="L37" s="79">
        <f>IF($M$3, $L$34, 0)</f>
        <v>18.893769027862092</v>
      </c>
      <c r="M37" s="3">
        <f>IF($M$3, K37+(M36-K37)*0.9, 0)</f>
        <v>-21.086543532374691</v>
      </c>
      <c r="N37" s="3">
        <f>IF($M$3, L37+(N36-L37)*0.9, 0)</f>
        <v>108.6940026119658</v>
      </c>
      <c r="O37" s="3"/>
      <c r="P37" s="79">
        <f>IF(OR($M$3, $O$3), -K34, 0)</f>
        <v>-27.079710328018926</v>
      </c>
      <c r="Q37" s="79">
        <f>IF(OR($M$3, $O$3), L34, 0)</f>
        <v>18.893769027862092</v>
      </c>
      <c r="R37" s="3"/>
    </row>
    <row r="38" spans="11:18" x14ac:dyDescent="0.25">
      <c r="K38" s="3">
        <v>0</v>
      </c>
      <c r="L38" s="3">
        <v>0</v>
      </c>
      <c r="M38" s="3">
        <f>IF($O$3, 1.5*$M$34*COS(P34), 0)</f>
        <v>177.26539554219744</v>
      </c>
      <c r="N38" s="3">
        <f>IF($O$3, 1.5*$M$34*SIN(P34), 0)</f>
        <v>-31.256671980047461</v>
      </c>
      <c r="O38" s="3"/>
      <c r="P38" s="3"/>
      <c r="Q38" s="3"/>
      <c r="R38" s="3"/>
    </row>
    <row r="39" spans="11:18" x14ac:dyDescent="0.25">
      <c r="K39" s="3">
        <f>IF($O$3, $M$34*COS(P34), 0)</f>
        <v>118.17693036146497</v>
      </c>
      <c r="L39" s="3">
        <f>IF($O$3, $M$34*SIN(P34), 0)</f>
        <v>-20.837781320031638</v>
      </c>
      <c r="M39" s="3">
        <f>IF($O$3, K39-$N$34*SIN(P34), 0)</f>
        <v>119.91341213813428</v>
      </c>
      <c r="N39" s="3">
        <f>IF($O$3, L39+$N$34*COS(P34), 0)</f>
        <v>-10.989703789909559</v>
      </c>
      <c r="O39" s="3"/>
      <c r="P39" s="3"/>
      <c r="Q39" s="3"/>
      <c r="R39" s="3"/>
    </row>
    <row r="40" spans="11:18" x14ac:dyDescent="0.25">
      <c r="K40" s="79">
        <f>IF($O$3, -$K$34, 0)</f>
        <v>-27.079710328018926</v>
      </c>
      <c r="L40" s="79">
        <f>IF($O$3, $L$34, 0)</f>
        <v>18.893769027862092</v>
      </c>
      <c r="M40" s="3">
        <f>IF($O$3, K40+(M39-K40)*($Q$34/$R$34)*0.9, 0)</f>
        <v>61.116163151673</v>
      </c>
      <c r="N40" s="3">
        <f>IF($O$3, L40+(N39-L40)*($Q$34/$R$34)*0.9, 0)</f>
        <v>0.96368533719910232</v>
      </c>
      <c r="O40" s="3"/>
      <c r="P40" s="3"/>
      <c r="Q40" s="3"/>
      <c r="R40" s="3"/>
    </row>
    <row r="41" spans="11:18" x14ac:dyDescent="0.25">
      <c r="K41" s="3">
        <v>0</v>
      </c>
      <c r="L41" s="3">
        <f>MIN(K35:N40)*1.1</f>
        <v>-34.382339178052213</v>
      </c>
      <c r="M41" s="3">
        <f>MAX(K35:N40)*1.1</f>
        <v>197.24655022216564</v>
      </c>
      <c r="N41" s="3">
        <f>M41/1.1</f>
        <v>179.3150456565142</v>
      </c>
      <c r="O41" s="3"/>
      <c r="P41" s="3"/>
      <c r="Q41" s="3"/>
      <c r="R41" s="3"/>
    </row>
  </sheetData>
  <sheetProtection sheet="1" objects="1" scenarios="1" formatCells="0" formatColumns="0" formatRows="0"/>
  <mergeCells count="5">
    <mergeCell ref="K30:R30"/>
    <mergeCell ref="C4:D4"/>
    <mergeCell ref="F4:G4"/>
    <mergeCell ref="I10:I13"/>
    <mergeCell ref="I4:I8"/>
  </mergeCells>
  <conditionalFormatting sqref="D5:D10 G5:G8">
    <cfRule type="cellIs" dxfId="6" priority="7" operator="lessThan">
      <formula>0</formula>
    </cfRule>
  </conditionalFormatting>
  <conditionalFormatting sqref="D7 G5">
    <cfRule type="cellIs" dxfId="5" priority="6" operator="equal">
      <formula>0</formula>
    </cfRule>
  </conditionalFormatting>
  <conditionalFormatting sqref="D5:D10 G5:G10">
    <cfRule type="expression" dxfId="4" priority="4">
      <formula>ISTEXT(D5)</formula>
    </cfRule>
  </conditionalFormatting>
  <conditionalFormatting sqref="D5:D10 G5:G10 K3">
    <cfRule type="containsBlanks" dxfId="3" priority="5">
      <formula>LEN(TRIM(D3))=0</formula>
    </cfRule>
  </conditionalFormatting>
  <conditionalFormatting sqref="D5:D10">
    <cfRule type="expression" dxfId="2" priority="3">
      <formula>ISERROR($D$12:$D$13)</formula>
    </cfRule>
  </conditionalFormatting>
  <conditionalFormatting sqref="G9:G10">
    <cfRule type="cellIs" dxfId="1" priority="2" operator="notBetween">
      <formula>180</formula>
      <formula>-90</formula>
    </cfRule>
  </conditionalFormatting>
  <conditionalFormatting sqref="G5:G10">
    <cfRule type="expression" dxfId="0" priority="1">
      <formula>ISERROR($G$12:$G$13)</formula>
    </cfRule>
  </conditionalFormatting>
  <dataValidations count="1">
    <dataValidation type="list" allowBlank="1" showErrorMessage="1" sqref="K3">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Check Box 2">
              <controlPr locked="0" defaultSize="0" autoFill="0" autoLine="0" autoPict="0">
                <anchor moveWithCells="1">
                  <from>
                    <xdr:col>12</xdr:col>
                    <xdr:colOff>0</xdr:colOff>
                    <xdr:row>2</xdr:row>
                    <xdr:rowOff>9525</xdr:rowOff>
                  </from>
                  <to>
                    <xdr:col>13</xdr:col>
                    <xdr:colOff>409575</xdr:colOff>
                    <xdr:row>2</xdr:row>
                    <xdr:rowOff>180975</xdr:rowOff>
                  </to>
                </anchor>
              </controlPr>
            </control>
          </mc:Choice>
        </mc:AlternateContent>
        <mc:AlternateContent xmlns:mc="http://schemas.openxmlformats.org/markup-compatibility/2006">
          <mc:Choice Requires="x14">
            <control shapeId="26627" r:id="rId5" name="Check Box 3">
              <controlPr locked="0" defaultSize="0" autoFill="0" autoLine="0" autoPict="0">
                <anchor moveWithCells="1">
                  <from>
                    <xdr:col>13</xdr:col>
                    <xdr:colOff>409575</xdr:colOff>
                    <xdr:row>2</xdr:row>
                    <xdr:rowOff>9525</xdr:rowOff>
                  </from>
                  <to>
                    <xdr:col>15</xdr:col>
                    <xdr:colOff>209550</xdr:colOff>
                    <xdr:row>2</xdr:row>
                    <xdr:rowOff>180975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S30"/>
  <sheetViews>
    <sheetView workbookViewId="0"/>
  </sheetViews>
  <sheetFormatPr defaultRowHeight="15" x14ac:dyDescent="0.25"/>
  <cols>
    <col min="1" max="1" width="9.140625" style="1"/>
    <col min="2" max="2" width="18.7109375" style="1" customWidth="1"/>
    <col min="3" max="3" width="16.85546875" style="1" customWidth="1"/>
    <col min="4" max="4" width="17" style="1" customWidth="1"/>
    <col min="5" max="5" width="15.140625" style="1" customWidth="1"/>
    <col min="6" max="6" width="15" style="1" customWidth="1"/>
    <col min="7" max="7" width="12.28515625" style="1" customWidth="1"/>
    <col min="8" max="9" width="9.140625" style="1"/>
    <col min="10" max="10" width="9.85546875" style="1" customWidth="1"/>
    <col min="11" max="16" width="9.140625" style="1"/>
    <col min="17" max="17" width="11.28515625" style="1" customWidth="1"/>
    <col min="18" max="19" width="22.28515625" style="1" customWidth="1"/>
    <col min="20" max="16384" width="9.140625" style="1"/>
  </cols>
  <sheetData>
    <row r="2" spans="1:19" ht="31.5" x14ac:dyDescent="0.25">
      <c r="B2" s="2" t="s">
        <v>217</v>
      </c>
      <c r="J2" s="2" t="s">
        <v>24</v>
      </c>
      <c r="Q2" s="2" t="s">
        <v>222</v>
      </c>
    </row>
    <row r="3" spans="1:19" x14ac:dyDescent="0.25">
      <c r="B3" s="174"/>
    </row>
    <row r="4" spans="1:19" x14ac:dyDescent="0.25">
      <c r="A4" s="174"/>
      <c r="B4" s="174"/>
      <c r="C4" s="175" t="s">
        <v>1</v>
      </c>
      <c r="D4" s="176" t="s">
        <v>2</v>
      </c>
      <c r="E4" s="176" t="s">
        <v>3</v>
      </c>
      <c r="F4" s="176" t="s">
        <v>4</v>
      </c>
      <c r="G4" s="177" t="s">
        <v>5</v>
      </c>
      <c r="J4" s="97"/>
      <c r="K4" s="178" t="s">
        <v>25</v>
      </c>
      <c r="L4" s="179" t="s">
        <v>26</v>
      </c>
      <c r="M4" s="179" t="s">
        <v>27</v>
      </c>
      <c r="N4" s="180" t="s">
        <v>28</v>
      </c>
      <c r="R4" s="181" t="s">
        <v>224</v>
      </c>
      <c r="S4" s="180" t="s">
        <v>225</v>
      </c>
    </row>
    <row r="5" spans="1:19" x14ac:dyDescent="0.25">
      <c r="B5" s="75" t="s">
        <v>6</v>
      </c>
      <c r="C5" s="76">
        <v>5330</v>
      </c>
      <c r="D5" s="76">
        <v>2.41</v>
      </c>
      <c r="E5" s="76">
        <v>2.7</v>
      </c>
      <c r="F5" s="76">
        <v>131</v>
      </c>
      <c r="G5" s="182">
        <f>(C5/60*2*PI())*D5/4</f>
        <v>336.28916760964142</v>
      </c>
      <c r="J5" s="75" t="s">
        <v>29</v>
      </c>
      <c r="K5" s="183">
        <v>6.35</v>
      </c>
      <c r="L5" s="183">
        <v>9</v>
      </c>
      <c r="M5" s="183">
        <v>5.9</v>
      </c>
      <c r="N5" s="184">
        <v>0.31</v>
      </c>
      <c r="Q5" s="185" t="s">
        <v>227</v>
      </c>
      <c r="R5" s="76">
        <v>71700</v>
      </c>
      <c r="S5" s="186">
        <v>26900</v>
      </c>
    </row>
    <row r="6" spans="1:19" x14ac:dyDescent="0.25">
      <c r="B6" s="75" t="s">
        <v>7</v>
      </c>
      <c r="C6" s="76">
        <v>5840</v>
      </c>
      <c r="D6" s="76">
        <v>1.41</v>
      </c>
      <c r="E6" s="76">
        <v>3</v>
      </c>
      <c r="F6" s="76">
        <v>89</v>
      </c>
      <c r="G6" s="182">
        <f t="shared" ref="G6:G24" si="0">(C6/60*2*PI())*D6/4</f>
        <v>215.57608788933157</v>
      </c>
      <c r="J6" s="75" t="s">
        <v>30</v>
      </c>
      <c r="K6" s="183">
        <v>9.5299999999999994</v>
      </c>
      <c r="L6" s="183">
        <v>11.76</v>
      </c>
      <c r="M6" s="183">
        <v>8.94</v>
      </c>
      <c r="N6" s="184">
        <v>0.41</v>
      </c>
      <c r="Q6" s="185" t="s">
        <v>228</v>
      </c>
      <c r="R6" s="76">
        <v>68900</v>
      </c>
      <c r="S6" s="186">
        <v>26000</v>
      </c>
    </row>
    <row r="7" spans="1:19" x14ac:dyDescent="0.25">
      <c r="B7" s="75" t="s">
        <v>8</v>
      </c>
      <c r="C7" s="76">
        <v>13180</v>
      </c>
      <c r="D7" s="76">
        <v>0.43</v>
      </c>
      <c r="E7" s="76">
        <v>1.8</v>
      </c>
      <c r="F7" s="76">
        <v>53</v>
      </c>
      <c r="G7" s="182">
        <f t="shared" si="0"/>
        <v>148.37218504128995</v>
      </c>
      <c r="J7" s="75" t="s">
        <v>31</v>
      </c>
      <c r="K7" s="183">
        <v>5</v>
      </c>
      <c r="L7" s="183">
        <v>15</v>
      </c>
      <c r="M7" s="183">
        <v>3</v>
      </c>
      <c r="N7" s="184">
        <v>0</v>
      </c>
      <c r="Q7" s="185" t="s">
        <v>63</v>
      </c>
      <c r="R7" s="76">
        <v>206000</v>
      </c>
      <c r="S7" s="186">
        <v>70000</v>
      </c>
    </row>
    <row r="8" spans="1:19" x14ac:dyDescent="0.25">
      <c r="B8" s="75" t="s">
        <v>9</v>
      </c>
      <c r="C8" s="76">
        <v>18730</v>
      </c>
      <c r="D8" s="76">
        <v>0.71</v>
      </c>
      <c r="E8" s="76">
        <v>0.7</v>
      </c>
      <c r="F8" s="76">
        <v>134</v>
      </c>
      <c r="G8" s="182">
        <f t="shared" si="0"/>
        <v>348.14867987694288</v>
      </c>
      <c r="J8" s="75" t="s">
        <v>32</v>
      </c>
      <c r="K8" s="183">
        <v>3</v>
      </c>
      <c r="L8" s="183">
        <v>9</v>
      </c>
      <c r="M8" s="183">
        <v>3</v>
      </c>
      <c r="N8" s="184">
        <v>0</v>
      </c>
      <c r="Q8" s="185" t="s">
        <v>223</v>
      </c>
      <c r="R8" s="76">
        <v>193000</v>
      </c>
      <c r="S8" s="186">
        <v>77000</v>
      </c>
    </row>
    <row r="9" spans="1:19" x14ac:dyDescent="0.25">
      <c r="B9" s="75" t="s">
        <v>10</v>
      </c>
      <c r="C9" s="76">
        <v>5676</v>
      </c>
      <c r="D9" s="76">
        <v>2.6</v>
      </c>
      <c r="E9" s="76">
        <v>1.8</v>
      </c>
      <c r="F9" s="76">
        <v>105</v>
      </c>
      <c r="G9" s="182">
        <f t="shared" si="0"/>
        <v>386.35306453847278</v>
      </c>
      <c r="J9" s="75"/>
      <c r="K9" s="183"/>
      <c r="L9" s="183"/>
      <c r="M9" s="183"/>
      <c r="N9" s="184"/>
      <c r="Q9" s="185"/>
      <c r="R9" s="76"/>
      <c r="S9" s="186"/>
    </row>
    <row r="10" spans="1:19" x14ac:dyDescent="0.25">
      <c r="B10" s="75" t="s">
        <v>11</v>
      </c>
      <c r="C10" s="76">
        <v>5800</v>
      </c>
      <c r="D10" s="76">
        <v>0.28000000000000003</v>
      </c>
      <c r="E10" s="76">
        <v>1.6</v>
      </c>
      <c r="F10" s="76">
        <v>18</v>
      </c>
      <c r="G10" s="182">
        <f t="shared" si="0"/>
        <v>42.516220578581873</v>
      </c>
      <c r="J10" s="75"/>
      <c r="K10" s="183"/>
      <c r="L10" s="183"/>
      <c r="M10" s="183"/>
      <c r="N10" s="184"/>
      <c r="Q10" s="185"/>
      <c r="R10" s="76"/>
      <c r="S10" s="186"/>
    </row>
    <row r="11" spans="1:19" x14ac:dyDescent="0.25">
      <c r="B11" s="75" t="s">
        <v>12</v>
      </c>
      <c r="C11" s="76">
        <v>14270</v>
      </c>
      <c r="D11" s="76">
        <v>0.36</v>
      </c>
      <c r="E11" s="76">
        <v>3.7</v>
      </c>
      <c r="F11" s="76">
        <v>71</v>
      </c>
      <c r="G11" s="182">
        <f t="shared" si="0"/>
        <v>134.49158150017905</v>
      </c>
      <c r="J11" s="75"/>
      <c r="K11" s="183"/>
      <c r="L11" s="183"/>
      <c r="M11" s="183"/>
      <c r="N11" s="184"/>
      <c r="Q11" s="185"/>
      <c r="R11" s="76"/>
      <c r="S11" s="186"/>
    </row>
    <row r="12" spans="1:19" x14ac:dyDescent="0.25">
      <c r="B12" s="75" t="s">
        <v>13</v>
      </c>
      <c r="C12" s="76">
        <v>5508</v>
      </c>
      <c r="D12" s="76">
        <v>3.82</v>
      </c>
      <c r="E12" s="76">
        <v>8.16</v>
      </c>
      <c r="F12" s="76">
        <v>220</v>
      </c>
      <c r="G12" s="182">
        <f t="shared" si="0"/>
        <v>550.84057269512709</v>
      </c>
    </row>
    <row r="13" spans="1:19" x14ac:dyDescent="0.25">
      <c r="B13" s="75" t="s">
        <v>14</v>
      </c>
      <c r="C13" s="76">
        <v>5593</v>
      </c>
      <c r="D13" s="76">
        <v>5.23</v>
      </c>
      <c r="E13" s="76">
        <v>9.6199999999999992</v>
      </c>
      <c r="F13" s="76">
        <v>309</v>
      </c>
      <c r="G13" s="182">
        <f t="shared" si="0"/>
        <v>765.79959942741618</v>
      </c>
      <c r="J13" s="1" t="s">
        <v>33</v>
      </c>
    </row>
    <row r="14" spans="1:19" x14ac:dyDescent="0.25">
      <c r="B14" s="75" t="s">
        <v>15</v>
      </c>
      <c r="C14" s="76">
        <v>5437</v>
      </c>
      <c r="D14" s="76">
        <v>6.23</v>
      </c>
      <c r="E14" s="76">
        <v>9.15</v>
      </c>
      <c r="F14" s="76">
        <v>351</v>
      </c>
      <c r="G14" s="182">
        <f t="shared" si="0"/>
        <v>886.78023812205663</v>
      </c>
    </row>
    <row r="15" spans="1:19" x14ac:dyDescent="0.25">
      <c r="B15" s="75" t="s">
        <v>16</v>
      </c>
      <c r="C15" s="76">
        <v>13050</v>
      </c>
      <c r="D15" s="76">
        <v>0.72</v>
      </c>
      <c r="E15" s="76">
        <v>2.7</v>
      </c>
      <c r="F15" s="76">
        <v>97</v>
      </c>
      <c r="G15" s="182">
        <f t="shared" si="0"/>
        <v>245.98670477608078</v>
      </c>
    </row>
    <row r="16" spans="1:19" x14ac:dyDescent="0.25">
      <c r="B16" s="75" t="s">
        <v>17</v>
      </c>
      <c r="C16" s="76">
        <v>19000</v>
      </c>
      <c r="D16" s="76">
        <v>0.38</v>
      </c>
      <c r="E16" s="76">
        <v>0.4</v>
      </c>
      <c r="F16" s="76">
        <v>84</v>
      </c>
      <c r="G16" s="182">
        <f t="shared" si="0"/>
        <v>189.01915799098592</v>
      </c>
    </row>
    <row r="17" spans="2:13" x14ac:dyDescent="0.25">
      <c r="B17" s="75" t="s">
        <v>18</v>
      </c>
      <c r="C17" s="76">
        <v>100</v>
      </c>
      <c r="D17" s="76">
        <v>7.91</v>
      </c>
      <c r="E17" s="76">
        <v>5</v>
      </c>
      <c r="F17" s="76">
        <v>24</v>
      </c>
      <c r="G17" s="182">
        <f t="shared" si="0"/>
        <v>20.708331574912719</v>
      </c>
    </row>
    <row r="18" spans="2:13" x14ac:dyDescent="0.25">
      <c r="B18" s="75" t="s">
        <v>19</v>
      </c>
      <c r="C18" s="76">
        <v>6600</v>
      </c>
      <c r="D18" s="76">
        <v>6.1800000000000001E-2</v>
      </c>
      <c r="E18" s="76">
        <v>2</v>
      </c>
      <c r="F18" s="76">
        <v>11.5</v>
      </c>
      <c r="G18" s="182">
        <f t="shared" si="0"/>
        <v>10.678273429551707</v>
      </c>
      <c r="M18" s="4"/>
    </row>
    <row r="19" spans="2:13" x14ac:dyDescent="0.25">
      <c r="B19" s="75" t="s">
        <v>20</v>
      </c>
      <c r="C19" s="76">
        <v>5300</v>
      </c>
      <c r="D19" s="76">
        <v>0.13</v>
      </c>
      <c r="E19" s="76">
        <v>1</v>
      </c>
      <c r="F19" s="76">
        <v>7</v>
      </c>
      <c r="G19" s="182">
        <f t="shared" si="0"/>
        <v>18.037977819361398</v>
      </c>
      <c r="M19" s="4"/>
    </row>
    <row r="20" spans="2:13" x14ac:dyDescent="0.25">
      <c r="B20" s="75" t="s">
        <v>21</v>
      </c>
      <c r="C20" s="76">
        <v>24</v>
      </c>
      <c r="D20" s="76">
        <v>22</v>
      </c>
      <c r="E20" s="76">
        <v>3</v>
      </c>
      <c r="F20" s="76">
        <v>12</v>
      </c>
      <c r="G20" s="182">
        <f t="shared" si="0"/>
        <v>13.82300767579509</v>
      </c>
    </row>
    <row r="21" spans="2:13" x14ac:dyDescent="0.25">
      <c r="B21" s="75" t="s">
        <v>22</v>
      </c>
      <c r="C21" s="76">
        <v>3084</v>
      </c>
      <c r="D21" s="76">
        <v>0.32</v>
      </c>
      <c r="E21" s="76">
        <v>0.28000000000000003</v>
      </c>
      <c r="F21" s="76">
        <v>6.5</v>
      </c>
      <c r="G21" s="182">
        <f t="shared" si="0"/>
        <v>25.836457983122461</v>
      </c>
    </row>
    <row r="22" spans="2:13" x14ac:dyDescent="0.25">
      <c r="B22" s="75" t="s">
        <v>23</v>
      </c>
      <c r="C22" s="76">
        <v>90</v>
      </c>
      <c r="D22" s="76">
        <v>9.24</v>
      </c>
      <c r="E22" s="76">
        <v>1.5</v>
      </c>
      <c r="F22" s="76">
        <v>16.25</v>
      </c>
      <c r="G22" s="182">
        <f t="shared" si="0"/>
        <v>21.771237089377266</v>
      </c>
    </row>
    <row r="23" spans="2:13" x14ac:dyDescent="0.25">
      <c r="B23" s="75"/>
      <c r="C23" s="76"/>
      <c r="D23" s="76"/>
      <c r="E23" s="76"/>
      <c r="F23" s="76"/>
      <c r="G23" s="182">
        <f t="shared" si="0"/>
        <v>0</v>
      </c>
    </row>
    <row r="24" spans="2:13" x14ac:dyDescent="0.25">
      <c r="B24" s="75"/>
      <c r="C24" s="76"/>
      <c r="D24" s="76"/>
      <c r="E24" s="76"/>
      <c r="F24" s="76"/>
      <c r="G24" s="182">
        <f t="shared" si="0"/>
        <v>0</v>
      </c>
    </row>
    <row r="25" spans="2:13" x14ac:dyDescent="0.25">
      <c r="B25" s="75"/>
      <c r="C25" s="76"/>
      <c r="D25" s="76"/>
      <c r="E25" s="76"/>
      <c r="F25" s="76"/>
      <c r="G25" s="182">
        <f t="shared" ref="G25:G27" si="1">(C25/60*2*PI())*D25/4</f>
        <v>0</v>
      </c>
    </row>
    <row r="26" spans="2:13" x14ac:dyDescent="0.25">
      <c r="B26" s="75"/>
      <c r="C26" s="76"/>
      <c r="D26" s="76"/>
      <c r="E26" s="76"/>
      <c r="F26" s="76"/>
      <c r="G26" s="182">
        <f t="shared" si="1"/>
        <v>0</v>
      </c>
    </row>
    <row r="27" spans="2:13" x14ac:dyDescent="0.25">
      <c r="B27" s="75"/>
      <c r="C27" s="76"/>
      <c r="D27" s="76"/>
      <c r="E27" s="76"/>
      <c r="F27" s="76"/>
      <c r="G27" s="182">
        <f t="shared" si="1"/>
        <v>0</v>
      </c>
    </row>
    <row r="30" spans="2:13" x14ac:dyDescent="0.25">
      <c r="B30" s="1" t="s">
        <v>240</v>
      </c>
    </row>
  </sheetData>
  <sheetProtection formatCells="0" formatColumns="0" formatRows="0"/>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vt:i4>
      </vt:variant>
    </vt:vector>
  </HeadingPairs>
  <TitlesOfParts>
    <vt:vector size="18" baseType="lpstr">
      <vt:lpstr>HOME</vt:lpstr>
      <vt:lpstr>±ÉÇÌÅÒÍ×Ñ¶ÅØÍÓ</vt:lpstr>
      <vt:lpstr>°ÉÅÈ·ÇÖÉÛ</vt:lpstr>
      <vt:lpstr>¨ÖÍÚÉØÖÅÍÒ</vt:lpstr>
      <vt:lpstr>¦ÉÅÑ¦ÉÒÈ</vt:lpstr>
      <vt:lpstr>´ÖÓÎÉÇØÍÐÉ</vt:lpstr>
      <vt:lpstr>§ÌÅÍÒ¦ÉÐØ</vt:lpstr>
      <vt:lpstr>«ÉÅÖ§ÐÉÅÖ</vt:lpstr>
      <vt:lpstr>¶ÅØÍÓ¨Í×Ø</vt:lpstr>
      <vt:lpstr>´ÒÉÙÑÅØÍÇ×</vt:lpstr>
      <vt:lpstr>´ÒÉÙ°ÍÒÏÅËÉ</vt:lpstr>
      <vt:lpstr>Specs</vt:lpstr>
      <vt:lpstr>ChainBelts</vt:lpstr>
      <vt:lpstr>ChainBeltSpecs</vt:lpstr>
      <vt:lpstr>Materials</vt:lpstr>
      <vt:lpstr>MaterialSpecs</vt:lpstr>
      <vt:lpstr>Motors</vt:lpstr>
      <vt:lpstr>MotorSpecs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 Meles-Braverman</dc:creator>
  <cp:lastModifiedBy>Ari Meles-Braverman</cp:lastModifiedBy>
  <dcterms:created xsi:type="dcterms:W3CDTF">2019-06-08T20:43:41Z</dcterms:created>
  <dcterms:modified xsi:type="dcterms:W3CDTF">2019-07-01T15:50:51Z</dcterms:modified>
</cp:coreProperties>
</file>